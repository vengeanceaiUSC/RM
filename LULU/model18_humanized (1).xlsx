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NOPAT Bridge" sheetId="5" state="visible" r:id="rId5"/>
    <sheet name="DCF" sheetId="6" state="visible" r:id="rId6"/>
    <sheet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3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 /><Relationship Type="http://schemas.openxmlformats.org/officeDocument/2006/relationships/hyperlink" Target="https://www.stern.nyu.edu/~adamodar/New_Home_Page/datafile/histimpl.html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finance.yahoo.com/quote/LULU/key-statistics/" TargetMode="External" Id="rId8" /><Relationship Type="http://schemas.openxmlformats.org/officeDocument/2006/relationships/hyperlink" Target="https://finance.yahoo.com/quote/LULU/key-statistics/" TargetMode="External" Id="rId9" /><Relationship Type="http://schemas.openxmlformats.org/officeDocument/2006/relationships/hyperlink" Target="https://finance.yahoo.com/quote/LULU/key-statistics/" TargetMode="External" Id="rId10" /><Relationship Type="http://schemas.openxmlformats.org/officeDocument/2006/relationships/hyperlink" Target="https://finance.yahoo.com/quote/LULU/key-statistics/" TargetMode="External" Id="rId11" /><Relationship Type="http://schemas.openxmlformats.org/officeDocument/2006/relationships/hyperlink" Target="https://finance.yahoo.com/quote/LULU/key-statistics/" TargetMode="External" Id="rId12" /><Relationship Type="http://schemas.openxmlformats.org/officeDocument/2006/relationships/hyperlink" Target="https://www.stern.nyu.edu/~adamodar/New_Home_Page/datafile/Betas.html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 /><Relationship Type="http://schemas.openxmlformats.org/officeDocument/2006/relationships/hyperlink" Target="https://stockanalysis.com/stocks/lulu/statistics/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fred.stlouisfed.org/series/GDPC1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corporate.lululemon.com/newsroom/press-releases/2026/09-03-2026-210528733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LULU_Assumptions_Memo.pdf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corporate.lululemon.com/newsroom/press-releases/2026/09-03-2026-210528733" TargetMode="External" Id="rId8" /><Relationship Type="http://schemas.openxmlformats.org/officeDocument/2006/relationships/hyperlink" Target="https://corporate.lululemon.com/newsroom/press-releases/2026/09-03-2026-210528733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www.sec.gov/Archives/edgar/data/1397187/000139718726000020/lulu-20260201.htm" TargetMode="External" Id="rId36" /><Relationship Type="http://schemas.openxmlformats.org/officeDocument/2006/relationships/hyperlink" Target="https://fred.stlouisfed.org/series/GDPC1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sec.gov/Archives/edgar/data/1397187/000139718726000020/lulu-20260201.htm" TargetMode="External" Id="rId43" /><Relationship Type="http://schemas.openxmlformats.org/officeDocument/2006/relationships/hyperlink" Target="https://www.nasdaq.com/market-activity/stocks/lulu" TargetMode="External" Id="rId44" /><Relationship Type="http://schemas.openxmlformats.org/officeDocument/2006/relationships/hyperlink" Target="https://www.nasdaq.com/market-activity/stocks/lulu" TargetMode="External" Id="rId45" /><Relationship Type="http://schemas.openxmlformats.org/officeDocument/2006/relationships/hyperlink" Target="https://fred.stlouisfed.org/series/GDPC1" TargetMode="External" Id="rId46" /><Relationship Type="http://schemas.openxmlformats.org/officeDocument/2006/relationships/hyperlink" Target="https://www.stern.nyu.edu/~adamodar/New_Home_Page/datafile/histimpl.html" TargetMode="External" Id="rId47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nasdaq.com/market-activity/stocks/lulu" TargetMode="External" Id="rId9" /><Relationship Type="http://schemas.openxmlformats.org/officeDocument/2006/relationships/hyperlink" Target="https://www.nasdaq.com/market-activity/stocks/lulu" TargetMode="External" Id="rId10" /><Relationship Type="http://schemas.openxmlformats.org/officeDocument/2006/relationships/hyperlink" Target="https://www.reuters.com/markets/deals/alo-yoga-parent-seeks-investment-10-bln-valuation-sources-2023-10-30/" TargetMode="External" Id="rId11" /><Relationship Type="http://schemas.openxmlformats.org/officeDocument/2006/relationships/hyperlink" Target="https://www.reuters.com/markets/deals/alo-yoga-parent-seeks-investment-10-bln-valuation-sources-2023-10-30/" TargetMode="External" Id="rId12" /><Relationship Type="http://schemas.openxmlformats.org/officeDocument/2006/relationships/hyperlink" Target="https://www.forbes.com/sites/jemimamcevoy/2025/04/01/the-founders-of-this-lululemon-rival-are-worth-nearly-5-billion-each/" TargetMode="External" Id="rId13" /><Relationship Type="http://schemas.openxmlformats.org/officeDocument/2006/relationships/hyperlink" Target="https://www.forbes.com/sites/jemimamcevoy/2025/04/01/the-founders-of-this-lululemon-rival-are-worth-nearly-5-billion-each/" TargetMode="External" Id="rId14" /><Relationship Type="http://schemas.openxmlformats.org/officeDocument/2006/relationships/hyperlink" Target="https://stockanalysis.com/stocks/lulu/statistics/" TargetMode="External" Id="rId15" /><Relationship Type="http://schemas.openxmlformats.org/officeDocument/2006/relationships/hyperlink" Target="https://stockanalysis.com/stocks/lulu/statistics/" TargetMode="External" Id="rId16" /><Relationship Type="http://schemas.openxmlformats.org/officeDocument/2006/relationships/hyperlink" Target="https://www.nasdaq.com/market-activity/stocks/lulu" TargetMode="External" Id="rId17" /><Relationship Type="http://schemas.openxmlformats.org/officeDocument/2006/relationships/hyperlink" Target="https://www.nasdaq.com/market-activity/stocks/lulu" TargetMode="External" Id="rId1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1" t="inlineStr">
        <is>
          <t>GLOBAL INVESTMENT SOCIETY | INVESTMENT RESEARCH DIVISION</t>
        </is>
      </c>
    </row>
    <row r="3"/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6"/>
    <row r="7">
      <c r="B7" s="4" t="inlineStr">
        <is>
          <t>Recommendation: LONG / OVERWEIGHT</t>
        </is>
      </c>
    </row>
    <row r="8"/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inlineStr">
        <is>
          <t>Black font = calculations / formulas</t>
        </is>
      </c>
    </row>
    <row r="12"/>
    <row r="13">
      <c r="B13" s="5" t="inlineStr">
        <is>
          <t>TABS</t>
        </is>
      </c>
    </row>
    <row r="14">
      <c r="B14" s="9" t="inlineStr">
        <is>
          <t>WACC • Revenue Drivers • NOPAT Bridge • Scenarios • DCF • Comps / Football Field</t>
        </is>
      </c>
    </row>
    <row r="15">
      <c r="B15" s="5" t="inlineStr">
        <is>
          <t>ASSUMPTIONS GUIDE (PDF — every tab)</t>
        </is>
      </c>
    </row>
    <row r="16"/>
    <row r="17" ht="36" customHeight="1">
      <c r="B17" s="5" t="inlineStr">
        <is>
          <t>SOURCES</t>
        </is>
      </c>
    </row>
    <row r="18"/>
    <row r="19">
      <c r="B19" s="11" t="inlineStr">
        <is>
          <t>Built from scratch for the GIS IR selection assignment.</t>
        </is>
      </c>
    </row>
    <row r="20" ht="36" customHeight="1"/>
    <row r="21" ht="36" customHeight="1"/>
    <row r="22" ht="36" customHeight="1"/>
    <row r="23" ht="36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hidden="1" outlineLevel="1" width="28" customWidth="1" min="2" max="2"/>
    <col hidden="1" outlineLevel="1" width="18" customWidth="1" min="3" max="3"/>
    <col hidden="1" outlineLevel="1"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n"/>
      <c r="C2" s="15" t="inlineStr">
        <is>
          <t>Source (click)</t>
        </is>
      </c>
      <c r="D2" s="15" t="n"/>
    </row>
    <row r="3" ht="28" customHeight="1">
      <c r="A3" s="16" t="inlineStr">
        <is>
          <t>Risk-free rate (10-yr UST)</t>
        </is>
      </c>
      <c r="B3" s="17" t="n"/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n"/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n"/>
      <c r="C5" s="18" t="inlineStr">
        <is>
          <t>Q2 FY2026 outlook: tax rate ≈ 30%</t>
        </is>
      </c>
      <c r="D5" s="19" t="n"/>
      <c r="E5" s="20" t="n">
        <v>0.3</v>
      </c>
    </row>
    <row r="6"/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n"/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n"/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n"/>
      <c r="C10" s="24" t="inlineStr">
        <is>
          <t>WACC tab: price × shares</t>
        </is>
      </c>
      <c r="D10" s="19" t="n"/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n"/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n"/>
    </row>
    <row r="13" ht="28" customHeight="1">
      <c r="A13" s="16" t="inlineStr">
        <is>
          <t>Funded debt (term loans / bonds)</t>
        </is>
      </c>
      <c r="B13" s="17" t="n"/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5"/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n"/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n"/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n"/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n"/>
      <c r="C20" s="18" t="inlineStr">
        <is>
          <t>Yahoo Finance: debt (mrq) ÷ market cap</t>
        </is>
      </c>
      <c r="D20" s="19" t="n"/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n"/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n"/>
      <c r="C22" s="24" t="inlineStr">
        <is>
          <t>WACC tab: Hamada unlever (Yahoo market D/E)</t>
        </is>
      </c>
      <c r="D22" s="19" t="n"/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n"/>
      <c r="C23" s="24" t="inlineStr">
        <is>
          <t>WACC tab: FY25 lease debt / market equity</t>
        </is>
      </c>
      <c r="D23" s="19" t="n"/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n"/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n"/>
      <c r="C25" s="24" t="inlineStr">
        <is>
          <t>WACC tab: Hamada relever (total D/E incl. leases)</t>
        </is>
      </c>
      <c r="D25" s="19" t="n"/>
      <c r="E25" s="29">
        <f>E22*(1+(1-E5)*E23)</f>
        <v/>
      </c>
    </row>
    <row r="26">
      <c r="A26" s="26" t="n"/>
    </row>
    <row r="27">
      <c r="A27" s="26" t="inlineStr">
        <is>
          <t>Yahoo βL = 0.86 (Beta 5Y Monthly). No vendor publishes D/E inside the regression.</t>
        </is>
      </c>
    </row>
    <row r="28">
      <c r="A28" s="26" t="inlineStr">
        <is>
          <t>Unlever at Yahoo market D/E = $2.14B debt (mrq) ÷ $11.14B mkt cap ≈ 0.19 → βu ≈ 0.76.</t>
        </is>
      </c>
    </row>
    <row r="29">
      <c r="A29" s="26" t="inlineStr">
        <is>
          <t>Relever at WACC D/E = FY25 10-K leases ÷ our market cap ≈ 0.16 → β used ≈ 0.84.</t>
        </is>
      </c>
    </row>
    <row r="30">
      <c r="A30" s="26" t="n"/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3"/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n"/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7"/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n"/>
      <c r="C39" s="24" t="inlineStr">
        <is>
          <t>WACC tab: capital structure</t>
        </is>
      </c>
      <c r="D39" s="19" t="n"/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n"/>
      <c r="C40" s="18" t="inlineStr">
        <is>
          <t>LULU FY2025 10-K: operating lease liabilities</t>
        </is>
      </c>
      <c r="D40" s="19" t="n"/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193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hidden="1" outlineLevel="1" width="26" customWidth="1" min="2" max="2"/>
    <col hidden="1" outlineLevel="1" width="16" customWidth="1" min="3" max="3"/>
    <col hidden="1" outlineLevel="1"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n"/>
      <c r="C3" s="15" t="inlineStr">
        <is>
          <t>Source (click)</t>
        </is>
      </c>
      <c r="D3" s="15" t="n"/>
    </row>
    <row r="4" ht="28" customHeight="1">
      <c r="A4" s="16" t="inlineStr">
        <is>
          <t>FY2026E revenue growth</t>
        </is>
      </c>
      <c r="B4" s="17" t="n"/>
      <c r="C4" s="18" t="inlineStr">
        <is>
          <t>LULU Q2 FY2026 earnings release</t>
        </is>
      </c>
      <c r="D4" s="19" t="n"/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n"/>
      <c r="C5" s="18" t="inlineStr">
        <is>
          <t>StockAnalysis: LULU 3Y revenue forecast</t>
        </is>
      </c>
      <c r="D5" s="19" t="n"/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n"/>
      <c r="C6" s="18" t="inlineStr">
        <is>
          <t>Q2 FY2026 release: 18.8% OM minus 560bps tariffs</t>
        </is>
      </c>
      <c r="D6" s="19" t="n"/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n"/>
      <c r="C7" s="18" t="inlineStr">
        <is>
          <t>Q2 FY2026 release: $134.5M IEEPA tariff refunds</t>
        </is>
      </c>
      <c r="D7" s="19" t="n"/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n"/>
      <c r="C8" s="18" t="inlineStr">
        <is>
          <t>FY2025 10-K: Operating margin 19.9% (one hit)</t>
        </is>
      </c>
      <c r="D8" s="19" t="n"/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n"/>
      <c r="C9" s="18" t="inlineStr">
        <is>
          <t>WACC tab: CAPM build</t>
        </is>
      </c>
      <c r="D9" s="19" t="n"/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n"/>
      <c r="C10" s="18" t="inlineStr">
        <is>
          <t>FRED: Real GDP (GDPC1)</t>
        </is>
      </c>
      <c r="D10" s="19" t="n"/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n"/>
      <c r="C11" s="18" t="inlineStr">
        <is>
          <t>Q2 FY2026 outlook: tax rate ≈ 30%</t>
        </is>
      </c>
      <c r="D11" s="19" t="n"/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n"/>
      <c r="C12" s="18" t="inlineStr">
        <is>
          <t>LULU CF statement (10-K)</t>
        </is>
      </c>
      <c r="D12" s="19" t="n"/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n"/>
      <c r="C13" s="38" t="inlineStr">
        <is>
          <t>LULU 10-K: 2026 capex guide $725–745M</t>
        </is>
      </c>
      <c r="D13" s="19" t="n"/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n"/>
      <c r="C14" s="18" t="inlineStr">
        <is>
          <t>LULU FY2025 10-K: Gross profit &amp; COGS</t>
        </is>
      </c>
      <c r="D14" s="19" t="n"/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n"/>
      <c r="C15" s="18" t="inlineStr">
        <is>
          <t>LULU FY2025 10-K: Accounts receivable, net</t>
        </is>
      </c>
      <c r="D15" s="19" t="n"/>
      <c r="F15" s="39" t="n">
        <v>6.267883648875038</v>
      </c>
      <c r="G15" s="39" t="n">
        <v>6.267883648875038</v>
      </c>
      <c r="H15" s="39" t="n">
        <v>6.267883648875038</v>
      </c>
    </row>
    <row r="16" ht="140" customHeight="1">
      <c r="A16" s="16" t="inlineStr">
        <is>
          <t>FY25 DIO anchor (days)</t>
        </is>
      </c>
      <c r="B16" s="17" t="n"/>
      <c r="C16" s="18" t="inlineStr">
        <is>
          <t>LULU FY2025 10-K: Inventories &amp; COGS</t>
        </is>
      </c>
      <c r="D16" s="19" t="n"/>
      <c r="F16" s="39" t="n">
        <v>128.8324100108167</v>
      </c>
      <c r="G16" s="39" t="n">
        <v>128.8324100108167</v>
      </c>
      <c r="H16" s="39" t="n">
        <v>128.8324100108167</v>
      </c>
    </row>
    <row r="17" ht="70" customHeight="1">
      <c r="A17" s="16" t="inlineStr">
        <is>
          <t>DIO decline (days / forecast yr)</t>
        </is>
      </c>
      <c r="B17" s="17" t="n"/>
      <c r="C17" s="18" t="inlineStr">
        <is>
          <t>LULU FY2025 10-K: inventory &amp; markdown outlook</t>
        </is>
      </c>
      <c r="D17" s="19" t="n"/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n"/>
      <c r="C18" s="18" t="inlineStr">
        <is>
          <t>LULU FY2025 10-K: Accounts payable &amp; COGS</t>
        </is>
      </c>
      <c r="D18" s="19" t="n"/>
      <c r="F18" s="39" t="n">
        <v>25.10521290169407</v>
      </c>
      <c r="G18" s="39" t="n">
        <v>25.10521290169407</v>
      </c>
      <c r="H18" s="39" t="n">
        <v>25.10521290169407</v>
      </c>
    </row>
    <row r="19" ht="84" customHeight="1">
      <c r="A19" s="16" t="inlineStr">
        <is>
          <t>Prepaid expenses (% of revenue)</t>
        </is>
      </c>
      <c r="B19" s="17" t="n"/>
      <c r="C19" s="18" t="inlineStr">
        <is>
          <t>LULU FY2025 10-K: other current assets (residual)</t>
        </is>
      </c>
      <c r="D19" s="19" t="n"/>
      <c r="F19" s="20" t="n">
        <v>0.05080692810692991</v>
      </c>
      <c r="G19" s="20" t="n">
        <v>0.05080692810692991</v>
      </c>
      <c r="H19" s="20" t="n">
        <v>0.05080692810692991</v>
      </c>
    </row>
    <row r="20" ht="84" customHeight="1">
      <c r="A20" s="16" t="inlineStr">
        <is>
          <t>Accrued liabilities (% of revenue)</t>
        </is>
      </c>
      <c r="B20" s="17" t="n"/>
      <c r="C20" s="18" t="inlineStr">
        <is>
          <t>LULU FY2025 10-K: Accrued liabilities and other</t>
        </is>
      </c>
      <c r="D20" s="19" t="n"/>
      <c r="F20" s="20" t="n">
        <v>0.05971412101669879</v>
      </c>
      <c r="G20" s="20" t="n">
        <v>0.05971412101669879</v>
      </c>
      <c r="H20" s="20" t="n">
        <v>0.05971412101669879</v>
      </c>
    </row>
    <row r="21">
      <c r="A21" s="16" t="inlineStr">
        <is>
          <t>Pitch CFF: fixed buyback ($k/yr) bear/base</t>
        </is>
      </c>
      <c r="F21" s="37" t="n">
        <v>500000</v>
      </c>
      <c r="G21" s="37" t="n">
        <v>500000</v>
      </c>
      <c r="H21" s="37" t="n">
        <v>0</v>
      </c>
    </row>
    <row r="22">
      <c r="A22" s="16" t="inlineStr">
        <is>
          <t>Pitch CFF: % of FCF to buybacks (bull)</t>
        </is>
      </c>
      <c r="F22" s="20" t="n">
        <v>0</v>
      </c>
      <c r="G22" s="20" t="n">
        <v>0</v>
      </c>
      <c r="H22" s="20" t="n">
        <v>0.75</v>
      </c>
    </row>
    <row r="23"/>
    <row r="24">
      <c r="A24" s="14" t="inlineStr">
        <is>
          <t>5-year forecast paths (by scenario)</t>
        </is>
      </c>
    </row>
    <row r="25">
      <c r="A25" s="41" t="inlineStr">
        <is>
          <t>Revenue – year 1</t>
        </is>
      </c>
      <c r="F25" s="42">
        <f>11102600*(1+F4)</f>
        <v/>
      </c>
      <c r="G25" s="42">
        <f>11102600*(1+G4)</f>
        <v/>
      </c>
      <c r="H25" s="42">
        <f>11102600*(1+H4)</f>
        <v/>
      </c>
    </row>
    <row r="26">
      <c r="A26" s="41" t="inlineStr">
        <is>
          <t>Revenue – year 2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>Revenue – year 3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>Revenue – year 4</t>
        </is>
      </c>
      <c r="F28" s="42">
        <f>F27*(1+F5)</f>
        <v/>
      </c>
      <c r="G28" s="42">
        <f>G27*(1+G5)</f>
        <v/>
      </c>
      <c r="H28" s="42">
        <f>H27*(1+H5)</f>
        <v/>
      </c>
    </row>
    <row r="29">
      <c r="A29" s="41" t="inlineStr">
        <is>
          <t>Revenue – year 5</t>
        </is>
      </c>
      <c r="F29" s="42">
        <f>F28*(1+F5)</f>
        <v/>
      </c>
      <c r="G29" s="42">
        <f>G28*(1+G5)</f>
        <v/>
      </c>
      <c r="H29" s="42">
        <f>H28*(1+H5)</f>
        <v/>
      </c>
    </row>
    <row r="30">
      <c r="A30" s="41" t="inlineStr">
        <is>
          <t>Gross margin % – year 1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>Gross margin % – year 2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>Gross margin % – year 3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>Gross margin % – year 4</t>
        </is>
      </c>
      <c r="F33" s="43">
        <f>F14</f>
        <v/>
      </c>
      <c r="G33" s="43">
        <f>G14</f>
        <v/>
      </c>
      <c r="H33" s="43">
        <f>H14</f>
        <v/>
      </c>
    </row>
    <row r="34">
      <c r="A34" s="41" t="inlineStr">
        <is>
          <t>Gross margin % – year 5</t>
        </is>
      </c>
      <c r="F34" s="43">
        <f>F14</f>
        <v/>
      </c>
      <c r="G34" s="43">
        <f>G14</f>
        <v/>
      </c>
      <c r="H34" s="43">
        <f>H14</f>
        <v/>
      </c>
    </row>
    <row r="35">
      <c r="A35" s="41" t="inlineStr">
        <is>
          <t>Cost of goods sold (COGS) – year 1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>Cost of goods sold (COGS) – year 2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>Cost of goods sold (COGS) – year 3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>Cost of goods sold (COGS) – year 4</t>
        </is>
      </c>
      <c r="F38" s="42">
        <f>F28*(1-F33)</f>
        <v/>
      </c>
      <c r="G38" s="42">
        <f>G28*(1-G33)</f>
        <v/>
      </c>
      <c r="H38" s="42">
        <f>H28*(1-H33)</f>
        <v/>
      </c>
    </row>
    <row r="39">
      <c r="A39" s="41" t="inlineStr">
        <is>
          <t>Cost of goods sold (COGS) – year 5</t>
        </is>
      </c>
      <c r="F39" s="42">
        <f>F29*(1-F34)</f>
        <v/>
      </c>
      <c r="G39" s="42">
        <f>G29*(1-G34)</f>
        <v/>
      </c>
      <c r="H39" s="42">
        <f>H29*(1-H34)</f>
        <v/>
      </c>
    </row>
    <row r="40">
      <c r="A40" s="41" t="inlineStr">
        <is>
          <t>Clean EBIT margin – year 1</t>
        </is>
      </c>
      <c r="F40" s="43">
        <f>F6+(F8-F6)*0/4</f>
        <v/>
      </c>
      <c r="G40" s="43">
        <f>G6+(G8-G6)*0/4</f>
        <v/>
      </c>
      <c r="H40" s="43">
        <f>H6+(H8-H6)*0/4</f>
        <v/>
      </c>
    </row>
    <row r="41">
      <c r="A41" s="41" t="inlineStr">
        <is>
          <t>Clean EBIT margin – year 2</t>
        </is>
      </c>
      <c r="F41" s="43">
        <f>F6+(F8-F6)*1/4</f>
        <v/>
      </c>
      <c r="G41" s="43">
        <f>G6+(G8-G6)*1/4</f>
        <v/>
      </c>
      <c r="H41" s="43">
        <f>H6+(H8-H6)*1/4</f>
        <v/>
      </c>
    </row>
    <row r="42">
      <c r="A42" s="41" t="inlineStr">
        <is>
          <t>Clean EBIT margin – year 3</t>
        </is>
      </c>
      <c r="F42" s="43">
        <f>F6+(F8-F6)*2/4</f>
        <v/>
      </c>
      <c r="G42" s="43">
        <f>G6+(G8-G6)*2/4</f>
        <v/>
      </c>
      <c r="H42" s="43">
        <f>H6+(H8-H6)*2/4</f>
        <v/>
      </c>
    </row>
    <row r="43">
      <c r="A43" s="41" t="inlineStr">
        <is>
          <t>Clean EBIT margin – year 4</t>
        </is>
      </c>
      <c r="F43" s="43">
        <f>F6+(F8-F6)*3/4</f>
        <v/>
      </c>
      <c r="G43" s="43">
        <f>G6+(G8-G6)*3/4</f>
        <v/>
      </c>
      <c r="H43" s="43">
        <f>H6+(H8-H6)*3/4</f>
        <v/>
      </c>
    </row>
    <row r="44">
      <c r="A44" s="41" t="inlineStr">
        <is>
          <t>Clean EBIT margin – year 5</t>
        </is>
      </c>
      <c r="F44" s="43">
        <f>F6+(F8-F6)*4/4</f>
        <v/>
      </c>
      <c r="G44" s="43">
        <f>G6+(G8-G6)*4/4</f>
        <v/>
      </c>
      <c r="H44" s="43">
        <f>H6+(H8-H6)*4/4</f>
        <v/>
      </c>
    </row>
    <row r="45">
      <c r="A45" s="41" t="inlineStr">
        <is>
          <t>EBIT – year 1</t>
        </is>
      </c>
      <c r="F45" s="42">
        <f>F25*F40+F7</f>
        <v/>
      </c>
      <c r="G45" s="42">
        <f>G25*G40+G7</f>
        <v/>
      </c>
      <c r="H45" s="42">
        <f>H25*H40+H7</f>
        <v/>
      </c>
    </row>
    <row r="46">
      <c r="A46" s="41" t="inlineStr">
        <is>
          <t>EBIT – year 2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>EBIT – year 3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>EBIT – year 4</t>
        </is>
      </c>
      <c r="F48" s="42">
        <f>F28*F43</f>
        <v/>
      </c>
      <c r="G48" s="42">
        <f>G28*G43</f>
        <v/>
      </c>
      <c r="H48" s="42">
        <f>H28*H43</f>
        <v/>
      </c>
    </row>
    <row r="49">
      <c r="A49" s="41" t="inlineStr">
        <is>
          <t>EBIT – year 5</t>
        </is>
      </c>
      <c r="F49" s="42">
        <f>F29*F44</f>
        <v/>
      </c>
      <c r="G49" s="42">
        <f>G29*G44</f>
        <v/>
      </c>
      <c r="H49" s="42">
        <f>H29*H44</f>
        <v/>
      </c>
    </row>
    <row r="50">
      <c r="A50" s="41" t="inlineStr">
        <is>
          <t>NOPAT – year 1</t>
        </is>
      </c>
      <c r="F50" s="42">
        <f>F45*(1-'NOPAT Bridge'!F$39)</f>
        <v/>
      </c>
      <c r="G50" s="42">
        <f>'NOPAT Bridge'!F41</f>
        <v/>
      </c>
      <c r="H50" s="42">
        <f>H45*(1-'NOPAT Bridge'!F$39)</f>
        <v/>
      </c>
    </row>
    <row r="51">
      <c r="A51" s="41" t="inlineStr">
        <is>
          <t>NOPAT – year 2</t>
        </is>
      </c>
      <c r="F51" s="42">
        <f>F46*(1-'NOPAT Bridge'!G$39)</f>
        <v/>
      </c>
      <c r="G51" s="42">
        <f>'NOPAT Bridge'!G41</f>
        <v/>
      </c>
      <c r="H51" s="42">
        <f>H46*(1-'NOPAT Bridge'!G$39)</f>
        <v/>
      </c>
    </row>
    <row r="52">
      <c r="A52" s="41" t="inlineStr">
        <is>
          <t>NOPAT – year 3</t>
        </is>
      </c>
      <c r="F52" s="42">
        <f>F47*(1-'NOPAT Bridge'!H$39)</f>
        <v/>
      </c>
      <c r="G52" s="42">
        <f>'NOPAT Bridge'!H41</f>
        <v/>
      </c>
      <c r="H52" s="42">
        <f>H47*(1-'NOPAT Bridge'!H$39)</f>
        <v/>
      </c>
    </row>
    <row r="53">
      <c r="A53" s="41" t="inlineStr">
        <is>
          <t>NOPAT – year 4</t>
        </is>
      </c>
      <c r="F53" s="42">
        <f>F48*(1-'NOPAT Bridge'!I$39)</f>
        <v/>
      </c>
      <c r="G53" s="42">
        <f>'NOPAT Bridge'!I41</f>
        <v/>
      </c>
      <c r="H53" s="42">
        <f>H48*(1-'NOPAT Bridge'!I$39)</f>
        <v/>
      </c>
    </row>
    <row r="54">
      <c r="A54" s="41" t="inlineStr">
        <is>
          <t>NOPAT – year 5</t>
        </is>
      </c>
      <c r="F54" s="42">
        <f>F49*(1-'NOPAT Bridge'!J$39)</f>
        <v/>
      </c>
      <c r="G54" s="42">
        <f>'NOPAT Bridge'!J41</f>
        <v/>
      </c>
      <c r="H54" s="42">
        <f>H49*(1-'NOPAT Bridge'!J$39)</f>
        <v/>
      </c>
    </row>
    <row r="55">
      <c r="A55" s="41" t="inlineStr">
        <is>
          <t>D&amp;A – year 1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>D&amp;A – year 2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>D&amp;A – year 3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>D&amp;A – year 4</t>
        </is>
      </c>
      <c r="F58" s="42">
        <f>F28*F12</f>
        <v/>
      </c>
      <c r="G58" s="42">
        <f>G28*G12</f>
        <v/>
      </c>
      <c r="H58" s="42">
        <f>H28*H12</f>
        <v/>
      </c>
    </row>
    <row r="59">
      <c r="A59" s="41" t="inlineStr">
        <is>
          <t>D&amp;A – year 5</t>
        </is>
      </c>
      <c r="F59" s="42">
        <f>F29*F12</f>
        <v/>
      </c>
      <c r="G59" s="42">
        <f>G29*G12</f>
        <v/>
      </c>
      <c r="H59" s="42">
        <f>H29*H12</f>
        <v/>
      </c>
    </row>
    <row r="60">
      <c r="A60" s="41" t="inlineStr">
        <is>
          <t>Capex – year 1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>Capex – year 2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>Capex – year 3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>Capex – year 4</t>
        </is>
      </c>
      <c r="F63" s="42">
        <f>F28*F13</f>
        <v/>
      </c>
      <c r="G63" s="42">
        <f>G28*G13</f>
        <v/>
      </c>
      <c r="H63" s="42">
        <f>H28*H13</f>
        <v/>
      </c>
    </row>
    <row r="64">
      <c r="A64" s="41" t="inlineStr">
        <is>
          <t>Capex – year 5</t>
        </is>
      </c>
      <c r="F64" s="42">
        <f>F29*F13</f>
        <v/>
      </c>
      <c r="G64" s="42">
        <f>G29*G13</f>
        <v/>
      </c>
      <c r="H64" s="42">
        <f>H29*H13</f>
        <v/>
      </c>
    </row>
    <row r="65">
      <c r="A65" s="41" t="inlineStr">
        <is>
          <t>DSO (days) – year 1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>DSO (days) – year 2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>DSO (days) – year 3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>DSO (days) – year 4</t>
        </is>
      </c>
      <c r="F68" s="44">
        <f>F15</f>
        <v/>
      </c>
      <c r="G68" s="44">
        <f>G15</f>
        <v/>
      </c>
      <c r="H68" s="44">
        <f>H15</f>
        <v/>
      </c>
    </row>
    <row r="69">
      <c r="A69" s="41" t="inlineStr">
        <is>
          <t>DSO (days) – year 5</t>
        </is>
      </c>
      <c r="F69" s="44">
        <f>F15</f>
        <v/>
      </c>
      <c r="G69" s="44">
        <f>G15</f>
        <v/>
      </c>
      <c r="H69" s="44">
        <f>H15</f>
        <v/>
      </c>
    </row>
    <row r="70">
      <c r="A70" s="41" t="inlineStr">
        <is>
          <t>Accounts receivable – year 1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>Accounts receivable – year 2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>Accounts receivable – year 3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>Accounts receivable – year 4</t>
        </is>
      </c>
      <c r="F73" s="42">
        <f>(F68/365)*F28</f>
        <v/>
      </c>
      <c r="G73" s="42">
        <f>(G68/365)*G28</f>
        <v/>
      </c>
      <c r="H73" s="42">
        <f>(H68/365)*H28</f>
        <v/>
      </c>
    </row>
    <row r="74">
      <c r="A74" s="41" t="inlineStr">
        <is>
          <t>Accounts receivable – year 5</t>
        </is>
      </c>
      <c r="F74" s="42">
        <f>(F69/365)*F29</f>
        <v/>
      </c>
      <c r="G74" s="42">
        <f>(G69/365)*G29</f>
        <v/>
      </c>
      <c r="H74" s="42">
        <f>(H69/365)*H29</f>
        <v/>
      </c>
    </row>
    <row r="75">
      <c r="A75" s="41" t="inlineStr">
        <is>
          <t>DIO (days) – year 1</t>
        </is>
      </c>
      <c r="F75" s="44">
        <f>F16-F17*1</f>
        <v/>
      </c>
      <c r="G75" s="44">
        <f>G16-G17*1</f>
        <v/>
      </c>
      <c r="H75" s="44">
        <f>H16-H17*1</f>
        <v/>
      </c>
    </row>
    <row r="76">
      <c r="A76" s="41" t="inlineStr">
        <is>
          <t>DIO (days) – year 2</t>
        </is>
      </c>
      <c r="F76" s="44">
        <f>F16-F17*2</f>
        <v/>
      </c>
      <c r="G76" s="44">
        <f>G16-G17*2</f>
        <v/>
      </c>
      <c r="H76" s="44">
        <f>H16-H17*2</f>
        <v/>
      </c>
    </row>
    <row r="77">
      <c r="A77" s="41" t="inlineStr">
        <is>
          <t>DIO (days) – year 3</t>
        </is>
      </c>
      <c r="F77" s="44">
        <f>F16-F17*3</f>
        <v/>
      </c>
      <c r="G77" s="44">
        <f>G16-G17*3</f>
        <v/>
      </c>
      <c r="H77" s="44">
        <f>H16-H17*3</f>
        <v/>
      </c>
    </row>
    <row r="78">
      <c r="A78" s="41" t="inlineStr">
        <is>
          <t>DIO (days) – year 4</t>
        </is>
      </c>
      <c r="F78" s="44">
        <f>F16-F17*4</f>
        <v/>
      </c>
      <c r="G78" s="44">
        <f>G16-G17*4</f>
        <v/>
      </c>
      <c r="H78" s="44">
        <f>H16-H17*4</f>
        <v/>
      </c>
    </row>
    <row r="79">
      <c r="A79" s="41" t="inlineStr">
        <is>
          <t>DIO (days) – year 5</t>
        </is>
      </c>
      <c r="F79" s="44">
        <f>F16-F17*5</f>
        <v/>
      </c>
      <c r="G79" s="44">
        <f>G16-G17*5</f>
        <v/>
      </c>
      <c r="H79" s="44">
        <f>H16-H17*5</f>
        <v/>
      </c>
    </row>
    <row r="80">
      <c r="A80" s="41" t="inlineStr">
        <is>
          <t>Inventories – year 1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>Inventories – year 2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>Inventories – year 3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>Inventories – year 4</t>
        </is>
      </c>
      <c r="F83" s="42">
        <f>(F78/365)*F38</f>
        <v/>
      </c>
      <c r="G83" s="42">
        <f>(G78/365)*G38</f>
        <v/>
      </c>
      <c r="H83" s="42">
        <f>(H78/365)*H38</f>
        <v/>
      </c>
    </row>
    <row r="84">
      <c r="A84" s="41" t="inlineStr">
        <is>
          <t>Inventories – year 5</t>
        </is>
      </c>
      <c r="F84" s="42">
        <f>(F79/365)*F39</f>
        <v/>
      </c>
      <c r="G84" s="42">
        <f>(G79/365)*G39</f>
        <v/>
      </c>
      <c r="H84" s="42">
        <f>(H79/365)*H39</f>
        <v/>
      </c>
    </row>
    <row r="85">
      <c r="A85" s="41" t="inlineStr">
        <is>
          <t>DPO (days) – year 1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>DPO (days) – year 2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>DPO (days) – year 3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>DPO (days) – year 4</t>
        </is>
      </c>
      <c r="F88" s="44">
        <f>F18</f>
        <v/>
      </c>
      <c r="G88" s="44">
        <f>G18</f>
        <v/>
      </c>
      <c r="H88" s="44">
        <f>H18</f>
        <v/>
      </c>
    </row>
    <row r="89">
      <c r="A89" s="41" t="inlineStr">
        <is>
          <t>DPO (days) – year 5</t>
        </is>
      </c>
      <c r="F89" s="44">
        <f>F18</f>
        <v/>
      </c>
      <c r="G89" s="44">
        <f>G18</f>
        <v/>
      </c>
      <c r="H89" s="44">
        <f>H18</f>
        <v/>
      </c>
    </row>
    <row r="90">
      <c r="A90" s="41" t="inlineStr">
        <is>
          <t>Accounts payable – year 1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>Accounts payable – year 2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>Accounts payable – year 3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>Accounts payable – year 4</t>
        </is>
      </c>
      <c r="F93" s="42">
        <f>(F88/365)*F38</f>
        <v/>
      </c>
      <c r="G93" s="42">
        <f>(G88/365)*G38</f>
        <v/>
      </c>
      <c r="H93" s="42">
        <f>(H88/365)*H38</f>
        <v/>
      </c>
    </row>
    <row r="94">
      <c r="A94" s="41" t="inlineStr">
        <is>
          <t>Accounts payable – year 5</t>
        </is>
      </c>
      <c r="F94" s="42">
        <f>(F89/365)*F39</f>
        <v/>
      </c>
      <c r="G94" s="42">
        <f>(G89/365)*G39</f>
        <v/>
      </c>
      <c r="H94" s="42">
        <f>(H89/365)*H39</f>
        <v/>
      </c>
    </row>
    <row r="95">
      <c r="A95" s="41" t="inlineStr">
        <is>
          <t>Prepaid expenses (other current assets) – year 1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>Prepaid expenses (other current assets) – year 2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>Prepaid expenses (other current assets) – year 3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>Prepaid expenses (other current assets) – year 4</t>
        </is>
      </c>
      <c r="F98" s="42">
        <f>F28*F19</f>
        <v/>
      </c>
      <c r="G98" s="42">
        <f>G28*G19</f>
        <v/>
      </c>
      <c r="H98" s="42">
        <f>H28*H19</f>
        <v/>
      </c>
    </row>
    <row r="99">
      <c r="A99" s="41" t="inlineStr">
        <is>
          <t>Prepaid expenses (other current assets) – year 5</t>
        </is>
      </c>
      <c r="F99" s="42">
        <f>F29*F19</f>
        <v/>
      </c>
      <c r="G99" s="42">
        <f>G29*G19</f>
        <v/>
      </c>
      <c r="H99" s="42">
        <f>H29*H19</f>
        <v/>
      </c>
    </row>
    <row r="100">
      <c r="A100" s="41" t="inlineStr">
        <is>
          <t>Accrued liabilities – year 1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>Accrued liabilities – year 2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>Accrued liabilities – year 3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>Accrued liabilities – year 4</t>
        </is>
      </c>
      <c r="F103" s="42">
        <f>F28*F20</f>
        <v/>
      </c>
      <c r="G103" s="42">
        <f>G28*G20</f>
        <v/>
      </c>
      <c r="H103" s="42">
        <f>H28*H20</f>
        <v/>
      </c>
    </row>
    <row r="104">
      <c r="A104" s="41" t="inlineStr">
        <is>
          <t>Accrued liabilities – year 5</t>
        </is>
      </c>
      <c r="F104" s="42">
        <f>F29*F20</f>
        <v/>
      </c>
      <c r="G104" s="42">
        <f>G29*G20</f>
        <v/>
      </c>
      <c r="H104" s="42">
        <f>H29*H20</f>
        <v/>
      </c>
    </row>
    <row r="105">
      <c r="A105" s="41" t="inlineStr">
        <is>
          <t>Current operating assets (AR + inv + prepaids) – year 1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>Current operating assets (AR + inv + prepaids) – year 2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>Current operating assets (AR + inv + prepaids) – year 3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>Current operating assets (AR + inv + prepaids) – year 4</t>
        </is>
      </c>
      <c r="F108" s="42">
        <f>F73+F83+F98</f>
        <v/>
      </c>
      <c r="G108" s="42">
        <f>G73+G83+G98</f>
        <v/>
      </c>
      <c r="H108" s="42">
        <f>H73+H83+H98</f>
        <v/>
      </c>
    </row>
    <row r="109">
      <c r="A109" s="41" t="inlineStr">
        <is>
          <t>Current operating assets (AR + inv + prepaids) – year 5</t>
        </is>
      </c>
      <c r="F109" s="42">
        <f>F74+F84+F99</f>
        <v/>
      </c>
      <c r="G109" s="42">
        <f>G74+G84+G99</f>
        <v/>
      </c>
      <c r="H109" s="42">
        <f>H74+H84+H99</f>
        <v/>
      </c>
    </row>
    <row r="110">
      <c r="A110" s="41" t="inlineStr">
        <is>
          <t>Current operating liabilities (AP + accruals) – year 1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>Current operating liabilities (AP + accruals) – year 2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>Current operating liabilities (AP + accruals) – year 3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>Current operating liabilities (AP + accruals) – year 4</t>
        </is>
      </c>
      <c r="F113" s="42">
        <f>F93+F103</f>
        <v/>
      </c>
      <c r="G113" s="42">
        <f>G93+G103</f>
        <v/>
      </c>
      <c r="H113" s="42">
        <f>H93+H103</f>
        <v/>
      </c>
    </row>
    <row r="114">
      <c r="A114" s="41" t="inlineStr">
        <is>
          <t>Current operating liabilities (AP + accruals) – year 5</t>
        </is>
      </c>
      <c r="F114" s="42">
        <f>F94+F104</f>
        <v/>
      </c>
      <c r="G114" s="42">
        <f>G94+G104</f>
        <v/>
      </c>
      <c r="H114" s="42">
        <f>H94+H104</f>
        <v/>
      </c>
    </row>
    <row r="115">
      <c r="A115" s="41" t="inlineStr">
        <is>
          <t>Net working capital – year 1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>Net working capital – year 2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>Net working capital – year 3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>Net working capital – year 4</t>
        </is>
      </c>
      <c r="F118" s="42">
        <f>F108-F113</f>
        <v/>
      </c>
      <c r="G118" s="42">
        <f>G108-G113</f>
        <v/>
      </c>
      <c r="H118" s="42">
        <f>H108-H113</f>
        <v/>
      </c>
    </row>
    <row r="119">
      <c r="A119" s="41" t="inlineStr">
        <is>
          <t>Net working capital – year 5</t>
        </is>
      </c>
      <c r="F119" s="42">
        <f>F109-F114</f>
        <v/>
      </c>
      <c r="G119" s="42">
        <f>G109-G114</f>
        <v/>
      </c>
      <c r="H119" s="42">
        <f>H109-H114</f>
        <v/>
      </c>
    </row>
    <row r="120">
      <c r="A120" s="41" t="inlineStr">
        <is>
          <t>ΔNWC (prior yr − current yr) – year 1</t>
        </is>
      </c>
      <c r="F120" s="42">
        <f>1461096-F115</f>
        <v/>
      </c>
      <c r="G120" s="42">
        <f>1461096-G115</f>
        <v/>
      </c>
      <c r="H120" s="42">
        <f>1461096-H115</f>
        <v/>
      </c>
    </row>
    <row r="121">
      <c r="A121" s="41" t="inlineStr">
        <is>
          <t>ΔNWC (prior yr − current yr) – year 2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>ΔNWC (prior yr − current yr) – year 3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>ΔNWC (prior yr − current yr) – year 4</t>
        </is>
      </c>
      <c r="F123" s="42">
        <f>F117-F118</f>
        <v/>
      </c>
      <c r="G123" s="42">
        <f>G117-G118</f>
        <v/>
      </c>
      <c r="H123" s="42">
        <f>H117-H118</f>
        <v/>
      </c>
    </row>
    <row r="124">
      <c r="A124" s="41" t="inlineStr">
        <is>
          <t>ΔNWC (prior yr − current yr) – year 5</t>
        </is>
      </c>
      <c r="F124" s="42">
        <f>F118-F119</f>
        <v/>
      </c>
      <c r="G124" s="42">
        <f>G118-G119</f>
        <v/>
      </c>
      <c r="H124" s="42">
        <f>H118-H119</f>
        <v/>
      </c>
    </row>
    <row r="125">
      <c r="A125" s="41" t="inlineStr">
        <is>
          <t>Unlevered FCF – year 1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>Unlevered FCF – year 2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>Unlevered FCF – year 3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8">
      <c r="A128" s="41" t="inlineStr">
        <is>
          <t>Unlevered FCF – year 4</t>
        </is>
      </c>
      <c r="F128" s="42">
        <f>F53+F58-F63+F123</f>
        <v/>
      </c>
      <c r="G128" s="42">
        <f>G53+G58-G63+G123</f>
        <v/>
      </c>
      <c r="H128" s="42">
        <f>H53+H58-H63+H123</f>
        <v/>
      </c>
    </row>
    <row r="129">
      <c r="A129" s="41" t="inlineStr">
        <is>
          <t>Unlevered FCF – year 5</t>
        </is>
      </c>
      <c r="F129" s="42">
        <f>F54+F59-F64+F124</f>
        <v/>
      </c>
      <c r="G129" s="42">
        <f>G54+G59-G64+G124</f>
        <v/>
      </c>
      <c r="H129" s="42">
        <f>H54+H59-H64+H124</f>
        <v/>
      </c>
    </row>
    <row r="130"/>
    <row r="131">
      <c r="A131" s="23" t="inlineStr">
        <is>
          <t>Enterprise value (DCF)</t>
        </is>
      </c>
      <c r="F131" s="25">
        <f>NPV(F9,F125,F126,F127,F128,F129)+(F129*(1+F10)/(F9-F10))/(1+F9)^5</f>
        <v/>
      </c>
      <c r="G131" s="25">
        <f>NPV(G9,G125,G126,G127,G128,G129)+(G129*(1+G10)/(G9-G10))/(1+G9)^5</f>
        <v/>
      </c>
      <c r="H131" s="25">
        <f>NPV(H9,H125,H126,H127,H128,H129)+(H129*(1+H10)/(H9-H10))/(1+H9)^5</f>
        <v/>
      </c>
    </row>
    <row r="132">
      <c r="A132" s="45" t="inlineStr">
        <is>
          <t>Implied share price</t>
        </is>
      </c>
      <c r="F132" s="46">
        <f>(F131+1807202-1798441)/111380</f>
        <v/>
      </c>
      <c r="G132" s="47">
        <f>(G131+1807202-1798441)/111380</f>
        <v/>
      </c>
      <c r="H132" s="46">
        <f>(H131+1807202-1798441)/111380</f>
        <v/>
      </c>
    </row>
    <row r="133">
      <c r="A133" s="23" t="inlineStr">
        <is>
          <t>Upside / (downside) vs current</t>
        </is>
      </c>
      <c r="F133" s="48">
        <f>F132/100.0-1</f>
        <v/>
      </c>
      <c r="G133" s="48">
        <f>G132/100.0-1</f>
        <v/>
      </c>
      <c r="H133" s="48">
        <f>H132/100.0-1</f>
        <v/>
      </c>
    </row>
    <row r="134"/>
    <row r="135">
      <c r="A135" s="26" t="inlineStr">
        <is>
          <t>Current price $100.00; cash $1,807,202 k; lease debt $1,798,441 k; funded debt $0; net cash $8,761 k.</t>
        </is>
      </c>
    </row>
    <row r="136"/>
    <row r="137">
      <c r="A137" s="14" t="inlineStr">
        <is>
          <t>Pitch deck bridge (IS / CFS / BS)</t>
        </is>
      </c>
    </row>
    <row r="138">
      <c r="A138" s="41" t="inlineStr">
        <is>
          <t>Other income – year 1</t>
        </is>
      </c>
      <c r="F138" s="42" t="n">
        <v>45000</v>
      </c>
      <c r="G138" s="42" t="n">
        <v>45000</v>
      </c>
      <c r="H138" s="42" t="n">
        <v>45000</v>
      </c>
    </row>
    <row r="139">
      <c r="A139" s="41" t="inlineStr">
        <is>
          <t>Other income – year 2</t>
        </is>
      </c>
      <c r="F139" s="42" t="n">
        <v>40000</v>
      </c>
      <c r="G139" s="42" t="n">
        <v>40000</v>
      </c>
      <c r="H139" s="42" t="n">
        <v>40000</v>
      </c>
    </row>
    <row r="140">
      <c r="A140" s="41" t="inlineStr">
        <is>
          <t>Other income – year 3</t>
        </is>
      </c>
      <c r="F140" s="42" t="n">
        <v>35000</v>
      </c>
      <c r="G140" s="42" t="n">
        <v>35000</v>
      </c>
      <c r="H140" s="42" t="n">
        <v>35000</v>
      </c>
    </row>
    <row r="141">
      <c r="A141" s="41" t="inlineStr">
        <is>
          <t>Other income – year 4</t>
        </is>
      </c>
      <c r="F141" s="42" t="n">
        <v>30000</v>
      </c>
      <c r="G141" s="42" t="n">
        <v>30000</v>
      </c>
      <c r="H141" s="42" t="n">
        <v>30000</v>
      </c>
    </row>
    <row r="142">
      <c r="A142" s="41" t="inlineStr">
        <is>
          <t>Other income – year 5</t>
        </is>
      </c>
      <c r="F142" s="42" t="n">
        <v>25000</v>
      </c>
      <c r="G142" s="42" t="n">
        <v>25000</v>
      </c>
      <c r="H142" s="42" t="n">
        <v>25000</v>
      </c>
    </row>
    <row r="143">
      <c r="A143" s="41" t="inlineStr">
        <is>
          <t>Net income – year 1</t>
        </is>
      </c>
      <c r="F143" s="42">
        <f>(F45+F138)*(1-F11)</f>
        <v/>
      </c>
      <c r="G143" s="42">
        <f>(G45+G138)*(1-G11)</f>
        <v/>
      </c>
      <c r="H143" s="42">
        <f>(H45+H138)*(1-H11)</f>
        <v/>
      </c>
    </row>
    <row r="144">
      <c r="A144" s="41" t="inlineStr">
        <is>
          <t>Net income – year 2</t>
        </is>
      </c>
      <c r="F144" s="42">
        <f>(F46+F139)*(1-F11)</f>
        <v/>
      </c>
      <c r="G144" s="42">
        <f>(G46+G139)*(1-G11)</f>
        <v/>
      </c>
      <c r="H144" s="42">
        <f>(H46+H139)*(1-H11)</f>
        <v/>
      </c>
    </row>
    <row r="145">
      <c r="A145" s="41" t="inlineStr">
        <is>
          <t>Net income – year 3</t>
        </is>
      </c>
      <c r="F145" s="42">
        <f>(F47+F140)*(1-F11)</f>
        <v/>
      </c>
      <c r="G145" s="42">
        <f>(G47+G140)*(1-G11)</f>
        <v/>
      </c>
      <c r="H145" s="42">
        <f>(H47+H140)*(1-H11)</f>
        <v/>
      </c>
    </row>
    <row r="146">
      <c r="A146" s="41" t="inlineStr">
        <is>
          <t>Net income – year 4</t>
        </is>
      </c>
      <c r="F146" s="42">
        <f>(F48+F141)*(1-F11)</f>
        <v/>
      </c>
      <c r="G146" s="42">
        <f>(G48+G141)*(1-G11)</f>
        <v/>
      </c>
      <c r="H146" s="42">
        <f>(H48+H141)*(1-H11)</f>
        <v/>
      </c>
    </row>
    <row r="147">
      <c r="A147" s="41" t="inlineStr">
        <is>
          <t>Net income – year 5</t>
        </is>
      </c>
      <c r="F147" s="42">
        <f>(F49+F142)*(1-F11)</f>
        <v/>
      </c>
      <c r="G147" s="42">
        <f>(G49+G142)*(1-G11)</f>
        <v/>
      </c>
      <c r="H147" s="42">
        <f>(H49+H142)*(1-H11)</f>
        <v/>
      </c>
    </row>
    <row r="148">
      <c r="A148" s="41" t="inlineStr">
        <is>
          <t>Cash from operations – year 1</t>
        </is>
      </c>
      <c r="F148" s="42">
        <f>F143+F55+F120</f>
        <v/>
      </c>
      <c r="G148" s="42">
        <f>G143+G55+G120</f>
        <v/>
      </c>
      <c r="H148" s="42">
        <f>H143+H55+H120</f>
        <v/>
      </c>
    </row>
    <row r="149">
      <c r="A149" s="41" t="inlineStr">
        <is>
          <t>Cash from operations – year 2</t>
        </is>
      </c>
      <c r="F149" s="42">
        <f>F144+F56+F121</f>
        <v/>
      </c>
      <c r="G149" s="42">
        <f>G144+G56+G121</f>
        <v/>
      </c>
      <c r="H149" s="42">
        <f>H144+H56+H121</f>
        <v/>
      </c>
    </row>
    <row r="150">
      <c r="A150" s="41" t="inlineStr">
        <is>
          <t>Cash from operations – year 3</t>
        </is>
      </c>
      <c r="F150" s="42">
        <f>F145+F57+F122</f>
        <v/>
      </c>
      <c r="G150" s="42">
        <f>G145+G57+G122</f>
        <v/>
      </c>
      <c r="H150" s="42">
        <f>H145+H57+H122</f>
        <v/>
      </c>
    </row>
    <row r="151">
      <c r="A151" s="41" t="inlineStr">
        <is>
          <t>Cash from operations – year 4</t>
        </is>
      </c>
      <c r="F151" s="42">
        <f>F146+F58+F123</f>
        <v/>
      </c>
      <c r="G151" s="42">
        <f>G146+G58+G123</f>
        <v/>
      </c>
      <c r="H151" s="42">
        <f>H146+H58+H123</f>
        <v/>
      </c>
    </row>
    <row r="152">
      <c r="A152" s="41" t="inlineStr">
        <is>
          <t>Cash from operations – year 5</t>
        </is>
      </c>
      <c r="F152" s="42">
        <f>F147+F59+F124</f>
        <v/>
      </c>
      <c r="G152" s="42">
        <f>G147+G59+G124</f>
        <v/>
      </c>
      <c r="H152" s="42">
        <f>H147+H59+H124</f>
        <v/>
      </c>
    </row>
    <row r="153">
      <c r="A153" s="41" t="inlineStr">
        <is>
          <t>Free cash flow (CFS) – year 1</t>
        </is>
      </c>
      <c r="F153" s="42">
        <f>F148-F60</f>
        <v/>
      </c>
      <c r="G153" s="42">
        <f>G148-G60</f>
        <v/>
      </c>
      <c r="H153" s="42">
        <f>H148-H60</f>
        <v/>
      </c>
    </row>
    <row r="154">
      <c r="A154" s="41" t="inlineStr">
        <is>
          <t>Free cash flow (CFS) – year 2</t>
        </is>
      </c>
      <c r="F154" s="42">
        <f>F149-F61</f>
        <v/>
      </c>
      <c r="G154" s="42">
        <f>G149-G61</f>
        <v/>
      </c>
      <c r="H154" s="42">
        <f>H149-H61</f>
        <v/>
      </c>
    </row>
    <row r="155">
      <c r="A155" s="41" t="inlineStr">
        <is>
          <t>Free cash flow (CFS) – year 3</t>
        </is>
      </c>
      <c r="F155" s="42">
        <f>F150-F62</f>
        <v/>
      </c>
      <c r="G155" s="42">
        <f>G150-G62</f>
        <v/>
      </c>
      <c r="H155" s="42">
        <f>H150-H62</f>
        <v/>
      </c>
    </row>
    <row r="156">
      <c r="A156" s="41" t="inlineStr">
        <is>
          <t>Free cash flow (CFS) – year 4</t>
        </is>
      </c>
      <c r="F156" s="42">
        <f>F151-F63</f>
        <v/>
      </c>
      <c r="G156" s="42">
        <f>G151-G63</f>
        <v/>
      </c>
      <c r="H156" s="42">
        <f>H151-H63</f>
        <v/>
      </c>
    </row>
    <row r="157">
      <c r="A157" s="41" t="inlineStr">
        <is>
          <t>Free cash flow (CFS) – year 5</t>
        </is>
      </c>
      <c r="F157" s="42">
        <f>F152-F64</f>
        <v/>
      </c>
      <c r="G157" s="42">
        <f>G152-G64</f>
        <v/>
      </c>
      <c r="H157" s="42">
        <f>H152-H64</f>
        <v/>
      </c>
    </row>
    <row r="158">
      <c r="A158" s="41" t="inlineStr">
        <is>
          <t>Share repurchases – year 1</t>
        </is>
      </c>
      <c r="F158" s="42">
        <f>-F21</f>
        <v/>
      </c>
      <c r="G158" s="42">
        <f>-G21</f>
        <v/>
      </c>
      <c r="H158" s="42">
        <f>-ROUND(H22*H153,0)</f>
        <v/>
      </c>
    </row>
    <row r="159">
      <c r="A159" s="41" t="inlineStr">
        <is>
          <t>Share repurchases – year 2</t>
        </is>
      </c>
      <c r="F159" s="42">
        <f>-F21</f>
        <v/>
      </c>
      <c r="G159" s="42">
        <f>-G21</f>
        <v/>
      </c>
      <c r="H159" s="42">
        <f>-ROUND(H22*H154,0)</f>
        <v/>
      </c>
    </row>
    <row r="160">
      <c r="A160" s="41" t="inlineStr">
        <is>
          <t>Share repurchases – year 3</t>
        </is>
      </c>
      <c r="F160" s="42">
        <f>-F21</f>
        <v/>
      </c>
      <c r="G160" s="42">
        <f>-G21</f>
        <v/>
      </c>
      <c r="H160" s="42">
        <f>-ROUND(H22*H155,0)</f>
        <v/>
      </c>
    </row>
    <row r="161">
      <c r="A161" s="41" t="inlineStr">
        <is>
          <t>Share repurchases – year 4</t>
        </is>
      </c>
      <c r="F161" s="42">
        <f>-F21</f>
        <v/>
      </c>
      <c r="G161" s="42">
        <f>-G21</f>
        <v/>
      </c>
      <c r="H161" s="42">
        <f>-ROUND(H22*H156,0)</f>
        <v/>
      </c>
    </row>
    <row r="162">
      <c r="A162" s="41" t="inlineStr">
        <is>
          <t>Share repurchases – year 5</t>
        </is>
      </c>
      <c r="F162" s="42">
        <f>-F21</f>
        <v/>
      </c>
      <c r="G162" s="42">
        <f>-G21</f>
        <v/>
      </c>
      <c r="H162" s="42">
        <f>-ROUND(H22*H157,0)</f>
        <v/>
      </c>
    </row>
    <row r="163">
      <c r="A163" s="41" t="inlineStr">
        <is>
          <t>Cash &amp; equivalents – year 1</t>
        </is>
      </c>
      <c r="F163" s="42">
        <f>1807202+F153+F158</f>
        <v/>
      </c>
      <c r="G163" s="42">
        <f>1807202+G153+G158</f>
        <v/>
      </c>
      <c r="H163" s="42">
        <f>1807202+H153+H158</f>
        <v/>
      </c>
    </row>
    <row r="164">
      <c r="A164" s="41" t="inlineStr">
        <is>
          <t>Cash &amp; equivalents – year 2</t>
        </is>
      </c>
      <c r="F164" s="42">
        <f>F163+F154+F159</f>
        <v/>
      </c>
      <c r="G164" s="42">
        <f>G163+G154+G159</f>
        <v/>
      </c>
      <c r="H164" s="42">
        <f>H163+H154+H159</f>
        <v/>
      </c>
    </row>
    <row r="165">
      <c r="A165" s="41" t="inlineStr">
        <is>
          <t>Cash &amp; equivalents – year 3</t>
        </is>
      </c>
      <c r="F165" s="42">
        <f>F164+F155+F160</f>
        <v/>
      </c>
      <c r="G165" s="42">
        <f>G164+G155+G160</f>
        <v/>
      </c>
      <c r="H165" s="42">
        <f>H164+H155+H160</f>
        <v/>
      </c>
    </row>
    <row r="166">
      <c r="A166" s="41" t="inlineStr">
        <is>
          <t>Cash &amp; equivalents – year 4</t>
        </is>
      </c>
      <c r="F166" s="42">
        <f>F165+F156+F161</f>
        <v/>
      </c>
      <c r="G166" s="42">
        <f>G165+G156+G161</f>
        <v/>
      </c>
      <c r="H166" s="42">
        <f>H165+H156+H161</f>
        <v/>
      </c>
    </row>
    <row r="167">
      <c r="A167" s="41" t="inlineStr">
        <is>
          <t>Cash &amp; equivalents – year 5</t>
        </is>
      </c>
      <c r="F167" s="42">
        <f>F166+F157+F162</f>
        <v/>
      </c>
      <c r="G167" s="42">
        <f>G166+G157+G162</f>
        <v/>
      </c>
      <c r="H167" s="42">
        <f>H166+H157+H162</f>
        <v/>
      </c>
    </row>
    <row r="168">
      <c r="A168" s="41" t="inlineStr">
        <is>
          <t>Total assets – year 1</t>
        </is>
      </c>
      <c r="F168" s="42">
        <f>8456743*F25/11102600</f>
        <v/>
      </c>
      <c r="G168" s="42">
        <f>8456743*G25/11102600</f>
        <v/>
      </c>
      <c r="H168" s="42">
        <f>8456743*H25/11102600</f>
        <v/>
      </c>
    </row>
    <row r="169">
      <c r="A169" s="41" t="inlineStr">
        <is>
          <t>Total assets – year 2</t>
        </is>
      </c>
      <c r="F169" s="42">
        <f>8456743*F26/11102600</f>
        <v/>
      </c>
      <c r="G169" s="42">
        <f>8456743*G26/11102600</f>
        <v/>
      </c>
      <c r="H169" s="42">
        <f>8456743*H26/11102600</f>
        <v/>
      </c>
    </row>
    <row r="170">
      <c r="A170" s="41" t="inlineStr">
        <is>
          <t>Total assets – year 3</t>
        </is>
      </c>
      <c r="F170" s="42">
        <f>8456743*F27/11102600</f>
        <v/>
      </c>
      <c r="G170" s="42">
        <f>8456743*G27/11102600</f>
        <v/>
      </c>
      <c r="H170" s="42">
        <f>8456743*H27/11102600</f>
        <v/>
      </c>
    </row>
    <row r="171">
      <c r="A171" s="41" t="inlineStr">
        <is>
          <t>Total assets – year 4</t>
        </is>
      </c>
      <c r="F171" s="42">
        <f>8456743*F28/11102600</f>
        <v/>
      </c>
      <c r="G171" s="42">
        <f>8456743*G28/11102600</f>
        <v/>
      </c>
      <c r="H171" s="42">
        <f>8456743*H28/11102600</f>
        <v/>
      </c>
    </row>
    <row r="172">
      <c r="A172" s="41" t="inlineStr">
        <is>
          <t>Total assets – year 5</t>
        </is>
      </c>
      <c r="F172" s="42">
        <f>8456743*F29/11102600</f>
        <v/>
      </c>
      <c r="G172" s="42">
        <f>8456743*G29/11102600</f>
        <v/>
      </c>
      <c r="H172" s="42">
        <f>8456743*H29/11102600</f>
        <v/>
      </c>
    </row>
    <row r="173">
      <c r="A173" s="41" t="inlineStr">
        <is>
          <t>Total liabilities – year 1</t>
        </is>
      </c>
      <c r="F173" s="42">
        <f>3494903*F25/11102600</f>
        <v/>
      </c>
      <c r="G173" s="42">
        <f>3494903*G25/11102600</f>
        <v/>
      </c>
      <c r="H173" s="42">
        <f>3494903*H25/11102600</f>
        <v/>
      </c>
    </row>
    <row r="174">
      <c r="A174" s="41" t="inlineStr">
        <is>
          <t>Total liabilities – year 2</t>
        </is>
      </c>
      <c r="F174" s="42">
        <f>3494903*F26/11102600</f>
        <v/>
      </c>
      <c r="G174" s="42">
        <f>3494903*G26/11102600</f>
        <v/>
      </c>
      <c r="H174" s="42">
        <f>3494903*H26/11102600</f>
        <v/>
      </c>
    </row>
    <row r="175">
      <c r="A175" s="41" t="inlineStr">
        <is>
          <t>Total liabilities – year 3</t>
        </is>
      </c>
      <c r="F175" s="42">
        <f>3494903*F27/11102600</f>
        <v/>
      </c>
      <c r="G175" s="42">
        <f>3494903*G27/11102600</f>
        <v/>
      </c>
      <c r="H175" s="42">
        <f>3494903*H27/11102600</f>
        <v/>
      </c>
    </row>
    <row r="176">
      <c r="A176" s="41" t="inlineStr">
        <is>
          <t>Total liabilities – year 4</t>
        </is>
      </c>
      <c r="F176" s="42">
        <f>3494903*F28/11102600</f>
        <v/>
      </c>
      <c r="G176" s="42">
        <f>3494903*G28/11102600</f>
        <v/>
      </c>
      <c r="H176" s="42">
        <f>3494903*H28/11102600</f>
        <v/>
      </c>
    </row>
    <row r="177">
      <c r="A177" s="41" t="inlineStr">
        <is>
          <t>Total liabilities – year 5</t>
        </is>
      </c>
      <c r="F177" s="42">
        <f>3494903*F29/11102600</f>
        <v/>
      </c>
      <c r="G177" s="42">
        <f>3494903*G29/11102600</f>
        <v/>
      </c>
      <c r="H177" s="42">
        <f>3494903*H29/11102600</f>
        <v/>
      </c>
    </row>
    <row r="178">
      <c r="A178" s="41" t="inlineStr">
        <is>
          <t>Total equity – year 1</t>
        </is>
      </c>
      <c r="F178" s="42">
        <f>4961840*F25/11102600</f>
        <v/>
      </c>
      <c r="G178" s="42">
        <f>4961840*G25/11102600</f>
        <v/>
      </c>
      <c r="H178" s="42">
        <f>4961840*H25/11102600</f>
        <v/>
      </c>
    </row>
    <row r="179">
      <c r="A179" s="41" t="inlineStr">
        <is>
          <t>Total equity – year 2</t>
        </is>
      </c>
      <c r="F179" s="42">
        <f>4961840*F26/11102600</f>
        <v/>
      </c>
      <c r="G179" s="42">
        <f>4961840*G26/11102600</f>
        <v/>
      </c>
      <c r="H179" s="42">
        <f>4961840*H26/11102600</f>
        <v/>
      </c>
    </row>
    <row r="180">
      <c r="A180" s="41" t="inlineStr">
        <is>
          <t>Total equity – year 3</t>
        </is>
      </c>
      <c r="F180" s="42">
        <f>4961840*F27/11102600</f>
        <v/>
      </c>
      <c r="G180" s="42">
        <f>4961840*G27/11102600</f>
        <v/>
      </c>
      <c r="H180" s="42">
        <f>4961840*H27/11102600</f>
        <v/>
      </c>
    </row>
    <row r="181">
      <c r="A181" s="41" t="inlineStr">
        <is>
          <t>Total equity – year 4</t>
        </is>
      </c>
      <c r="F181" s="42">
        <f>4961840*F28/11102600</f>
        <v/>
      </c>
      <c r="G181" s="42">
        <f>4961840*G28/11102600</f>
        <v/>
      </c>
      <c r="H181" s="42">
        <f>4961840*H28/11102600</f>
        <v/>
      </c>
    </row>
    <row r="182">
      <c r="A182" s="41" t="inlineStr">
        <is>
          <t>Total equity – year 5</t>
        </is>
      </c>
      <c r="F182" s="42">
        <f>4961840*F29/11102600</f>
        <v/>
      </c>
      <c r="G182" s="42">
        <f>4961840*G29/11102600</f>
        <v/>
      </c>
      <c r="H182" s="42">
        <f>4961840*H29/11102600</f>
        <v/>
      </c>
    </row>
    <row r="183">
      <c r="A183" s="41" t="inlineStr">
        <is>
          <t>Diluted shares (000) – year 1</t>
        </is>
      </c>
      <c r="F183" s="42">
        <f>119068-F21/100</f>
        <v/>
      </c>
      <c r="G183" s="42">
        <f>119068-G21/100</f>
        <v/>
      </c>
      <c r="H183" s="42">
        <f>119068-ROUND(H22*H153,0)/100</f>
        <v/>
      </c>
    </row>
    <row r="184">
      <c r="A184" s="41" t="inlineStr">
        <is>
          <t>Diluted shares (000) – year 2</t>
        </is>
      </c>
      <c r="F184" s="42">
        <f>F183-F21/108</f>
        <v/>
      </c>
      <c r="G184" s="42">
        <f>G183-G21/108</f>
        <v/>
      </c>
      <c r="H184" s="42">
        <f>H183-ROUND(H22*H154,0)/108</f>
        <v/>
      </c>
    </row>
    <row r="185">
      <c r="A185" s="41" t="inlineStr">
        <is>
          <t>Diluted shares (000) – year 3</t>
        </is>
      </c>
      <c r="F185" s="42">
        <f>F184-F21/115</f>
        <v/>
      </c>
      <c r="G185" s="42">
        <f>G184-G21/115</f>
        <v/>
      </c>
      <c r="H185" s="42">
        <f>H184-ROUND(H22*H155,0)/115</f>
        <v/>
      </c>
    </row>
    <row r="186">
      <c r="A186" s="41" t="inlineStr">
        <is>
          <t>Diluted shares (000) – year 4</t>
        </is>
      </c>
      <c r="F186" s="42">
        <f>F185-F21/122</f>
        <v/>
      </c>
      <c r="G186" s="42">
        <f>G185-G21/122</f>
        <v/>
      </c>
      <c r="H186" s="42">
        <f>H185-ROUND(H22*H156,0)/122</f>
        <v/>
      </c>
    </row>
    <row r="187">
      <c r="A187" s="41" t="inlineStr">
        <is>
          <t>Diluted shares (000) – year 5</t>
        </is>
      </c>
      <c r="F187" s="42">
        <f>F186-F21/130</f>
        <v/>
      </c>
      <c r="G187" s="42">
        <f>G186-G21/130</f>
        <v/>
      </c>
      <c r="H187" s="42">
        <f>H186-ROUND(H22*H157,0)/130</f>
        <v/>
      </c>
    </row>
    <row r="188">
      <c r="A188" s="41" t="inlineStr">
        <is>
          <t>Diluted EPS ($) – year 1</t>
        </is>
      </c>
      <c r="F188" s="49">
        <f>F143/F183</f>
        <v/>
      </c>
      <c r="G188" s="49">
        <f>G143/G183</f>
        <v/>
      </c>
      <c r="H188" s="49">
        <f>H143/H183</f>
        <v/>
      </c>
    </row>
    <row r="189">
      <c r="A189" s="41" t="inlineStr">
        <is>
          <t>Diluted EPS ($) – year 2</t>
        </is>
      </c>
      <c r="F189" s="49">
        <f>F144/F184</f>
        <v/>
      </c>
      <c r="G189" s="49">
        <f>G144/G184</f>
        <v/>
      </c>
      <c r="H189" s="49">
        <f>H144/H184</f>
        <v/>
      </c>
    </row>
    <row r="190">
      <c r="A190" s="41" t="inlineStr">
        <is>
          <t>Diluted EPS ($) – year 3</t>
        </is>
      </c>
      <c r="F190" s="49">
        <f>F145/F185</f>
        <v/>
      </c>
      <c r="G190" s="49">
        <f>G145/G185</f>
        <v/>
      </c>
      <c r="H190" s="49">
        <f>H145/H185</f>
        <v/>
      </c>
    </row>
    <row r="191">
      <c r="A191" s="41" t="inlineStr">
        <is>
          <t>Diluted EPS ($) – year 4</t>
        </is>
      </c>
      <c r="F191" s="49">
        <f>F146/F186</f>
        <v/>
      </c>
      <c r="G191" s="49">
        <f>G146/G186</f>
        <v/>
      </c>
      <c r="H191" s="49">
        <f>H146/H186</f>
        <v/>
      </c>
    </row>
    <row r="192">
      <c r="A192" s="41" t="inlineStr">
        <is>
          <t>Diluted EPS ($) – year 5</t>
        </is>
      </c>
      <c r="F192" s="49">
        <f>F147/F187</f>
        <v/>
      </c>
      <c r="G192" s="49">
        <f>G147/G187</f>
        <v/>
      </c>
      <c r="H192" s="49">
        <f>H147/H187</f>
        <v/>
      </c>
    </row>
    <row r="193">
      <c r="A193" s="26" t="n"/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K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hidden="1" outlineLevel="1" width="40" customWidth="1" min="9" max="9"/>
    <col hidden="1" outlineLevel="1" width="28" customWidth="1" min="10" max="10"/>
    <col hidden="1" outlineLevel="1" width="16" customWidth="1" min="11" max="11"/>
    <col hidden="1" outlineLevel="1" width="36" customWidth="1" min="12" max="12"/>
  </cols>
  <sheetData>
    <row r="1">
      <c r="A1" s="50" t="inlineStr">
        <is>
          <t>Revenue drivers (FY26–30)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</row>
    <row r="2">
      <c r="A2" s="26" t="inlineStr">
        <is>
          <t>FY2025A = FY25 reported figures (blue). FY26–30 = red operational assumptions. Consolidated revenue cross-checks to Scenarios base case.</t>
        </is>
      </c>
    </row>
    <row r="3">
      <c r="I3" s="51" t="n"/>
      <c r="J3" s="51" t="inlineStr">
        <is>
          <t>Source (click)</t>
        </is>
      </c>
      <c r="K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6" t="n"/>
      <c r="J5" s="56" t="inlineStr">
        <is>
          <t>Source</t>
        </is>
      </c>
      <c r="K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17" t="n"/>
      <c r="J6" s="24" t="inlineStr">
        <is>
          <t>Revenue Drivers: beginning-stores formula</t>
        </is>
      </c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I7" s="17" t="n"/>
      <c r="J7" s="18" t="inlineStr">
        <is>
          <t>FY2025 10-K: store count &amp; expansion</t>
        </is>
      </c>
      <c r="K7" s="19" t="n"/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I8" s="17" t="n"/>
      <c r="J8" s="18" t="inlineStr">
        <is>
          <t>FY2025 10-K: lease renewal / fleet</t>
        </is>
      </c>
      <c r="K8" s="19" t="n"/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17" t="n"/>
      <c r="J9" s="24" t="inlineStr">
        <is>
          <t>Revenue Drivers: ending-stores formula</t>
        </is>
      </c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17" t="n"/>
      <c r="J10" s="24" t="inlineStr">
        <is>
          <t>Revenue Drivers: beginning-stores formula</t>
        </is>
      </c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I11" s="17" t="n"/>
      <c r="J11" s="18" t="inlineStr">
        <is>
          <t>FY2025 10-K: store count &amp; expansion</t>
        </is>
      </c>
      <c r="K11" s="19" t="n"/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I12" s="17" t="n"/>
      <c r="J12" s="18" t="inlineStr">
        <is>
          <t>FY2025 10-K: lease renewal / fleet</t>
        </is>
      </c>
      <c r="K12" s="19" t="n"/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17" t="n"/>
      <c r="J13" s="24" t="inlineStr">
        <is>
          <t>Revenue Drivers: ending-stores formula</t>
        </is>
      </c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17" t="n"/>
      <c r="J14" s="24" t="inlineStr">
        <is>
          <t>Revenue Drivers: beginning-stores formula</t>
        </is>
      </c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I15" s="17" t="n"/>
      <c r="J15" s="18" t="inlineStr">
        <is>
          <t>FY2025 10-K: store count &amp; expansion</t>
        </is>
      </c>
      <c r="K15" s="19" t="n"/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I16" s="17" t="n"/>
      <c r="J16" s="18" t="inlineStr">
        <is>
          <t>FY2025 10-K: lease renewal / fleet</t>
        </is>
      </c>
      <c r="K16" s="19" t="n"/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17" t="n"/>
      <c r="J17" s="24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17" t="n"/>
      <c r="J18" s="24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I19" s="17" t="n"/>
      <c r="J19" s="18" t="inlineStr">
        <is>
          <t>FY2025 10-K: sales per square foot</t>
        </is>
      </c>
      <c r="K19" s="19" t="n"/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17" t="n"/>
      <c r="J20" s="24" t="inlineStr">
        <is>
          <t>Revenue Drivers: total-sqft formula</t>
        </is>
      </c>
    </row>
    <row r="21"/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6" t="n"/>
      <c r="J23" s="56" t="inlineStr">
        <is>
          <t>Source</t>
        </is>
      </c>
      <c r="K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I24" s="17" t="n"/>
      <c r="J24" s="18" t="inlineStr">
        <is>
          <t>FY2025 10-K: comparable sales &amp; SPSF</t>
        </is>
      </c>
      <c r="K24" s="19" t="n"/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I25" s="17" t="n"/>
      <c r="J25" s="18" t="inlineStr">
        <is>
          <t>FY2025 10-K: Americas comparable sales</t>
        </is>
      </c>
      <c r="K25" s="19" t="n"/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I26" s="17" t="n"/>
      <c r="J26" s="18" t="inlineStr">
        <is>
          <t>FY2025 10-K: China Mainland comparable sales</t>
        </is>
      </c>
      <c r="K26" s="19" t="n"/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I27" s="17" t="n"/>
      <c r="J27" s="18" t="inlineStr">
        <is>
          <t>FY2025 10-K: Rest of World comparable sales</t>
        </is>
      </c>
      <c r="K27" s="19" t="n"/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17" t="n"/>
      <c r="J28" s="24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17" t="n"/>
      <c r="J29" s="24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17" t="n"/>
      <c r="J30" s="24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17" t="n"/>
      <c r="J31" s="24" t="inlineStr">
        <is>
          <t>Revenue Drivers: store-channel formula</t>
        </is>
      </c>
    </row>
    <row r="32" ht="28" customHeight="1">
      <c r="A32" s="41" t="n"/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I32" s="17" t="n"/>
      <c r="J32" s="18" t="inlineStr">
        <is>
          <t>FY2025 10-K: store traffic commentary</t>
        </is>
      </c>
      <c r="K32" s="19" t="n"/>
    </row>
    <row r="33" ht="28" customHeight="1">
      <c r="A33" s="41" t="n"/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I33" s="17" t="n"/>
      <c r="J33" s="18" t="inlineStr">
        <is>
          <t>FY2025 10-K: conversion rate commentary</t>
        </is>
      </c>
      <c r="K33" s="19" t="n"/>
    </row>
    <row r="34" ht="28" customHeight="1">
      <c r="A34" s="41" t="n"/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I34" s="17" t="n"/>
      <c r="J34" s="18" t="inlineStr">
        <is>
          <t>FY2025 10-K: average order value commentary</t>
        </is>
      </c>
      <c r="K34" s="19" t="n"/>
    </row>
    <row r="35"/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6" t="n"/>
      <c r="J37" s="56" t="inlineStr">
        <is>
          <t>Source</t>
        </is>
      </c>
      <c r="K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I38" s="17" t="n"/>
      <c r="J38" s="18" t="inlineStr">
        <is>
          <t>FY2025 10-K: e-commerce revenue</t>
        </is>
      </c>
      <c r="K38" s="19" t="n"/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I39" s="17" t="n"/>
      <c r="J39" s="18" t="inlineStr">
        <is>
          <t>FY2025 10-K: digital / traffic commentary</t>
        </is>
      </c>
      <c r="K39" s="19" t="n"/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I40" s="17" t="n"/>
      <c r="J40" s="18" t="inlineStr">
        <is>
          <t>FY2025 10-K: e-commerce revenue</t>
        </is>
      </c>
      <c r="K40" s="19" t="n"/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C38*1000000*C39*C40/1000</f>
        <v/>
      </c>
      <c r="D41" s="62">
        <f>D38*1000000*D39*D40/1000</f>
        <v/>
      </c>
      <c r="E41" s="62">
        <f>E38*1000000*E39*E40/1000</f>
        <v/>
      </c>
      <c r="F41" s="62">
        <f>F38*1000000*F39*F40/1000</f>
        <v/>
      </c>
      <c r="G41" s="62">
        <f>G38*1000000*G39*G40/1000</f>
        <v/>
      </c>
      <c r="I41" s="17" t="n"/>
      <c r="J41" s="24" t="inlineStr">
        <is>
          <t>Revenue Drivers: e-comm formula</t>
        </is>
      </c>
    </row>
    <row r="42"/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6" t="n"/>
      <c r="J44" s="56" t="inlineStr">
        <is>
          <t>Source</t>
        </is>
      </c>
      <c r="K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17" t="n"/>
      <c r="J45" s="18" t="inlineStr">
        <is>
          <t>FY2025 10-K: channel revenue table</t>
        </is>
      </c>
      <c r="K45" s="19" t="n"/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17" t="n"/>
      <c r="J46" s="18" t="inlineStr">
        <is>
          <t>FY2025 10-K: segmented net revenue</t>
        </is>
      </c>
      <c r="K46" s="19" t="n"/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17" t="n"/>
      <c r="J47" s="18" t="inlineStr">
        <is>
          <t>FY2025 10-K: segmented net revenue</t>
        </is>
      </c>
      <c r="K47" s="19" t="n"/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17" t="n"/>
      <c r="J48" s="18" t="inlineStr">
        <is>
          <t>FY2025 10-K: segmented net revenue</t>
        </is>
      </c>
      <c r="K48" s="19" t="n"/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I49" s="17" t="n"/>
      <c r="J49" s="18" t="inlineStr">
        <is>
          <t>FY2025 10-K: product category mix</t>
        </is>
      </c>
      <c r="K49" s="19" t="n"/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I50" s="17" t="n"/>
      <c r="J50" s="18" t="inlineStr">
        <is>
          <t>FY2025 10-K: product category mix</t>
        </is>
      </c>
      <c r="K50" s="19" t="n"/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I51" s="17" t="n"/>
      <c r="J51" s="18" t="inlineStr">
        <is>
          <t>FY2025 10-K: product category mix</t>
        </is>
      </c>
      <c r="K51" s="19" t="n"/>
    </row>
    <row r="52"/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6" t="n"/>
      <c r="J54" s="56" t="inlineStr">
        <is>
          <t>Source</t>
        </is>
      </c>
      <c r="K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17" t="n"/>
      <c r="J55" s="24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Scenarios!G25</f>
        <v/>
      </c>
      <c r="D56" s="42">
        <f>Scenarios!G26</f>
        <v/>
      </c>
      <c r="E56" s="42">
        <f>Scenarios!G27</f>
        <v/>
      </c>
      <c r="F56" s="42">
        <f>Scenarios!G28</f>
        <v/>
      </c>
      <c r="G56" s="42">
        <f>Scenarios!G29</f>
        <v/>
      </c>
      <c r="I56" s="17" t="n"/>
      <c r="J56" s="18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17" t="n"/>
      <c r="J57" s="24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17" t="n"/>
      <c r="J58" s="24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J45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hidden="1" outlineLevel="1" width="22" customWidth="1" min="2" max="2"/>
    <col hidden="1" outlineLevel="1" width="28" customWidth="1" min="3" max="3"/>
    <col hidden="1" outlineLevel="1"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bridge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51" t="n"/>
      <c r="C2" s="51" t="inlineStr">
        <is>
          <t>Source (click)</t>
        </is>
      </c>
      <c r="D2" s="51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>
      <c r="A3" s="52" t="inlineStr">
        <is>
          <t>NOPAT bridge</t>
        </is>
      </c>
    </row>
    <row r="4">
      <c r="A4" s="26" t="n"/>
    </row>
    <row r="5"/>
    <row r="6">
      <c r="A6" s="52" t="inlineStr">
        <is>
          <t>Driver assumptions</t>
        </is>
      </c>
    </row>
    <row r="7" ht="42" customHeight="1">
      <c r="A7" s="16" t="inlineStr">
        <is>
          <t>SBC add-back (0)</t>
        </is>
      </c>
      <c r="B7" s="17" t="n"/>
      <c r="C7" s="18" t="inlineStr">
        <is>
          <t>LULU CF statement (10-K): stock-based compensation</t>
        </is>
      </c>
      <c r="D7" s="19" t="n"/>
      <c r="E7" s="40" t="n">
        <v>0</v>
      </c>
      <c r="F7" s="40" t="n">
        <v>0</v>
      </c>
      <c r="G7" s="40" t="n">
        <v>0</v>
      </c>
      <c r="H7" s="40" t="n">
        <v>0</v>
      </c>
      <c r="I7" s="40" t="n">
        <v>0</v>
      </c>
      <c r="J7" s="40" t="n">
        <v>0</v>
      </c>
    </row>
    <row r="8">
      <c r="A8" s="26" t="n"/>
    </row>
    <row r="9" ht="70" customHeight="1">
      <c r="A9" s="16" t="inlineStr">
        <is>
          <t>Store-channel EBIT margin %</t>
        </is>
      </c>
      <c r="B9" s="17" t="n"/>
      <c r="C9" s="18" t="inlineStr">
        <is>
          <t>FY2025 10-K: company-operated stores net revenue</t>
        </is>
      </c>
      <c r="D9" s="19" t="n"/>
      <c r="E9" s="20" t="n">
        <v>0.186</v>
      </c>
      <c r="F9" s="20" t="n">
        <v>0.186</v>
      </c>
      <c r="G9" s="20" t="n">
        <v>0.186</v>
      </c>
      <c r="H9" s="20" t="n">
        <v>0.186</v>
      </c>
      <c r="I9" s="20" t="n">
        <v>0.186</v>
      </c>
      <c r="J9" s="20" t="n">
        <v>0.186</v>
      </c>
    </row>
    <row r="10" ht="70" customHeight="1">
      <c r="A10" s="16" t="inlineStr">
        <is>
          <t>E-commerce EBIT margin %</t>
        </is>
      </c>
      <c r="B10" s="17" t="n"/>
      <c r="C10" s="18" t="inlineStr">
        <is>
          <t>FY2025 10-K: e-commerce net revenue</t>
        </is>
      </c>
      <c r="D10" s="19" t="n"/>
      <c r="E10" s="20" t="n">
        <v>0.236</v>
      </c>
      <c r="F10" s="20" t="n">
        <v>0.236</v>
      </c>
      <c r="G10" s="20" t="n">
        <v>0.236</v>
      </c>
      <c r="H10" s="20" t="n">
        <v>0.236</v>
      </c>
      <c r="I10" s="20" t="n">
        <v>0.236</v>
      </c>
      <c r="J10" s="20" t="n">
        <v>0.236</v>
      </c>
    </row>
    <row r="11" ht="70" customHeight="1">
      <c r="A11" s="16" t="inlineStr">
        <is>
          <t>Other-channels EBIT margin %</t>
        </is>
      </c>
      <c r="B11" s="17" t="n"/>
      <c r="C11" s="18" t="inlineStr">
        <is>
          <t>FY2025 10-K: other channels (residual)</t>
        </is>
      </c>
      <c r="D11" s="19" t="n"/>
      <c r="E11" s="20" t="n">
        <v>0.091</v>
      </c>
      <c r="F11" s="20" t="n">
        <v>0.091</v>
      </c>
      <c r="G11" s="20" t="n">
        <v>0.091</v>
      </c>
      <c r="H11" s="20" t="n">
        <v>0.091</v>
      </c>
      <c r="I11" s="20" t="n">
        <v>0.091</v>
      </c>
      <c r="J11" s="20" t="n">
        <v>0.091</v>
      </c>
    </row>
    <row r="12" ht="28" customHeight="1">
      <c r="A12" s="16" t="inlineStr">
        <is>
          <t>Terminal marginal tax rate</t>
        </is>
      </c>
      <c r="B12" s="17" t="n"/>
      <c r="C12" s="18" t="inlineStr">
        <is>
          <t>Q2 FY2026 outlook: tax rate ≈ 30%</t>
        </is>
      </c>
      <c r="D12" s="19" t="n"/>
      <c r="E12" s="20" t="n">
        <v>0.3</v>
      </c>
      <c r="F12" s="20" t="n">
        <v>0.3</v>
      </c>
      <c r="G12" s="20" t="n">
        <v>0.3</v>
      </c>
      <c r="H12" s="20" t="n">
        <v>0.3</v>
      </c>
      <c r="I12" s="20" t="n">
        <v>0.3</v>
      </c>
      <c r="J12" s="20" t="n">
        <v>0.3</v>
      </c>
    </row>
    <row r="13" ht="28" customHeight="1">
      <c r="A13" s="16" t="inlineStr">
        <is>
          <t>R&amp;D amortization period (years)</t>
        </is>
      </c>
      <c r="B13" s="17" t="n"/>
      <c r="C13" s="24" t="inlineStr">
        <is>
          <t>NOPAT Bridge: capitalization convention</t>
        </is>
      </c>
      <c r="D13" s="19" t="n"/>
      <c r="E13" s="40" t="n">
        <v>4</v>
      </c>
      <c r="F13" s="40" t="n">
        <v>4</v>
      </c>
      <c r="G13" s="40" t="n">
        <v>4</v>
      </c>
      <c r="H13" s="40" t="n">
        <v>4</v>
      </c>
      <c r="I13" s="40" t="n">
        <v>4</v>
      </c>
      <c r="J13" s="40" t="n">
        <v>4</v>
      </c>
    </row>
    <row r="14"/>
    <row r="15" hidden="1" outlineLevel="1">
      <c r="A15" s="73" t="inlineStr">
        <is>
          <t>Reported EBIT adjustments</t>
        </is>
      </c>
    </row>
    <row r="16" hidden="1" outlineLevel="1" ht="28" customHeight="1">
      <c r="A16" s="16" t="inlineStr">
        <is>
          <t>Reported operating income (EBIT)</t>
        </is>
      </c>
      <c r="B16" s="17" t="n"/>
      <c r="C16" s="18" t="inlineStr">
        <is>
          <t>LULU FY2025 10-K: Income from operations</t>
        </is>
      </c>
      <c r="D16" s="19" t="n"/>
      <c r="E16" s="74" t="n">
        <v>2210615</v>
      </c>
      <c r="F16" s="75">
        <f>Scenarios!G45</f>
        <v/>
      </c>
      <c r="G16" s="75">
        <f>Scenarios!G46</f>
        <v/>
      </c>
      <c r="H16" s="75">
        <f>Scenarios!G47</f>
        <v/>
      </c>
      <c r="I16" s="75">
        <f>Scenarios!G48</f>
        <v/>
      </c>
      <c r="J16" s="75">
        <f>Scenarios!G49</f>
        <v/>
      </c>
    </row>
    <row r="17" hidden="1" outlineLevel="1" ht="28" customHeight="1">
      <c r="A17" s="16" t="inlineStr">
        <is>
          <t>+ Impairment / intangible amortization (add-back)</t>
        </is>
      </c>
      <c r="B17" s="17" t="n"/>
      <c r="C17" s="18" t="inlineStr">
        <is>
          <t>LULU FY2025 10-K: amortization of intangible assets</t>
        </is>
      </c>
      <c r="D17" s="19" t="n"/>
      <c r="E17" s="74" t="n">
        <v>6961</v>
      </c>
      <c r="F17" s="75" t="n">
        <v>0</v>
      </c>
      <c r="G17" s="75" t="n">
        <v>0</v>
      </c>
      <c r="H17" s="75" t="n">
        <v>0</v>
      </c>
      <c r="I17" s="75" t="n">
        <v>0</v>
      </c>
      <c r="J17" s="75" t="n">
        <v>0</v>
      </c>
    </row>
    <row r="18" hidden="1" outlineLevel="1" ht="28" customHeight="1">
      <c r="A18" s="16" t="inlineStr">
        <is>
          <t>+ Restructuring costs (add-back)</t>
        </is>
      </c>
      <c r="B18" s="17" t="n"/>
      <c r="C18" s="18" t="inlineStr">
        <is>
          <t>LULU FY2025 10-K: restructuring charges</t>
        </is>
      </c>
      <c r="D18" s="19" t="n"/>
      <c r="E18" s="74" t="n">
        <v>0</v>
      </c>
      <c r="F18" s="75" t="n">
        <v>0</v>
      </c>
      <c r="G18" s="75" t="n">
        <v>0</v>
      </c>
      <c r="H18" s="75" t="n">
        <v>0</v>
      </c>
      <c r="I18" s="75" t="n">
        <v>0</v>
      </c>
      <c r="J18" s="75" t="n">
        <v>0</v>
      </c>
    </row>
    <row r="19" hidden="1" outlineLevel="1" ht="28" customHeight="1">
      <c r="A19" s="16" t="inlineStr">
        <is>
          <t>+ Legal / M&amp;A one-offs (add-back)</t>
        </is>
      </c>
      <c r="B19" s="17" t="n"/>
      <c r="C19" s="18" t="inlineStr">
        <is>
          <t>LULU FY2025 10-K: SG&amp;A one-offs</t>
        </is>
      </c>
      <c r="D19" s="19" t="n"/>
      <c r="E19" s="74" t="n">
        <v>0</v>
      </c>
      <c r="F19" s="75" t="n">
        <v>0</v>
      </c>
      <c r="G19" s="75" t="n">
        <v>0</v>
      </c>
      <c r="H19" s="75" t="n">
        <v>0</v>
      </c>
      <c r="I19" s="75" t="n">
        <v>0</v>
      </c>
      <c r="J19" s="75" t="n">
        <v>0</v>
      </c>
    </row>
    <row r="20" hidden="1" outlineLevel="1" ht="42" customHeight="1">
      <c r="A20" s="16" t="inlineStr">
        <is>
          <t>+ Stock-based compensation (add-back only if flag = 1)</t>
        </is>
      </c>
      <c r="B20" s="17" t="n"/>
      <c r="C20" s="18" t="inlineStr">
        <is>
          <t>LULU CF statement (10-K): stock-based compensation</t>
        </is>
      </c>
      <c r="D20" s="19" t="n"/>
      <c r="E20" s="75">
        <f>62203*$E$7</f>
        <v/>
      </c>
      <c r="F20" s="75">
        <f>Scenarios!G25/11102600*62203*$E$7</f>
        <v/>
      </c>
      <c r="G20" s="75">
        <f>Scenarios!G26/11102600*62203*$E$7</f>
        <v/>
      </c>
      <c r="H20" s="75">
        <f>Scenarios!G27/11102600*62203*$E$7</f>
        <v/>
      </c>
      <c r="I20" s="75">
        <f>Scenarios!G28/11102600*62203*$E$7</f>
        <v/>
      </c>
      <c r="J20" s="75">
        <f>Scenarios!G29/11102600*62203*$E$7</f>
        <v/>
      </c>
    </row>
    <row r="21" hidden="1" outlineLevel="1" ht="28" customHeight="1">
      <c r="A21" s="23">
        <f> Adjusted EBIT (Phase 1)</f>
        <v/>
      </c>
      <c r="B21" s="17" t="n"/>
      <c r="C21" s="24" t="inlineStr">
        <is>
          <t>Subtotal</t>
        </is>
      </c>
      <c r="D21" s="19" t="n"/>
      <c r="F21" s="25">
        <f>F16+F17+F18+F19+F20</f>
        <v/>
      </c>
      <c r="G21" s="25">
        <f>G16+G17+G18+G19+G20</f>
        <v/>
      </c>
      <c r="H21" s="25">
        <f>H16+H17+H18+H19+H20</f>
        <v/>
      </c>
      <c r="I21" s="25">
        <f>I16+I17+I18+I19+I20</f>
        <v/>
      </c>
      <c r="J21" s="25">
        <f>J16+J17+J18+J19+J20</f>
        <v/>
      </c>
    </row>
    <row r="22" hidden="1" outlineLevel="1">
      <c r="A22" s="73" t="inlineStr">
        <is>
          <t>Lease &amp; R&amp;D adjustments</t>
        </is>
      </c>
    </row>
    <row r="23" hidden="1" outlineLevel="1" ht="42" customHeight="1">
      <c r="A23" s="16" t="inlineStr">
        <is>
          <t>+ Implied lease interest expense (reclass from rent)</t>
        </is>
      </c>
      <c r="B23" s="17" t="n"/>
      <c r="C23" s="18" t="inlineStr">
        <is>
          <t>LULU FY2025 10-K: interest on lease liabilities (supplemental)</t>
        </is>
      </c>
      <c r="D23" s="19" t="n"/>
      <c r="E23" s="74" t="n">
        <v>1028</v>
      </c>
      <c r="F23" s="75">
        <f>1028*(Scenarios!G25/11102600)</f>
        <v/>
      </c>
      <c r="G23" s="75">
        <f>1028*(Scenarios!G26/11102600)</f>
        <v/>
      </c>
      <c r="H23" s="75">
        <f>1028*(Scenarios!G27/11102600)</f>
        <v/>
      </c>
      <c r="I23" s="75">
        <f>1028*(Scenarios!G28/11102600)</f>
        <v/>
      </c>
      <c r="J23" s="75">
        <f>1028*(Scenarios!G29/11102600)</f>
        <v/>
      </c>
    </row>
    <row r="24" hidden="1" outlineLevel="1" ht="28" customHeight="1">
      <c r="A24" s="16" t="inlineStr">
        <is>
          <t>+ Capitalize R&amp;D / software (current-year expense)</t>
        </is>
      </c>
      <c r="B24" s="17" t="n"/>
      <c r="C24" s="18" t="inlineStr">
        <is>
          <t>LULU FY2025 10-K: R&amp;D / software expense</t>
        </is>
      </c>
      <c r="D24" s="19" t="n"/>
      <c r="E24" s="74" t="n">
        <v>0</v>
      </c>
      <c r="F24" s="75" t="n">
        <v>0</v>
      </c>
      <c r="G24" s="75" t="n">
        <v>0</v>
      </c>
      <c r="H24" s="75" t="n">
        <v>0</v>
      </c>
      <c r="I24" s="75" t="n">
        <v>0</v>
      </c>
      <c r="J24" s="75" t="n">
        <v>0</v>
      </c>
    </row>
    <row r="25" hidden="1" outlineLevel="1" ht="28" customHeight="1">
      <c r="A25" s="16" t="inlineStr">
        <is>
          <t>− Amortization of prior capitalized intangibles</t>
        </is>
      </c>
      <c r="B25" s="17" t="n"/>
      <c r="C25" s="18" t="inlineStr">
        <is>
          <t>LULU FY2025 10-K: intangible amortization</t>
        </is>
      </c>
      <c r="D25" s="19" t="n"/>
      <c r="E25" s="74" t="n">
        <v>6961</v>
      </c>
      <c r="F25" s="75" t="n">
        <v>0</v>
      </c>
      <c r="G25" s="75" t="n">
        <v>0</v>
      </c>
      <c r="H25" s="75" t="n">
        <v>0</v>
      </c>
      <c r="I25" s="75" t="n">
        <v>0</v>
      </c>
      <c r="J25" s="75" t="n">
        <v>0</v>
      </c>
    </row>
    <row r="26" hidden="1" outlineLevel="1" ht="28" customHeight="1">
      <c r="A26" s="23">
        <f> EBIT after lease &amp; capitalization (Phase 2)</f>
        <v/>
      </c>
      <c r="B26" s="17" t="n"/>
      <c r="C26" s="24" t="inlineStr">
        <is>
          <t>Subtotal</t>
        </is>
      </c>
      <c r="D26" s="19" t="n"/>
      <c r="F26" s="25">
        <f>F21+F23+F24-F25</f>
        <v/>
      </c>
      <c r="G26" s="25">
        <f>G21+G23+G24-G25</f>
        <v/>
      </c>
      <c r="H26" s="25">
        <f>H21+H23+H24-H25</f>
        <v/>
      </c>
      <c r="I26" s="25">
        <f>I21+I23+I24-I25</f>
        <v/>
      </c>
      <c r="J26" s="25">
        <f>J21+J23+J24-J25</f>
        <v/>
      </c>
    </row>
    <row r="27" hidden="1" outlineLevel="1">
      <c r="A27" s="73" t="inlineStr">
        <is>
          <t>Channel EBIT mix</t>
        </is>
      </c>
    </row>
    <row r="28" hidden="1" outlineLevel="1" ht="28" customHeight="1">
      <c r="A28" s="16" t="inlineStr">
        <is>
          <t>Store-channel revenue</t>
        </is>
      </c>
      <c r="B28" s="17" t="n"/>
      <c r="C28" s="18" t="inlineStr">
        <is>
          <t>Revenue Drivers tab: store-channel revenue</t>
        </is>
      </c>
      <c r="D28" s="19" t="n"/>
      <c r="E28" s="74" t="n">
        <v>5049744</v>
      </c>
      <c r="F28" s="75">
        <f>'Revenue Drivers'!C31</f>
        <v/>
      </c>
      <c r="G28" s="75">
        <f>'Revenue Drivers'!D31</f>
        <v/>
      </c>
      <c r="H28" s="75">
        <f>'Revenue Drivers'!E31</f>
        <v/>
      </c>
      <c r="I28" s="75">
        <f>'Revenue Drivers'!F31</f>
        <v/>
      </c>
      <c r="J28" s="75">
        <f>'Revenue Drivers'!G31</f>
        <v/>
      </c>
    </row>
    <row r="29" hidden="1" outlineLevel="1" ht="28" customHeight="1">
      <c r="A29" s="16" t="inlineStr">
        <is>
          <t>E-commerce revenue</t>
        </is>
      </c>
      <c r="B29" s="17" t="n"/>
      <c r="C29" s="18" t="inlineStr">
        <is>
          <t>Revenue Drivers tab: e-commerce revenue</t>
        </is>
      </c>
      <c r="D29" s="19" t="n"/>
      <c r="E29" s="74" t="n">
        <v>4918697</v>
      </c>
      <c r="F29" s="75">
        <f>'Revenue Drivers'!C41</f>
        <v/>
      </c>
      <c r="G29" s="75">
        <f>'Revenue Drivers'!D41</f>
        <v/>
      </c>
      <c r="H29" s="75">
        <f>'Revenue Drivers'!E41</f>
        <v/>
      </c>
      <c r="I29" s="75">
        <f>'Revenue Drivers'!F41</f>
        <v/>
      </c>
      <c r="J29" s="75">
        <f>'Revenue Drivers'!G41</f>
        <v/>
      </c>
    </row>
    <row r="30" hidden="1" outlineLevel="1" ht="28" customHeight="1">
      <c r="A30" s="16" t="inlineStr">
        <is>
          <t>Other channels revenue</t>
        </is>
      </c>
      <c r="B30" s="17" t="n"/>
      <c r="C30" s="18" t="inlineStr">
        <is>
          <t>Revenue Drivers tab: other channels revenue</t>
        </is>
      </c>
      <c r="D30" s="19" t="n"/>
      <c r="E30" s="74" t="n">
        <v>1134159</v>
      </c>
      <c r="F30" s="75">
        <f>'Revenue Drivers'!C45</f>
        <v/>
      </c>
      <c r="G30" s="75">
        <f>'Revenue Drivers'!D45</f>
        <v/>
      </c>
      <c r="H30" s="75">
        <f>'Revenue Drivers'!E45</f>
        <v/>
      </c>
      <c r="I30" s="75">
        <f>'Revenue Drivers'!F45</f>
        <v/>
      </c>
      <c r="J30" s="75">
        <f>'Revenue Drivers'!G45</f>
        <v/>
      </c>
    </row>
    <row r="31" hidden="1" outlineLevel="1" ht="70" customHeight="1">
      <c r="A31" s="16" t="inlineStr">
        <is>
          <t>Store-channel EBIT (= Rev × store margin)</t>
        </is>
      </c>
      <c r="B31" s="17" t="n"/>
      <c r="C31" s="18" t="inlineStr">
        <is>
          <t>FY2025 10-K: company-operated stores net revenue</t>
        </is>
      </c>
      <c r="D31" s="19" t="n"/>
      <c r="E31" s="75" t="n">
        <v>939252.384</v>
      </c>
      <c r="F31" s="75">
        <f>F28*E$9</f>
        <v/>
      </c>
      <c r="G31" s="75">
        <f>G28*E$9</f>
        <v/>
      </c>
      <c r="H31" s="75">
        <f>H28*E$9</f>
        <v/>
      </c>
      <c r="I31" s="75">
        <f>I28*E$9</f>
        <v/>
      </c>
      <c r="J31" s="75">
        <f>J28*E$9</f>
        <v/>
      </c>
    </row>
    <row r="32" hidden="1" outlineLevel="1" ht="70" customHeight="1">
      <c r="A32" s="16" t="inlineStr">
        <is>
          <t>E-commerce EBIT (= Rev × e-comm margin)</t>
        </is>
      </c>
      <c r="B32" s="17" t="n"/>
      <c r="C32" s="18" t="inlineStr">
        <is>
          <t>FY2025 10-K: e-commerce net revenue</t>
        </is>
      </c>
      <c r="D32" s="19" t="n"/>
      <c r="E32" s="75" t="n">
        <v>1160812.492</v>
      </c>
      <c r="F32" s="75">
        <f>F29*E$10</f>
        <v/>
      </c>
      <c r="G32" s="75">
        <f>G29*E$10</f>
        <v/>
      </c>
      <c r="H32" s="75">
        <f>H29*E$10</f>
        <v/>
      </c>
      <c r="I32" s="75">
        <f>I29*E$10</f>
        <v/>
      </c>
      <c r="J32" s="75">
        <f>J29*E$10</f>
        <v/>
      </c>
    </row>
    <row r="33" hidden="1" outlineLevel="1" ht="56" customHeight="1">
      <c r="A33" s="16" t="inlineStr">
        <is>
          <t>Other-channels EBIT (= Rev × other margin)</t>
        </is>
      </c>
      <c r="B33" s="17" t="n"/>
      <c r="C33" s="18" t="inlineStr">
        <is>
          <t>FY2025 10-K: other channels (residual)</t>
        </is>
      </c>
      <c r="D33" s="19" t="n"/>
      <c r="E33" s="75" t="n">
        <v>103208.469</v>
      </c>
      <c r="F33" s="75">
        <f>F30*E$11</f>
        <v/>
      </c>
      <c r="G33" s="75">
        <f>G30*E$11</f>
        <v/>
      </c>
      <c r="H33" s="75">
        <f>H30*E$11</f>
        <v/>
      </c>
      <c r="I33" s="75">
        <f>I30*E$11</f>
        <v/>
      </c>
      <c r="J33" s="75">
        <f>J30*E$11</f>
        <v/>
      </c>
    </row>
    <row r="34" hidden="1" outlineLevel="1" ht="28" customHeight="1">
      <c r="A34" s="23" t="inlineStr">
        <is>
          <t>Channel EBIT (sum of sector EBIT)</t>
        </is>
      </c>
      <c r="B34" s="17" t="n"/>
      <c r="C34" s="24" t="inlineStr">
        <is>
          <t>NOPAT Bridge tab: sector EBIT subtotal</t>
        </is>
      </c>
      <c r="D34" s="19" t="n"/>
      <c r="F34" s="70">
        <f>F31+F32+F33+Scenarios!G7</f>
        <v/>
      </c>
      <c r="G34" s="70">
        <f>G31+G32+G33</f>
        <v/>
      </c>
      <c r="H34" s="70">
        <f>H31+H32+H33</f>
        <v/>
      </c>
      <c r="I34" s="70">
        <f>I31+I32+I33</f>
        <v/>
      </c>
      <c r="J34" s="70">
        <f>J31+J32+J33</f>
        <v/>
      </c>
    </row>
    <row r="35" hidden="1" outlineLevel="1" ht="28" customHeight="1">
      <c r="A35" s="23">
        <f> EBIT after channel mix (Phase 3)</f>
        <v/>
      </c>
      <c r="B35" s="17" t="n"/>
      <c r="C35" s="24" t="inlineStr">
        <is>
          <t>Subtotal</t>
        </is>
      </c>
      <c r="D35" s="19" t="n"/>
      <c r="E35" s="76" t="n">
        <v>2203273.345</v>
      </c>
      <c r="F35" s="25">
        <f>F34</f>
        <v/>
      </c>
      <c r="G35" s="25">
        <f>G34</f>
        <v/>
      </c>
      <c r="H35" s="25">
        <f>H34</f>
        <v/>
      </c>
      <c r="I35" s="25">
        <f>I34</f>
        <v/>
      </c>
      <c r="J35" s="25">
        <f>J34</f>
        <v/>
      </c>
    </row>
    <row r="36" hidden="1" outlineLevel="1" ht="28" customHeight="1">
      <c r="A36" s="23">
        <f> Normalized EBIT (tax base for NOPAT)</f>
        <v/>
      </c>
      <c r="B36" s="17" t="n"/>
      <c r="C36" s="24" t="inlineStr">
        <is>
          <t>Scenarios tab: base-case EBIT (forecast)</t>
        </is>
      </c>
      <c r="D36" s="19" t="n"/>
      <c r="E36" s="25">
        <f>E21+E23+E24-E25</f>
        <v/>
      </c>
      <c r="F36" s="25">
        <f>Scenarios!G45</f>
        <v/>
      </c>
      <c r="G36" s="25">
        <f>Scenarios!G46</f>
        <v/>
      </c>
      <c r="H36" s="25">
        <f>Scenarios!G47</f>
        <v/>
      </c>
      <c r="I36" s="25">
        <f>Scenarios!G48</f>
        <v/>
      </c>
      <c r="J36" s="25">
        <f>Scenarios!G49</f>
        <v/>
      </c>
    </row>
    <row r="37" hidden="1" outlineLevel="1">
      <c r="A37" s="16" t="inlineStr">
        <is>
          <t>Check vs Scenarios EBIT (base case)</t>
        </is>
      </c>
      <c r="F37" s="75">
        <f>F36-Scenarios!G45</f>
        <v/>
      </c>
      <c r="G37" s="75">
        <f>G36-Scenarios!G46</f>
        <v/>
      </c>
      <c r="H37" s="75">
        <f>H36-Scenarios!G47</f>
        <v/>
      </c>
      <c r="I37" s="75">
        <f>I36-Scenarios!G48</f>
        <v/>
      </c>
      <c r="J37" s="75">
        <f>J36-Scenarios!G49</f>
        <v/>
      </c>
    </row>
    <row r="38" hidden="1" outlineLevel="1">
      <c r="A38" s="73" t="inlineStr">
        <is>
          <t>Tax normalization</t>
        </is>
      </c>
    </row>
    <row r="39" hidden="1" outlineLevel="1" ht="70" customHeight="1">
      <c r="A39" s="16" t="inlineStr">
        <is>
          <t>Operating effective tax rate (t_operating)</t>
        </is>
      </c>
      <c r="B39" s="17" t="n"/>
      <c r="C39" s="18" t="inlineStr">
        <is>
          <t>LULU FY2025 10-K: income tax &amp; interest expense</t>
        </is>
      </c>
      <c r="D39" s="19" t="n"/>
      <c r="E39" s="77" t="n">
        <v>0.2946847649213503</v>
      </c>
      <c r="F39" s="32">
        <f>0.29468476492135026+(F$12-0.29468476492135026)*1/5</f>
        <v/>
      </c>
      <c r="G39" s="32">
        <f>0.29468476492135026+(G$12-0.29468476492135026)*2/5</f>
        <v/>
      </c>
      <c r="H39" s="32">
        <f>0.29468476492135026+(H$12-0.29468476492135026)*3/5</f>
        <v/>
      </c>
      <c r="I39" s="32">
        <f>0.29468476492135026+(I$12-0.29468476492135026)*4/5</f>
        <v/>
      </c>
      <c r="J39" s="32">
        <f>0.29468476492135026+(J$12-0.29468476492135026)*5/5</f>
        <v/>
      </c>
    </row>
    <row r="40" hidden="1" outlineLevel="1" ht="28" customHeight="1">
      <c r="A40" s="16" t="inlineStr">
        <is>
          <t>Unlevered tax on normalized EBIT</t>
        </is>
      </c>
      <c r="B40" s="17" t="n"/>
      <c r="C40" s="24" t="inlineStr">
        <is>
          <t>NOPAT Bridge tab: unlevered tax expense</t>
        </is>
      </c>
      <c r="D40" s="19" t="n"/>
      <c r="F40" s="75">
        <f>F36*F39</f>
        <v/>
      </c>
      <c r="G40" s="75">
        <f>G36*G39</f>
        <v/>
      </c>
      <c r="H40" s="75">
        <f>H36*H39</f>
        <v/>
      </c>
      <c r="I40" s="75">
        <f>I36*I39</f>
        <v/>
      </c>
      <c r="J40" s="75">
        <f>J36*J39</f>
        <v/>
      </c>
    </row>
    <row r="41" hidden="1" outlineLevel="1" ht="28" customHeight="1">
      <c r="A41" s="23" t="inlineStr">
        <is>
          <t>NORMALIZED NOPAT</t>
        </is>
      </c>
      <c r="B41" s="17" t="n"/>
      <c r="C41" s="24" t="inlineStr">
        <is>
          <t>NOPAT Bridge tab: normalized NOPAT</t>
        </is>
      </c>
      <c r="D41" s="19" t="n"/>
      <c r="F41" s="25">
        <f>F36-F40</f>
        <v/>
      </c>
      <c r="G41" s="25">
        <f>G36-G40</f>
        <v/>
      </c>
      <c r="H41" s="25">
        <f>H36-H40</f>
        <v/>
      </c>
      <c r="I41" s="25">
        <f>I36-I40</f>
        <v/>
      </c>
      <c r="J41" s="25">
        <f>J36-J40</f>
        <v/>
      </c>
    </row>
    <row r="42"/>
    <row r="43">
      <c r="A43" s="61" t="inlineStr">
        <is>
          <t>6. Tariff refund (Scenarios)</t>
        </is>
      </c>
      <c r="B43" s="79" t="n"/>
      <c r="C43" s="79" t="inlineStr">
        <is>
          <t>EBIT = Rev × 13.2% only (no refund).</t>
        </is>
      </c>
      <c r="D43" s="79" t="n"/>
      <c r="F43" s="80" t="inlineStr">
        <is>
          <t>Scenarios EBIT (FY26)</t>
        </is>
      </c>
    </row>
    <row r="44">
      <c r="A44" s="26" t="inlineStr">
        <is>
          <t>Steps 1–4: DCF unchanged on FY26. Step 5 changes NOPAT only (tax). Step 6 changes FY26 EBIT (+ tariff).</t>
        </is>
      </c>
    </row>
    <row r="45">
      <c r="A45" s="26" t="inlineStr">
        <is>
          <t>Scenarios base-case NOPAT (col G) links to NORMALIZED NOPAT above. Bear/bull apply the same t_operating to their EBIT paths.</t>
        </is>
      </c>
    </row>
  </sheetData>
  <hyperlinks>
    <hyperlink xmlns:r="http://schemas.openxmlformats.org/officeDocument/2006/relationships" ref="C7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  <hyperlink xmlns:r="http://schemas.openxmlformats.org/officeDocument/2006/relationships" ref="C16" r:id="rId6"/>
    <hyperlink xmlns:r="http://schemas.openxmlformats.org/officeDocument/2006/relationships" ref="E16" r:id="rId7"/>
    <hyperlink xmlns:r="http://schemas.openxmlformats.org/officeDocument/2006/relationships" ref="C17" r:id="rId8"/>
    <hyperlink xmlns:r="http://schemas.openxmlformats.org/officeDocument/2006/relationships" ref="E17" r:id="rId9"/>
    <hyperlink xmlns:r="http://schemas.openxmlformats.org/officeDocument/2006/relationships" ref="C18" r:id="rId10"/>
    <hyperlink xmlns:r="http://schemas.openxmlformats.org/officeDocument/2006/relationships" ref="E18" r:id="rId11"/>
    <hyperlink xmlns:r="http://schemas.openxmlformats.org/officeDocument/2006/relationships" ref="C19" r:id="rId12"/>
    <hyperlink xmlns:r="http://schemas.openxmlformats.org/officeDocument/2006/relationships" ref="E19" r:id="rId13"/>
    <hyperlink xmlns:r="http://schemas.openxmlformats.org/officeDocument/2006/relationships" ref="C20" r:id="rId14"/>
    <hyperlink xmlns:r="http://schemas.openxmlformats.org/officeDocument/2006/relationships" ref="C23" r:id="rId15"/>
    <hyperlink xmlns:r="http://schemas.openxmlformats.org/officeDocument/2006/relationships" ref="E23" r:id="rId16"/>
    <hyperlink xmlns:r="http://schemas.openxmlformats.org/officeDocument/2006/relationships" ref="C24" r:id="rId17"/>
    <hyperlink xmlns:r="http://schemas.openxmlformats.org/officeDocument/2006/relationships" ref="E24" r:id="rId18"/>
    <hyperlink xmlns:r="http://schemas.openxmlformats.org/officeDocument/2006/relationships" ref="C25" r:id="rId19"/>
    <hyperlink xmlns:r="http://schemas.openxmlformats.org/officeDocument/2006/relationships" ref="E25" r:id="rId20"/>
    <hyperlink ref="C28" location="'Revenue Drivers'!B31"/>
    <hyperlink xmlns:r="http://schemas.openxmlformats.org/officeDocument/2006/relationships" ref="E28" r:id="rId21"/>
    <hyperlink ref="C29" location="'Revenue Drivers'!B41"/>
    <hyperlink xmlns:r="http://schemas.openxmlformats.org/officeDocument/2006/relationships" ref="E29" r:id="rId22"/>
    <hyperlink ref="C30" location="'Revenue Drivers'!B45"/>
    <hyperlink xmlns:r="http://schemas.openxmlformats.org/officeDocument/2006/relationships" ref="E30" r:id="rId23"/>
    <hyperlink xmlns:r="http://schemas.openxmlformats.org/officeDocument/2006/relationships" ref="C31" r:id="rId24"/>
    <hyperlink xmlns:r="http://schemas.openxmlformats.org/officeDocument/2006/relationships" ref="C32" r:id="rId25"/>
    <hyperlink xmlns:r="http://schemas.openxmlformats.org/officeDocument/2006/relationships" ref="C33" r:id="rId26"/>
    <hyperlink xmlns:r="http://schemas.openxmlformats.org/officeDocument/2006/relationships" ref="E35" r:id="rId27"/>
    <hyperlink xmlns:r="http://schemas.openxmlformats.org/officeDocument/2006/relationships" ref="C39" r:id="rId28"/>
    <hyperlink xmlns:r="http://schemas.openxmlformats.org/officeDocument/2006/relationships" ref="E39" r:id="rId2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J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hidden="1" outlineLevel="1" width="26" customWidth="1" min="2" max="2"/>
    <col hidden="1" outlineLevel="1" width="16" customWidth="1" min="3" max="3"/>
    <col hidden="1" outlineLevel="1"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hidden="1" outlineLevel="1" width="16" customWidth="1" min="12" max="12"/>
    <col hidden="1" outlineLevel="1"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 ht="28" customHeight="1">
      <c r="A3" s="82" t="inlineStr">
        <is>
          <t>Forecast linked to Scenarios (base case)</t>
        </is>
      </c>
      <c r="C3" s="19" t="n"/>
      <c r="E3" s="83" t="inlineStr">
        <is>
          <t>10-K</t>
        </is>
      </c>
    </row>
    <row r="4" ht="36" customHeight="1">
      <c r="A4" s="38" t="n"/>
      <c r="C4" s="85" t="inlineStr">
        <is>
          <t>NOPAT Bridge tab</t>
        </is>
      </c>
      <c r="D4" s="85" t="inlineStr">
        <is>
          <t>'Revenue Drivers'!A1</t>
        </is>
      </c>
    </row>
    <row r="5">
      <c r="A5" s="16" t="inlineStr">
        <is>
          <t>Net revenue</t>
        </is>
      </c>
      <c r="E5" s="74" t="n">
        <v>11102600</v>
      </c>
      <c r="F5" s="75">
        <f>Scenarios!G25</f>
        <v/>
      </c>
      <c r="G5" s="75">
        <f>Scenarios!G26</f>
        <v/>
      </c>
      <c r="H5" s="75">
        <f>Scenarios!G27</f>
        <v/>
      </c>
      <c r="I5" s="75">
        <f>Scenarios!G28</f>
        <v/>
      </c>
      <c r="J5" s="75">
        <f>Scenarios!G29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 t="n">
        <v>0.566005440167168</v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Scenarios!G35</f>
        <v/>
      </c>
      <c r="G8" s="75">
        <f>Scenarios!G36</f>
        <v/>
      </c>
      <c r="H8" s="75">
        <f>Scenarios!G37</f>
        <v/>
      </c>
      <c r="I8" s="75">
        <f>Scenarios!G38</f>
        <v/>
      </c>
      <c r="J8" s="75">
        <f>Scenarios!G39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</t>
        </is>
      </c>
      <c r="D9" s="19" t="n"/>
      <c r="F9" s="32">
        <f>Scenarios!G40</f>
        <v/>
      </c>
      <c r="G9" s="32">
        <f>Scenarios!G41</f>
        <v/>
      </c>
      <c r="H9" s="32">
        <f>Scenarios!G42</f>
        <v/>
      </c>
      <c r="I9" s="32">
        <f>Scenarios!G43</f>
        <v/>
      </c>
      <c r="J9" s="32">
        <f>Scenarios!G44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Scenarios!G45</f>
        <v/>
      </c>
      <c r="G11" s="25">
        <f>Scenarios!G46</f>
        <v/>
      </c>
      <c r="H11" s="25">
        <f>Scenarios!G47</f>
        <v/>
      </c>
      <c r="I11" s="25">
        <f>Scenarios!G48</f>
        <v/>
      </c>
      <c r="J11" s="25">
        <f>Scenarios!G49</f>
        <v/>
      </c>
    </row>
    <row r="12">
      <c r="A12" s="16" t="inlineStr">
        <is>
          <t>Reported EBIT margin % (incl. FY26 refund)</t>
        </is>
      </c>
      <c r="E12" s="77" t="n">
        <v>0.1991078666258354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(t_operating from NOPAT Bridge)</t>
        </is>
      </c>
      <c r="F13" s="75">
        <f>-'NOPAT Bridge'!F40</f>
        <v/>
      </c>
      <c r="G13" s="75">
        <f>-'NOPAT Bridge'!G40</f>
        <v/>
      </c>
      <c r="H13" s="75">
        <f>-'NOPAT Bridge'!H40</f>
        <v/>
      </c>
      <c r="I13" s="75">
        <f>-'NOPAT Bridge'!I40</f>
        <v/>
      </c>
      <c r="J13" s="75">
        <f>-'NOPAT Bridge'!J40</f>
        <v/>
      </c>
    </row>
    <row r="14">
      <c r="A14" s="23" t="inlineStr">
        <is>
          <t>NOPAT</t>
        </is>
      </c>
      <c r="F14" s="25">
        <f>Scenarios!G50</f>
        <v/>
      </c>
      <c r="G14" s="25">
        <f>Scenarios!G51</f>
        <v/>
      </c>
      <c r="H14" s="25">
        <f>Scenarios!G52</f>
        <v/>
      </c>
      <c r="I14" s="25">
        <f>Scenarios!G53</f>
        <v/>
      </c>
      <c r="J14" s="25">
        <f>Scenarios!G54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LULU CF statement (10-K)</t>
        </is>
      </c>
      <c r="D15" s="19" t="n"/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5">
        <f>Scenarios!G55</f>
        <v/>
      </c>
      <c r="G16" s="75">
        <f>Scenarios!G56</f>
        <v/>
      </c>
      <c r="H16" s="75">
        <f>Scenarios!G57</f>
        <v/>
      </c>
      <c r="I16" s="75">
        <f>Scenarios!G58</f>
        <v/>
      </c>
      <c r="J16" s="75">
        <f>Scenarios!G59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LULU 10-K: 2026 capex guide $725–745M</t>
        </is>
      </c>
      <c r="D17" s="19" t="n"/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5">
        <f>-Scenarios!G60</f>
        <v/>
      </c>
      <c r="G18" s="75">
        <f>-Scenarios!G61</f>
        <v/>
      </c>
      <c r="H18" s="75">
        <f>-Scenarios!G62</f>
        <v/>
      </c>
      <c r="I18" s="75">
        <f>-Scenarios!G63</f>
        <v/>
      </c>
      <c r="J18" s="75">
        <f>-Scenarios!G64</f>
        <v/>
      </c>
    </row>
    <row r="19">
      <c r="A19" s="52" t="inlineStr">
        <is>
          <t>Working capital schedule (driver-based) [click − to collapse detail]</t>
        </is>
      </c>
    </row>
    <row r="20" hidden="1" outlineLevel="1" ht="150" customHeight="1">
      <c r="A20" s="16" t="inlineStr">
        <is>
          <t>DSO (days) — flat vs FY25</t>
        </is>
      </c>
      <c r="B20" s="17" t="n"/>
      <c r="C20" s="18" t="inlineStr">
        <is>
          <t>LULU FY2025 10-K: Accounts receivable, net</t>
        </is>
      </c>
      <c r="D20" s="19" t="n"/>
      <c r="E20" s="88" t="n">
        <v>6.267883648875038</v>
      </c>
      <c r="F20" s="28">
        <f>Scenarios!G65</f>
        <v/>
      </c>
      <c r="G20" s="28">
        <f>Scenarios!G66</f>
        <v/>
      </c>
      <c r="H20" s="28">
        <f>Scenarios!G67</f>
        <v/>
      </c>
      <c r="I20" s="28">
        <f>Scenarios!G68</f>
        <v/>
      </c>
      <c r="J20" s="28">
        <f>Scenarios!G69</f>
        <v/>
      </c>
    </row>
    <row r="21" hidden="1" outlineLevel="1" ht="98" customHeight="1">
      <c r="A21" s="16" t="inlineStr">
        <is>
          <t>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Scenarios!G70</f>
        <v/>
      </c>
      <c r="G21" s="75">
        <f>Scenarios!G71</f>
        <v/>
      </c>
      <c r="H21" s="75">
        <f>Scenarios!G72</f>
        <v/>
      </c>
      <c r="I21" s="75">
        <f>Scenarios!G73</f>
        <v/>
      </c>
      <c r="J21" s="75">
        <f>Scenarios!G74</f>
        <v/>
      </c>
    </row>
    <row r="22" hidden="1" outlineLevel="1" ht="150" customHeight="1">
      <c r="A22" s="16" t="inlineStr">
        <is>
          <t>DIO (days) — FY25 anchor, −1 day/yr</t>
        </is>
      </c>
      <c r="B22" s="19" t="n"/>
      <c r="C22" s="38" t="inlineStr">
        <is>
          <t>LULU FY2025 10-K: Inventories &amp; COGS</t>
        </is>
      </c>
      <c r="D22" s="19" t="n"/>
      <c r="E22" s="88" t="n">
        <v>128.8324100108167</v>
      </c>
      <c r="F22" s="28">
        <f>Scenarios!G75</f>
        <v/>
      </c>
      <c r="G22" s="28">
        <f>Scenarios!G76</f>
        <v/>
      </c>
      <c r="H22" s="28">
        <f>Scenarios!G77</f>
        <v/>
      </c>
      <c r="I22" s="28">
        <f>Scenarios!G78</f>
        <v/>
      </c>
      <c r="J22" s="28">
        <f>Scenarios!G79</f>
        <v/>
      </c>
    </row>
    <row r="23" hidden="1" outlineLevel="1" ht="112" customHeight="1">
      <c r="A23" s="16" t="inlineStr">
        <is>
          <t>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Scenarios!G80</f>
        <v/>
      </c>
      <c r="G23" s="75">
        <f>Scenarios!G81</f>
        <v/>
      </c>
      <c r="H23" s="75">
        <f>Scenarios!G82</f>
        <v/>
      </c>
      <c r="I23" s="75">
        <f>Scenarios!G83</f>
        <v/>
      </c>
      <c r="J23" s="75">
        <f>Scenarios!G84</f>
        <v/>
      </c>
    </row>
    <row r="24" hidden="1" outlineLevel="1" ht="84" customHeight="1">
      <c r="A24" s="16" t="inlineStr">
        <is>
          <t>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88" t="n">
        <v>25.10521290169407</v>
      </c>
      <c r="F24" s="28">
        <f>Scenarios!G85</f>
        <v/>
      </c>
      <c r="G24" s="28">
        <f>Scenarios!G86</f>
        <v/>
      </c>
      <c r="H24" s="28">
        <f>Scenarios!G87</f>
        <v/>
      </c>
      <c r="I24" s="28">
        <f>Scenarios!G88</f>
        <v/>
      </c>
      <c r="J24" s="28">
        <f>Scenarios!G89</f>
        <v/>
      </c>
    </row>
    <row r="25" hidden="1" outlineLevel="1" ht="84" customHeight="1">
      <c r="A25" s="16" t="inlineStr">
        <is>
          <t>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Scenarios!G90</f>
        <v/>
      </c>
      <c r="G25" s="75">
        <f>Scenarios!G91</f>
        <v/>
      </c>
      <c r="H25" s="75">
        <f>Scenarios!G92</f>
        <v/>
      </c>
      <c r="I25" s="75">
        <f>Scenarios!G93</f>
        <v/>
      </c>
      <c r="J25" s="75">
        <f>Scenarios!G94</f>
        <v/>
      </c>
    </row>
    <row r="26" hidden="1" outlineLevel="1" ht="84" customHeight="1">
      <c r="A26" s="16" t="inlineStr">
        <is>
          <t>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 t="n">
        <v>0.05080692810692991</v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hidden="1" outlineLevel="1" ht="84" customHeight="1">
      <c r="A27" s="16" t="inlineStr">
        <is>
          <t>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Scenarios!G95</f>
        <v/>
      </c>
      <c r="G27" s="75">
        <f>Scenarios!G96</f>
        <v/>
      </c>
      <c r="H27" s="75">
        <f>Scenarios!G97</f>
        <v/>
      </c>
      <c r="I27" s="75">
        <f>Scenarios!G98</f>
        <v/>
      </c>
      <c r="J27" s="75">
        <f>Scenarios!G99</f>
        <v/>
      </c>
    </row>
    <row r="28" hidden="1" outlineLevel="1" ht="84" customHeight="1">
      <c r="A28" s="16" t="inlineStr">
        <is>
          <t>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 t="n">
        <v>0.05971412101669879</v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hidden="1" outlineLevel="1" ht="84" customHeight="1">
      <c r="A29" s="16" t="inlineStr">
        <is>
          <t>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Scenarios!G100</f>
        <v/>
      </c>
      <c r="G29" s="75">
        <f>Scenarios!G101</f>
        <v/>
      </c>
      <c r="H29" s="75">
        <f>Scenarios!G102</f>
        <v/>
      </c>
      <c r="I29" s="75">
        <f>Scenarios!G103</f>
        <v/>
      </c>
      <c r="J29" s="75">
        <f>Scenarios!G104</f>
        <v/>
      </c>
    </row>
    <row r="30" hidden="1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F30" s="75">
        <f>Scenarios!G105</f>
        <v/>
      </c>
      <c r="G30" s="75">
        <f>Scenarios!G106</f>
        <v/>
      </c>
      <c r="H30" s="75">
        <f>Scenarios!G107</f>
        <v/>
      </c>
      <c r="I30" s="75">
        <f>Scenarios!G108</f>
        <v/>
      </c>
      <c r="J30" s="75">
        <f>Scenarios!G109</f>
        <v/>
      </c>
    </row>
    <row r="31" hidden="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F31" s="75">
        <f>Scenarios!G110</f>
        <v/>
      </c>
      <c r="G31" s="75">
        <f>Scenarios!G111</f>
        <v/>
      </c>
      <c r="H31" s="75">
        <f>Scenarios!G112</f>
        <v/>
      </c>
      <c r="I31" s="75">
        <f>Scenarios!G113</f>
        <v/>
      </c>
      <c r="J31" s="75">
        <f>Scenarios!G114</f>
        <v/>
      </c>
    </row>
    <row r="32" hidden="1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Scenarios!G115</f>
        <v/>
      </c>
      <c r="G32" s="25">
        <f>Scenarios!G116</f>
        <v/>
      </c>
      <c r="H32" s="25">
        <f>Scenarios!G117</f>
        <v/>
      </c>
      <c r="I32" s="25">
        <f>Scenarios!G118</f>
        <v/>
      </c>
      <c r="J32" s="25">
        <f>Scenarios!G119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F33" s="25">
        <f>Scenarios!G120</f>
        <v/>
      </c>
      <c r="G33" s="25">
        <f>Scenarios!G121</f>
        <v/>
      </c>
      <c r="H33" s="25">
        <f>Scenarios!G122</f>
        <v/>
      </c>
      <c r="I33" s="25">
        <f>Scenarios!G123</f>
        <v/>
      </c>
      <c r="J33" s="25">
        <f>Scenarios!G124</f>
        <v/>
      </c>
    </row>
    <row r="34">
      <c r="A34" s="26" t="n"/>
    </row>
    <row r="35">
      <c r="A35" s="23" t="inlineStr">
        <is>
          <t>Unlevered free cash flow</t>
        </is>
      </c>
      <c r="F35" s="89">
        <f>Scenarios!G125</f>
        <v/>
      </c>
      <c r="G35" s="89">
        <f>Scenarios!G126</f>
        <v/>
      </c>
      <c r="H35" s="89">
        <f>Scenarios!G127</f>
        <v/>
      </c>
      <c r="I35" s="89">
        <f>Scenarios!G128</f>
        <v/>
      </c>
      <c r="J35" s="89">
        <f>Scenarios!G129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1/(1+Scenarios!$G$9)^F36</f>
        <v/>
      </c>
      <c r="G37" s="91">
        <f>1/(1+Scenarios!$G$9)^G36</f>
        <v/>
      </c>
      <c r="H37" s="91">
        <f>1/(1+Scenarios!$G$9)^H36</f>
        <v/>
      </c>
      <c r="I37" s="91">
        <f>1/(1+Scenarios!$G$9)^I36</f>
        <v/>
      </c>
      <c r="J37" s="91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39"/>
    <row r="40">
      <c r="A40" s="15" t="n"/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J35*(1+Scenarios!$G$10)/(Scenarios!$G$9-Scenarios!$G$10)</f>
        <v/>
      </c>
    </row>
    <row r="46">
      <c r="A46" s="16" t="inlineStr">
        <is>
          <t>Implied exit EV/EBITDA = Gordon TV / FY30 EBITDA</t>
        </is>
      </c>
      <c r="E46" s="94">
        <f>E45/E44</f>
        <v/>
      </c>
    </row>
    <row r="47">
      <c r="A47" s="16" t="n"/>
      <c r="E47" s="94">
        <f>J35/E44*(1+Scenarios!$G$10)/(Scenarios!$G$9-Scenarios!$G$10)</f>
        <v/>
      </c>
    </row>
    <row r="48">
      <c r="A48" s="23" t="inlineStr">
        <is>
          <t>PV of terminal value</t>
        </is>
      </c>
      <c r="E48" s="70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n"/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</row>
    <row r="52">
      <c r="A52" s="26" t="n"/>
    </row>
    <row r="53">
      <c r="A53" s="26" t="n"/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n"/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n"/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n"/>
      <c r="E59" s="32">
        <f>E48/E49</f>
        <v/>
      </c>
    </row>
    <row r="60"/>
    <row r="61"/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4"/>
    <row r="65">
      <c r="A65" s="16" t="inlineStr">
        <is>
          <t>Annual repurchase budget ($000) — base case</t>
        </is>
      </c>
      <c r="E65" s="37" t="n">
        <v>500000</v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7"/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1"/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6"/>
    <row r="77">
      <c r="A77" s="16" t="inlineStr">
        <is>
          <t>Projected net income ($000)</t>
        </is>
      </c>
      <c r="E77" s="22" t="n">
        <v>1579183</v>
      </c>
      <c r="F77" s="75">
        <f>('NOPAT Bridge'!F36-'NOPAT Bridge'!F23)*(1-'NOPAT Bridge'!F$39)</f>
        <v/>
      </c>
      <c r="G77" s="75">
        <f>('NOPAT Bridge'!G36-'NOPAT Bridge'!G23)*(1-'NOPAT Bridge'!G$39)</f>
        <v/>
      </c>
      <c r="H77" s="75">
        <f>('NOPAT Bridge'!H36-'NOPAT Bridge'!H23)*(1-'NOPAT Bridge'!H$39)</f>
        <v/>
      </c>
      <c r="I77" s="75">
        <f>('NOPAT Bridge'!I36-'NOPAT Bridge'!I23)*(1-'NOPAT Bridge'!I$39)</f>
        <v/>
      </c>
      <c r="J77" s="75">
        <f>('NOPAT Bridge'!J36-'NOPAT Bridge'!J23)*(1-'NOPAT Bridge'!J$39)</f>
        <v/>
      </c>
    </row>
    <row r="78">
      <c r="A78" s="23" t="inlineStr">
        <is>
          <t>Accretive EPS ($/share) = Net income ÷ ending shares</t>
        </is>
      </c>
      <c r="E78" s="101" t="n">
        <v>14.1783354282636</v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79"/>
    <row r="80">
      <c r="A80" s="93" t="inlineStr">
        <is>
          <t>CROSS-CHECK — EXIT MULTIPLE METHOD</t>
        </is>
      </c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E83/(1+Scenarios!$G$9)^J36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7"/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n"/>
      <c r="C89" s="54" t="inlineStr">
        <is>
          <t>Exit Multiple</t>
        </is>
      </c>
      <c r="D89" s="54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</row>
    <row r="95"/>
    <row r="96"/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n"/>
      <c r="F99" s="110">
        <f>(NPV(0.095,F35:J35)+(J35*(1+0.015)/(0.095-0.015))/(1+0.095)^5+E50+E51)/E55</f>
        <v/>
      </c>
      <c r="G99" s="110">
        <f>(NPV(0.095,F35:J35)+(J35*(1+0.02)/(0.095-0.02))/(1+0.095)^5+E50+E51)/E55</f>
        <v/>
      </c>
      <c r="H99" s="110">
        <f>(NPV(0.095,F35:J35)+(J35*(1+0.0225)/(0.095-0.0225))/(1+0.095)^5+E50+E51)/E55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</row>
    <row r="100" ht="28" customHeight="1">
      <c r="A100" s="109" t="n">
        <v>0.1</v>
      </c>
      <c r="D100" s="19" t="n"/>
      <c r="F100" s="110">
        <f>(NPV(0.1,F35:J35)+(J35*(1+0.015)/(0.1-0.015))/(1+0.1)^5+E50+E51)/E55</f>
        <v/>
      </c>
      <c r="G100" s="110">
        <f>(NPV(0.1,F35:J35)+(J35*(1+0.02)/(0.1-0.02))/(1+0.1)^5+E50+E51)/E55</f>
        <v/>
      </c>
      <c r="H100" s="110">
        <f>(NPV(0.1,F35:J35)+(J35*(1+0.0225)/(0.1-0.0225))/(1+0.1)^5+E50+E51)/E55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</row>
    <row r="101" ht="28" customHeight="1">
      <c r="A101" s="109" t="n">
        <v>0.105</v>
      </c>
      <c r="D101" s="19" t="n"/>
      <c r="F101" s="110">
        <f>(NPV(0.105,F35:J35)+(J35*(1+0.015)/(0.105-0.015))/(1+0.105)^5+E50+E51)/E55</f>
        <v/>
      </c>
      <c r="G101" s="110">
        <f>(NPV(0.105,F35:J35)+(J35*(1+0.02)/(0.105-0.02))/(1+0.105)^5+E50+E51)/E55</f>
        <v/>
      </c>
      <c r="H101" s="111">
        <f>(NPV(0.105,F35:J35)+(J35*(1+0.0225)/(0.105-0.0225))/(1+0.105)^5+E50+E51)/E55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</row>
    <row r="102" ht="28" customHeight="1">
      <c r="A102" s="109" t="n">
        <v>0.11</v>
      </c>
      <c r="D102" s="19" t="n"/>
      <c r="F102" s="110">
        <f>(NPV(0.11,F35:J35)+(J35*(1+0.015)/(0.11-0.015))/(1+0.11)^5+E50+E51)/E55</f>
        <v/>
      </c>
      <c r="G102" s="110">
        <f>(NPV(0.11,F35:J35)+(J35*(1+0.02)/(0.11-0.02))/(1+0.11)^5+E50+E51)/E55</f>
        <v/>
      </c>
      <c r="H102" s="110">
        <f>(NPV(0.11,F35:J35)+(J35*(1+0.0225)/(0.11-0.0225))/(1+0.11)^5+E50+E51)/E55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</row>
    <row r="103" ht="28" customHeight="1">
      <c r="A103" s="109" t="n">
        <v>0.115</v>
      </c>
      <c r="D103" s="19" t="n"/>
      <c r="F103" s="110">
        <f>(NPV(0.115,F35:J35)+(J35*(1+0.015)/(0.115-0.015))/(1+0.115)^5+E50+E51)/E55</f>
        <v/>
      </c>
      <c r="G103" s="110">
        <f>(NPV(0.115,F35:J35)+(J35*(1+0.02)/(0.115-0.02))/(1+0.115)^5+E50+E51)/E55</f>
        <v/>
      </c>
      <c r="H103" s="110">
        <f>(NPV(0.115,F35:J35)+(J35*(1+0.0225)/(0.115-0.0225))/(1+0.115)^5+E50+E51)/E55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</row>
    <row r="104" ht="28" customHeight="1">
      <c r="B104" s="17" t="n"/>
      <c r="C104" s="18" t="inlineStr">
        <is>
          <t>Scenarios: WACC &amp; terminal g</t>
        </is>
      </c>
      <c r="D104" s="19" t="n"/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NOPAT Bridge'!A1"/>
    <hyperlink ref="D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E11" r:id="rId11"/>
    <hyperlink xmlns:r="http://schemas.openxmlformats.org/officeDocument/2006/relationships" ref="E12" r:id="rId12"/>
    <hyperlink xmlns:r="http://schemas.openxmlformats.org/officeDocument/2006/relationships" ref="C15" r:id="rId13"/>
    <hyperlink xmlns:r="http://schemas.openxmlformats.org/officeDocument/2006/relationships" ref="C17" r:id="rId14"/>
    <hyperlink xmlns:r="http://schemas.openxmlformats.org/officeDocument/2006/relationships" ref="C20" r:id="rId15"/>
    <hyperlink xmlns:r="http://schemas.openxmlformats.org/officeDocument/2006/relationships" ref="E20" r:id="rId16"/>
    <hyperlink xmlns:r="http://schemas.openxmlformats.org/officeDocument/2006/relationships" ref="C21" r:id="rId17"/>
    <hyperlink xmlns:r="http://schemas.openxmlformats.org/officeDocument/2006/relationships" ref="E21" r:id="rId18"/>
    <hyperlink xmlns:r="http://schemas.openxmlformats.org/officeDocument/2006/relationships" ref="C22" r:id="rId19"/>
    <hyperlink xmlns:r="http://schemas.openxmlformats.org/officeDocument/2006/relationships" ref="E22" r:id="rId20"/>
    <hyperlink xmlns:r="http://schemas.openxmlformats.org/officeDocument/2006/relationships" ref="C23" r:id="rId21"/>
    <hyperlink xmlns:r="http://schemas.openxmlformats.org/officeDocument/2006/relationships" ref="E23" r:id="rId22"/>
    <hyperlink xmlns:r="http://schemas.openxmlformats.org/officeDocument/2006/relationships" ref="C24" r:id="rId23"/>
    <hyperlink xmlns:r="http://schemas.openxmlformats.org/officeDocument/2006/relationships" ref="E24" r:id="rId24"/>
    <hyperlink xmlns:r="http://schemas.openxmlformats.org/officeDocument/2006/relationships" ref="C25" r:id="rId25"/>
    <hyperlink xmlns:r="http://schemas.openxmlformats.org/officeDocument/2006/relationships" ref="E25" r:id="rId26"/>
    <hyperlink xmlns:r="http://schemas.openxmlformats.org/officeDocument/2006/relationships" ref="C26" r:id="rId27"/>
    <hyperlink xmlns:r="http://schemas.openxmlformats.org/officeDocument/2006/relationships" ref="E26" r:id="rId28"/>
    <hyperlink xmlns:r="http://schemas.openxmlformats.org/officeDocument/2006/relationships" ref="C27" r:id="rId29"/>
    <hyperlink xmlns:r="http://schemas.openxmlformats.org/officeDocument/2006/relationships" ref="E27" r:id="rId30"/>
    <hyperlink xmlns:r="http://schemas.openxmlformats.org/officeDocument/2006/relationships" ref="C28" r:id="rId31"/>
    <hyperlink xmlns:r="http://schemas.openxmlformats.org/officeDocument/2006/relationships" ref="E28" r:id="rId32"/>
    <hyperlink xmlns:r="http://schemas.openxmlformats.org/officeDocument/2006/relationships" ref="C29" r:id="rId33"/>
    <hyperlink xmlns:r="http://schemas.openxmlformats.org/officeDocument/2006/relationships" ref="E29" r:id="rId34"/>
    <hyperlink ref="C30" location="'Scenarios'!A105"/>
    <hyperlink ref="C31" location="'Scenarios'!A110"/>
    <hyperlink xmlns:r="http://schemas.openxmlformats.org/officeDocument/2006/relationships" ref="C32" r:id="rId35"/>
    <hyperlink xmlns:r="http://schemas.openxmlformats.org/officeDocument/2006/relationships" ref="E32" r:id="rId36"/>
    <hyperlink ref="C33" location="'Scenarios'!A120"/>
    <hyperlink xmlns:r="http://schemas.openxmlformats.org/officeDocument/2006/relationships" ref="C43" r:id="rId37"/>
    <hyperlink xmlns:r="http://schemas.openxmlformats.org/officeDocument/2006/relationships" ref="C50" r:id="rId38"/>
    <hyperlink xmlns:r="http://schemas.openxmlformats.org/officeDocument/2006/relationships" ref="E50" r:id="rId39"/>
    <hyperlink xmlns:r="http://schemas.openxmlformats.org/officeDocument/2006/relationships" ref="C51" r:id="rId40"/>
    <hyperlink xmlns:r="http://schemas.openxmlformats.org/officeDocument/2006/relationships" ref="E51" r:id="rId41"/>
    <hyperlink xmlns:r="http://schemas.openxmlformats.org/officeDocument/2006/relationships" ref="C55" r:id="rId42"/>
    <hyperlink xmlns:r="http://schemas.openxmlformats.org/officeDocument/2006/relationships" ref="E55" r:id="rId43"/>
    <hyperlink xmlns:r="http://schemas.openxmlformats.org/officeDocument/2006/relationships" ref="C57" r:id="rId44"/>
    <hyperlink xmlns:r="http://schemas.openxmlformats.org/officeDocument/2006/relationships" ref="E57" r:id="rId45"/>
    <hyperlink ref="C82" location="'DCF'!E46"/>
    <hyperlink xmlns:r="http://schemas.openxmlformats.org/officeDocument/2006/relationships" ref="C98" r:id="rId46"/>
    <hyperlink xmlns:r="http://schemas.openxmlformats.org/officeDocument/2006/relationships" ref="C99" r:id="rId47"/>
    <hyperlink ref="C104" location="'Scenarios'!G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hidden="1" outlineLevel="1" width="28" customWidth="1" min="2" max="2"/>
    <col hidden="1" outlineLevel="1" width="18" customWidth="1" min="3" max="3"/>
    <col hidden="1" outlineLevel="1"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n"/>
      <c r="C2" s="15" t="inlineStr">
        <is>
          <t>Source (click)</t>
        </is>
      </c>
      <c r="D2" s="15" t="n"/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n"/>
      <c r="E4" s="74" t="n">
        <v>11102600</v>
      </c>
    </row>
    <row r="5">
      <c r="A5" s="16" t="inlineStr">
        <is>
          <t>FY2025A EBITDA (EBIT + D&amp;A)</t>
        </is>
      </c>
      <c r="E5" s="75">
        <f>2210615+496228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n"/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n"/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n"/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n"/>
      <c r="E10" s="97" t="n">
        <v>100</v>
      </c>
    </row>
    <row r="11">
      <c r="A11" s="107" t="n"/>
      <c r="E11" s="112">
        <f>(E10*E9-E8)/E5</f>
        <v/>
      </c>
    </row>
    <row r="12">
      <c r="A12" s="107" t="n"/>
      <c r="E12" s="112">
        <f>E10/E7</f>
        <v/>
      </c>
    </row>
    <row r="13"/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n"/>
    </row>
    <row r="18">
      <c r="A18" s="113" t="inlineStr">
        <is>
          <t>Company</t>
        </is>
      </c>
      <c r="B18" s="113" t="n"/>
      <c r="C18" s="113" t="inlineStr">
        <is>
          <t>Source</t>
        </is>
      </c>
      <c r="D18" s="113" t="n"/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n"/>
      <c r="C19" s="24" t="inlineStr">
        <is>
          <t>PitchBook Comps Set 04-Sep-2026</t>
        </is>
      </c>
      <c r="D19" s="19" t="n"/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n"/>
      <c r="C20" s="24" t="inlineStr">
        <is>
          <t>PitchBook Comps Set 04-Sep-2026</t>
        </is>
      </c>
      <c r="D20" s="19" t="n"/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n"/>
      <c r="C21" s="24" t="inlineStr">
        <is>
          <t>PitchBook Comps Set 04-Sep-2026</t>
        </is>
      </c>
      <c r="D21" s="19" t="n"/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n"/>
      <c r="C22" s="24" t="inlineStr">
        <is>
          <t>PitchBook Comps Set 04-Sep-2026</t>
        </is>
      </c>
      <c r="D22" s="19" t="n"/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n"/>
      <c r="C23" s="24" t="inlineStr">
        <is>
          <t>PitchBook Comps Set 04-Sep-2026</t>
        </is>
      </c>
      <c r="D23" s="19" t="n"/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n"/>
      <c r="C24" s="24" t="inlineStr">
        <is>
          <t>PitchBook Comps Set 04-Sep-2026</t>
        </is>
      </c>
      <c r="D24" s="19" t="n"/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n"/>
      <c r="C25" s="24" t="inlineStr">
        <is>
          <t>PitchBook Comps Set 04-Sep-2026</t>
        </is>
      </c>
      <c r="D25" s="19" t="n"/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n"/>
      <c r="C26" s="24" t="inlineStr">
        <is>
          <t>PitchBook Comps Set 04-Sep-2026</t>
        </is>
      </c>
      <c r="D26" s="19" t="n"/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n"/>
      <c r="C27" s="24" t="inlineStr">
        <is>
          <t>PitchBook Comps Set 04-Sep-2026</t>
        </is>
      </c>
      <c r="D27" s="19" t="n"/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n"/>
      <c r="C28" s="24" t="inlineStr">
        <is>
          <t>PitchBook Comps Set 04-Sep-2026</t>
        </is>
      </c>
      <c r="D28" s="19" t="n"/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n"/>
      <c r="C29" s="24" t="inlineStr">
        <is>
          <t>PitchBook Comps Set 04-Sep-2026</t>
        </is>
      </c>
      <c r="D29" s="19" t="n"/>
      <c r="E29" s="115">
        <f>IF(J29&lt;=0,"n.m.",I29/J29)</f>
        <v/>
      </c>
      <c r="I29" s="116" t="n">
        <v>5236269</v>
      </c>
      <c r="J29" s="116" t="n">
        <v>407521</v>
      </c>
    </row>
    <row r="30"/>
    <row r="31">
      <c r="A31" s="14" t="n"/>
    </row>
    <row r="32">
      <c r="A32" s="26" t="n"/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</t>
        </is>
      </c>
      <c r="D33" s="19" t="n"/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</row>
    <row r="37"/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n"/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n"/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2"/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inlineStr">
        <is>
          <t>• Selected exit = Gordon TV / FY30 EBITDA. Identity: (UFCF/EBITDA)×(1+g)/(WACC−g). Live formula, not a typed 8.0x</t>
        </is>
      </c>
    </row>
    <row r="49">
      <c r="A49" s="41" t="inlineStr">
        <is>
          <t>• At base WACC ~9.0% and g 2.25% that identity is ~7.4x FY30 EBITDA — not a peer average</t>
        </is>
      </c>
    </row>
    <row r="50">
      <c r="A50" s="41" t="inlineStr">
        <is>
          <t>• PitchBook pubcomps (04-Sep-2026) are the current tape: each multiple is daily EV / TTM EBITDA</t>
        </is>
      </c>
    </row>
    <row r="51">
      <c r="A51" s="41" t="inlineStr">
        <is>
          <t>• That tape is a check, not the exit. A 2.25% g / 15.5% OM year is not today’s NKE/WSM multiple</t>
        </is>
      </c>
    </row>
    <row r="52">
      <c r="A52" s="41" t="inlineStr">
        <is>
          <t>• Alo has no EV/EBITDA print. Implied 5.0x is EV/Sales (unclosed $10bn ask / ~$2bn parent sales) — not the FY30 exit</t>
        </is>
      </c>
    </row>
    <row r="53">
      <c r="A53" s="41" t="inlineStr">
        <is>
          <t>• PitchBook LULU is ~4.7x TTM. Gordon ~7.4x is a partial recovery, not a re-rate to WSM ~15x</t>
        </is>
      </c>
    </row>
    <row r="54"/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n"/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n"/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n"/>
      <c r="C58" s="18" t="inlineStr">
        <is>
          <t>DCF: Gordon implied exit (TV / FY30 EBITDA)</t>
        </is>
      </c>
      <c r="D58" s="19" t="n"/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n"/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Scenarios!F132</f>
        <v/>
      </c>
      <c r="H60" s="121">
        <f>Scenarios!H132</f>
        <v/>
      </c>
    </row>
    <row r="61"/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n"/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2026-09-10T15:55:41Z</dcterms:modified>
</cp:coreProperties>
</file>
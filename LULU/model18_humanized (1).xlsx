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|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2"/>
    <row r="13">
      <c r="B13" s="5" t="inlineStr">
        <is>
          <t>TABS</t>
        </is>
      </c>
    </row>
    <row r="14">
      <c r="B14" s="9" t="inlineStr">
        <is>
          <t>WACC • Revenue Drivers • NOPAT Bridge • Scenarios • DCF • Comps / Football Field</t>
        </is>
      </c>
    </row>
    <row r="15">
      <c r="B15" s="5" t="inlineStr">
        <is>
          <t>ASSUMPTIONS GUIDE (PDF — every tab)</t>
        </is>
      </c>
    </row>
    <row r="16"/>
    <row r="17" ht="36" customHeight="1">
      <c r="B17" s="5" t="inlineStr">
        <is>
          <t>SOURCES</t>
        </is>
      </c>
    </row>
    <row r="18"/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1"/>
    <col collapsed="1"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FY25 reported figures (blue). FY26–30 = red operational assumptions. Consolidated revenue cross-checks to Scenarios base case.</t>
        </is>
      </c>
    </row>
    <row r="3"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24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56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17" t="n"/>
      <c r="J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56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56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5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bridge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n"/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NOPAT bridge</t>
        </is>
      </c>
    </row>
    <row r="4">
      <c r="A4" s="26" t="n"/>
    </row>
    <row r="6">
      <c r="A6" s="52" t="inlineStr">
        <is>
          <t>Driver assumptions</t>
        </is>
      </c>
    </row>
    <row r="7" ht="42" customHeight="1">
      <c r="A7" s="16" t="inlineStr">
        <is>
          <t>SBC add-back (0)</t>
        </is>
      </c>
      <c r="B7" s="17" t="n"/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17" t="n"/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E-commerce EBIT margin %</t>
        </is>
      </c>
      <c r="B10" s="17" t="n"/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Other-channels EBIT margin %</t>
        </is>
      </c>
      <c r="B11" s="17" t="n"/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Terminal marginal tax rate</t>
        </is>
      </c>
      <c r="B12" s="17" t="n"/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R&amp;D amortization period (years)</t>
        </is>
      </c>
      <c r="B13" s="17" t="n"/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5" hidden="1" outlineLevel="1">
      <c r="A15" s="73" t="inlineStr">
        <is>
          <t>Reported EBIT adjustments</t>
        </is>
      </c>
    </row>
    <row r="16" hidden="1" outlineLevel="1" ht="28" customHeight="1">
      <c r="A16" s="16" t="inlineStr">
        <is>
          <t>Reported operating income (EBIT)</t>
        </is>
      </c>
      <c r="B16" s="17" t="n"/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n"/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n"/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n"/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n"/>
      <c r="C20" s="18" t="inlineStr">
        <is>
          <t>LULU CF statement (10-K): stock-based compensation</t>
        </is>
      </c>
      <c r="D20" s="19" t="n"/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 t="inlineStr">
        <is>
          <t>Adjusted EBIT (Phase 1)</t>
        </is>
      </c>
      <c r="B21" s="17" t="n"/>
      <c r="C21" s="24" t="inlineStr">
        <is>
          <t>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Lease &amp; R&amp;D adjustments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n"/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n"/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n"/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 t="inlineStr">
        <is>
          <t>EBIT after lease &amp; capitalization (Phase 2)</t>
        </is>
      </c>
      <c r="B26" s="17" t="n"/>
      <c r="C26" s="24" t="inlineStr">
        <is>
          <t>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Channel EBIT mix</t>
        </is>
      </c>
    </row>
    <row r="28" hidden="1" outlineLevel="1" ht="28" customHeight="1">
      <c r="A28" s="16" t="inlineStr">
        <is>
          <t>Store-channel revenue</t>
        </is>
      </c>
      <c r="B28" s="17" t="n"/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Drivers'!C31</f>
        <v/>
      </c>
      <c r="G28" s="75">
        <f>'Revenue Drivers'!D31</f>
        <v/>
      </c>
      <c r="H28" s="75">
        <f>'Revenue Drivers'!E31</f>
        <v/>
      </c>
      <c r="I28" s="75">
        <f>'Revenue Drivers'!F31</f>
        <v/>
      </c>
      <c r="J28" s="75">
        <f>'Revenue Drivers'!G31</f>
        <v/>
      </c>
    </row>
    <row r="29" hidden="1" outlineLevel="1" ht="28" customHeight="1">
      <c r="A29" s="16" t="inlineStr">
        <is>
          <t>E-commerce revenue</t>
        </is>
      </c>
      <c r="B29" s="17" t="n"/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Drivers'!C41</f>
        <v/>
      </c>
      <c r="G29" s="75">
        <f>'Revenue Drivers'!D41</f>
        <v/>
      </c>
      <c r="H29" s="75">
        <f>'Revenue Drivers'!E41</f>
        <v/>
      </c>
      <c r="I29" s="75">
        <f>'Revenue Drivers'!F41</f>
        <v/>
      </c>
      <c r="J29" s="75">
        <f>'Revenue Drivers'!G41</f>
        <v/>
      </c>
    </row>
    <row r="30" hidden="1" outlineLevel="1" ht="28" customHeight="1">
      <c r="A30" s="16" t="inlineStr">
        <is>
          <t>Other channels revenue</t>
        </is>
      </c>
      <c r="B30" s="17" t="n"/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Drivers'!C45</f>
        <v/>
      </c>
      <c r="G30" s="75">
        <f>'Revenue Drivers'!D45</f>
        <v/>
      </c>
      <c r="H30" s="75">
        <f>'Revenue Drivers'!E45</f>
        <v/>
      </c>
      <c r="I30" s="75">
        <f>'Revenue Drivers'!F45</f>
        <v/>
      </c>
      <c r="J30" s="75">
        <f>'Revenue Drivers'!G45</f>
        <v/>
      </c>
    </row>
    <row r="31" hidden="1" outlineLevel="1" ht="70" customHeight="1">
      <c r="A31" s="16" t="inlineStr">
        <is>
          <t>Store-channel EBIT (= Rev × store margin)</t>
        </is>
      </c>
      <c r="B31" s="17" t="n"/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n"/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n"/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n"/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 t="inlineStr">
        <is>
          <t>EBIT after channel mix (Phase 3)</t>
        </is>
      </c>
      <c r="B35" s="17" t="n"/>
      <c r="C35" s="24" t="inlineStr">
        <is>
          <t>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 t="inlineStr">
        <is>
          <t>Normalized EBIT (tax base for NOPAT)</t>
        </is>
      </c>
      <c r="B36" s="17" t="n"/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Tax normalization</t>
        </is>
      </c>
    </row>
    <row r="39" hidden="1" outlineLevel="1" ht="70" customHeight="1">
      <c r="A39" s="16" t="inlineStr">
        <is>
          <t>Operating effective tax rate (t_operating)</t>
        </is>
      </c>
      <c r="B39" s="17" t="n"/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n"/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collapsed="1" ht="28" customHeight="1">
      <c r="A41" s="23" t="inlineStr">
        <is>
          <t>NORMALIZED NOPAT</t>
        </is>
      </c>
      <c r="B41" s="17" t="n"/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3">
      <c r="A43" s="61" t="inlineStr">
        <is>
          <t>6. Tariff refund (Scenarios)</t>
        </is>
      </c>
      <c r="B43" s="79" t="n"/>
      <c r="C43" s="79" t="inlineStr">
        <is>
          <t>EBIT = Rev × 13.2% only (no refund).</t>
        </is>
      </c>
      <c r="D43" s="79" t="n"/>
      <c r="F43" s="80" t="inlineStr">
        <is>
          <t>Scenarios EBIT (FY26)</t>
        </is>
      </c>
    </row>
    <row r="44">
      <c r="A44" s="26" t="inlineStr">
        <is>
          <t>Steps 1–4: DCF unchanged on FY26. Step 5 changes NOPAT only (tax). Step 6 changes FY26 EBIT (+ tariff).</t>
        </is>
      </c>
    </row>
    <row r="45">
      <c r="A45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36" customHeight="1">
      <c r="A4" s="38" t="inlineStr">
        <is>
          <t>LULU_Assumptions_Memo.pdf</t>
        </is>
      </c>
      <c r="C4" s="85" t="inlineStr">
        <is>
          <t>NOPAT Bridge tab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xmlns:r="http://schemas.openxmlformats.org/officeDocument/2006/relationships" ref="C98" r:id="rId46"/>
    <hyperlink xmlns:r="http://schemas.openxmlformats.org/officeDocument/2006/relationships" ref="C99" r:id="rId47"/>
    <hyperlink ref="C104" location="'Scenarios'!G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2026-09-10T16:35:57Z</dcterms:modified>
</cp:coreProperties>
</file>
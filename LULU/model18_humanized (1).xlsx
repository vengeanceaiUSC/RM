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8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0">
        <f>(DCF!$E$21/$B$198)*365</f>
        <v/>
      </c>
      <c r="G15" s="130">
        <f>(DCF!$E$21/$B$198)*365</f>
        <v/>
      </c>
      <c r="H15" s="130">
        <f>(DCF!$E$21/$B$198)*365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0">
        <f>(DCF!$E$23/DCF!$E$8)*365</f>
        <v/>
      </c>
      <c r="G16" s="130">
        <f>(DCF!$E$23/DCF!$E$8)*365</f>
        <v/>
      </c>
      <c r="H16" s="130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0">
        <f>(DCF!$E$25/DCF!$E$8)*365</f>
        <v/>
      </c>
      <c r="G18" s="130">
        <f>(DCF!$E$25/DCF!$E$8)*365</f>
        <v/>
      </c>
      <c r="H18" s="130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DCF!$E$27/$B$198</f>
        <v/>
      </c>
      <c r="G19" s="20">
        <f>DCF!$E$27/$B$198</f>
        <v/>
      </c>
      <c r="H19" s="20">
        <f>DCF!$E$27/$B$198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DCF!$E$29/$B$198</f>
        <v/>
      </c>
      <c r="G20" s="20">
        <f>DCF!$E$29/$B$198</f>
        <v/>
      </c>
      <c r="H20" s="20">
        <f>DCF!$E$29/$B$198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  <row r="194"/>
    <row r="195"/>
    <row r="196"/>
    <row r="197"/>
    <row r="198">
      <c r="A198" t="inlineStr">
        <is>
          <t>FY25 net revenue ($000)</t>
        </is>
      </c>
      <c r="B198" t="n">
        <v>11102600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18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2026-09-10T17:17:57Z</dcterms:modified>
</cp:coreProperties>
</file>
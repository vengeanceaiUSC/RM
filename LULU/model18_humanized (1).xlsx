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2"/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6"/>
    <row r="17" ht="36" customHeight="1">
      <c r="B17" s="5" t="n"/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0">
        <f>(DCF!$E$21/DCF!$E$5)*365</f>
        <v/>
      </c>
      <c r="G15" s="130">
        <f>(DCF!$E$21/DCF!$E$5)*365</f>
        <v/>
      </c>
      <c r="H15" s="130">
        <f>(DCF!$E$21/DCF!$E$5)*365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0">
        <f>(DCF!$E$23/DCF!$E$8)*365</f>
        <v/>
      </c>
      <c r="G16" s="130">
        <f>(DCF!$E$23/DCF!$E$8)*365</f>
        <v/>
      </c>
      <c r="H16" s="130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0">
        <f>(DCF!$E$25/DCF!$E$8)*365</f>
        <v/>
      </c>
      <c r="G18" s="130">
        <f>(DCF!$E$25/DCF!$E$8)*365</f>
        <v/>
      </c>
      <c r="H18" s="130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DCF!$E$27/DCF!$E$5</f>
        <v/>
      </c>
      <c r="G19" s="20">
        <f>DCF!$E$27/DCF!$E$5</f>
        <v/>
      </c>
      <c r="H19" s="20">
        <f>DCF!$E$27/DCF!$E$5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DCF!$E$29/DCF!$E$5</f>
        <v/>
      </c>
      <c r="G20" s="20">
        <f>DCF!$E$29/DCF!$E$5</f>
        <v/>
      </c>
      <c r="H20" s="20">
        <f>DCF!$E$29/DCF!$E$5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n"/>
    </row>
    <row r="194"/>
    <row r="195"/>
    <row r="196"/>
    <row r="197"/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FY25 reported figures (blue). FY26–30 = red operational assumptions. Consolidated revenue cross-checks to Scenarios base case.</t>
        </is>
      </c>
    </row>
    <row r="3"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17" t="n"/>
      <c r="J41" s="18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2026-09-10T17:15:55Z</dcterms:modified>
</cp:coreProperties>
</file>
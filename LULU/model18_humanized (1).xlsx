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/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n"/>
    </row>
    <row r="16"/>
    <row r="17" ht="36" customHeight="1">
      <c r="B17" s="5" t="inlineStr">
        <is>
          <t>SOURCES</t>
        </is>
      </c>
    </row>
    <row r="18"/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FY25 reported figures (blue). FY26–30 = red operational assumptions. Consolidated revenue cross-checks to Scenarios base case.</t>
        </is>
      </c>
    </row>
    <row r="3"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24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24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56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17" t="n"/>
      <c r="J41" s="24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56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56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bridge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NOPAT bridge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(0)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R&amp;D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Reported EBIT adjustments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 t="inlineStr">
        <is>
          <t>Adjusted EBIT (Phase 1)</t>
        </is>
      </c>
      <c r="B21" s="17" t="n"/>
      <c r="C21" s="24" t="inlineStr">
        <is>
          <t>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Lease &amp; R&amp;D adjustments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 t="inlineStr">
        <is>
          <t>EBIT after lease &amp; capitalization (Phase 2)</t>
        </is>
      </c>
      <c r="B26" s="17" t="n"/>
      <c r="C26" s="24" t="inlineStr">
        <is>
          <t>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Channel EBIT mix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Drivers'!C31</f>
        <v/>
      </c>
      <c r="G28" s="75">
        <f>'Revenue Drivers'!D31</f>
        <v/>
      </c>
      <c r="H28" s="75">
        <f>'Revenue Drivers'!E31</f>
        <v/>
      </c>
      <c r="I28" s="75">
        <f>'Revenue Drivers'!F31</f>
        <v/>
      </c>
      <c r="J28" s="75">
        <f>'Revenue Drivers'!G31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Drivers'!C41</f>
        <v/>
      </c>
      <c r="G29" s="75">
        <f>'Revenue Drivers'!D41</f>
        <v/>
      </c>
      <c r="H29" s="75">
        <f>'Revenue Drivers'!E41</f>
        <v/>
      </c>
      <c r="I29" s="75">
        <f>'Revenue Drivers'!F41</f>
        <v/>
      </c>
      <c r="J29" s="75">
        <f>'Revenue Drivers'!G41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Drivers'!C45</f>
        <v/>
      </c>
      <c r="G30" s="75">
        <f>'Revenue Drivers'!D45</f>
        <v/>
      </c>
      <c r="H30" s="75">
        <f>'Revenue Drivers'!E45</f>
        <v/>
      </c>
      <c r="I30" s="75">
        <f>'Revenue Drivers'!F45</f>
        <v/>
      </c>
      <c r="J30" s="75">
        <f>'Revenue Drivers'!G45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 t="inlineStr">
        <is>
          <t>EBIT after channel mix (Phase 3)</t>
        </is>
      </c>
      <c r="B35" s="17" t="n"/>
      <c r="C35" s="24" t="inlineStr">
        <is>
          <t>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 t="inlineStr">
        <is>
          <t>Normalized EBIT (tax base for NOPAT)</t>
        </is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Tax normalization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collapsed="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26" t="inlineStr">
        <is>
          <t>Steps 1–4: DCF unchanged on FY26. Step 5 changes NOPAT only (tax). Step 6 changes FY26 EBIT (+ tariff).</t>
        </is>
      </c>
    </row>
    <row r="45">
      <c r="A45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36" customHeight="1">
      <c r="A4" s="38" t="n"/>
      <c r="C4" s="85" t="inlineStr">
        <is>
          <t>NOPAT Bridge tab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2026-09-10T16:47:24Z</dcterms:modified>
</cp:coreProperties>
</file>
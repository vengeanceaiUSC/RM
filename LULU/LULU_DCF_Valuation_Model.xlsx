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stern.nyu.edu/~adamodar/New_Home_Page/datafile/Betas.html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30%”); FY25 effective was 29.5%.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(5Y) — levered βL</t>
        </is>
      </c>
      <c r="B17" s="17" t="inlineStr">
        <is>
          <t>StockAnalysis Beta (5Y) 0.86 is levered equity βL — observed alongside D/E 0.45 and $2.14B total debt on the same page.</t>
        </is>
      </c>
      <c r="C17" s="18" t="inlineStr">
        <is>
          <t>StockAnalysis: LULU Beta (5Y)</t>
        </is>
      </c>
      <c r="D17" s="19" t="inlineStr">
        <is>
          <t>Ctrl+F "Beta (5Y)" → 0.86. Levered equity βL (StockAnalysis).</t>
        </is>
      </c>
      <c r="E17" s="27" t="n">
        <v>0.86</v>
      </c>
    </row>
    <row r="18" ht="28" customHeight="1">
      <c r="A18" s="16" t="inlineStr">
        <is>
          <t>D/E for unlever (StockAnalysis; source of βL)</t>
        </is>
      </c>
      <c r="B18" s="17" t="inlineStr">
        <is>
          <t>Unlever D/E = StockAnalysis 0.45 ($2.14B total debt ÷ $4.79B book equity) — leverage embedded in the source βL.</t>
        </is>
      </c>
      <c r="C18" s="18" t="inlineStr">
        <is>
          <t>StockAnalysis: LULU Debt / Equity</t>
        </is>
      </c>
      <c r="D18" s="19" t="inlineStr">
        <is>
          <t>Ctrl+F "Debt / Equity" → 0.45 | "Total Debt" → 2.14B. Source D/E for unlever step.</t>
        </is>
      </c>
      <c r="E18" s="27" t="n">
        <v>0.45</v>
      </c>
    </row>
    <row r="19" ht="28" customHeight="1">
      <c r="A19" s="16" t="inlineStr">
        <is>
          <t>Unlevered βu</t>
        </is>
      </c>
      <c r="B19" s="17" t="inlineStr">
        <is>
          <t>βu = βL ÷ [1 + (1−T) × D/E_source]. Strip StockAnalysis 0.45 D/E → βu ≈ 0.65.</t>
        </is>
      </c>
      <c r="C19" s="24" t="inlineStr">
        <is>
          <t>WACC tab: Hamada unlever (source D/E)</t>
        </is>
      </c>
      <c r="D19" s="19" t="inlineStr">
        <is>
          <t>βu = E[βL] ÷ (1 + (1−T) × E[D/E source]). With StockAnalysis 0.45 → βu ≈ 0.65.</t>
        </is>
      </c>
      <c r="E19" s="28">
        <f>E17/(1+(1-E5)*E18)</f>
        <v/>
      </c>
    </row>
    <row r="20" ht="28" customHeight="1">
      <c r="A20" s="16" t="inlineStr">
        <is>
          <t>D/E for relever (WACC: FY25 lease debt / market equity)</t>
        </is>
      </c>
      <c r="B20" s="17" t="inlineStr">
        <is>
          <t>Relever D/E = FY25 10-K lease debt equiv. ÷ market equity — WACC capital structure we model.</t>
        </is>
      </c>
      <c r="C20" s="24" t="inlineStr">
        <is>
          <t>WACC tab: FY25 lease debt / market equity</t>
        </is>
      </c>
      <c r="D20" s="19" t="inlineStr">
        <is>
          <t>D/E = E[total debt equiv.] ÷ E[market equity]. FY25 10-K leases ÷ market cap for relever.</t>
        </is>
      </c>
      <c r="E20" s="28">
        <f>E14/E10</f>
        <v/>
      </c>
    </row>
    <row r="21" ht="28" customHeight="1">
      <c r="A21" s="16" t="inlineStr">
        <is>
          <t>Sector βu benchmark (Damodaran Special Lines) — not used</t>
        </is>
      </c>
      <c r="B21" s="17" t="inlineStr">
        <is>
          <t>Damodaran unlevered Retail (Special Lines) βu 0.95 shown as a sector benchmark only — not the WACC input.</t>
        </is>
      </c>
      <c r="C21" s="18" t="inlineStr">
        <is>
          <t>Damodaran: US betas by sector (Jan 2026)</t>
        </is>
      </c>
      <c r="D21" s="19" t="inlineStr">
        <is>
          <t>Ctrl+F "Retail (Special Lines)" → Unlevered beta 0.95 (βu). Sector benchmark only — not used in WACC.</t>
        </is>
      </c>
      <c r="E21" s="27" t="n">
        <v>0.95</v>
      </c>
    </row>
    <row r="22" ht="150" customHeight="1">
      <c r="A22" s="23" t="inlineStr">
        <is>
          <t>Beta used (relevered for WACC capital structure)</t>
        </is>
      </c>
      <c r="B22" s="17" t="inlineStr">
        <is>
          <t>βL = βu × [1 + (1−T) × D/E_WACC]. Relevers to FY25 lease debt / market cap (~0.73 used β).</t>
        </is>
      </c>
      <c r="C22" s="24" t="inlineStr">
        <is>
          <t>WACC tab: Hamada relever (total D/E incl. leases)</t>
        </is>
      </c>
      <c r="D22" s="19" t="inlineStr">
        <is>
          <t>Unlever at source D/E (StockAnalysis) → relever at WACC D/E (10-K leases).
Observed levered βL (same source as D/E below)
  Ctrl+F "Beta (5Y)"  →  0.86
Step 1 — Unlever (source leverage)
  Ctrl+F "Debt / Equity"  →  0.45
  Ctrl+F "Total Debt"  →  2.14B (leases on StockAnalysis)
  βu = 0.86 ÷ [1 + (1−T) × 0.45]  →  ≈ 0.65
Step 2 — Relever (WACC capital structure)
  D/E = FY25 lease debt equiv. ÷ market equity
  Ctrl+F "Current lease liabilities"  →  298,724
  Ctrl+F "Non-current lease liabilities"  →  1,499,717
  βL = βu × [1 + (1−T) × D/E]  →  ≈ 0.73
Sector benchmark (Damodaran) — not used
  Ctrl+F "Retail (Special Lines)"  →  Unlevered beta 0.95</t>
        </is>
      </c>
      <c r="E22" s="29">
        <f>E19*(1+(1-E5)*E20)</f>
        <v/>
      </c>
    </row>
    <row r="23">
      <c r="A23" s="26" t="inlineStr">
        <is>
          <t xml:space="preserve">  memo: Unlever strips StockAnalysis 0.45 D/E ($2.14B debt). Relever applies FY25 10-K lease debt / market cap.</t>
        </is>
      </c>
    </row>
    <row r="24">
      <c r="A24" s="14" t="inlineStr">
        <is>
          <t>Cost of equity (CAPM)</t>
        </is>
      </c>
    </row>
    <row r="25">
      <c r="A25" s="23" t="inlineStr">
        <is>
          <t>Cost of equity = rf + β × ERP</t>
        </is>
      </c>
      <c r="E25" s="30">
        <f>E3+E22*E4</f>
        <v/>
      </c>
    </row>
    <row r="27">
      <c r="A27" s="14" t="inlineStr">
        <is>
          <t>Cost of debt (lease-equivalent)</t>
        </is>
      </c>
    </row>
    <row r="28" ht="28" customHeight="1">
      <c r="A28" s="16" t="inlineStr">
        <is>
          <t>Pre-tax cost of debt (lease-equivalent)</t>
        </is>
      </c>
      <c r="B28" s="17" t="inlineStr">
        <is>
          <t>5.0% pre-tax lease-equivalent borrowing cost; cheaper than equity. No funded revolver borrowings per FY25 10-K.</t>
        </is>
      </c>
      <c r="C28" s="18" t="inlineStr">
        <is>
          <t>LULU FY2025 10-K: lease liabilities &amp; no funded debt</t>
        </is>
      </c>
      <c r="D28" s="19" t="inlineStr">
        <is>
          <t>Ctrl+F "Current lease liabilities" + "Non-current lease liabilities" → debt equiv. 5.0% illustrative lease borrowing cost.</t>
        </is>
      </c>
      <c r="E28" s="20" t="n">
        <v>0.05</v>
      </c>
    </row>
    <row r="29">
      <c r="A29" s="16" t="inlineStr">
        <is>
          <t>After-tax cost of debt</t>
        </is>
      </c>
      <c r="E29" s="31">
        <f>E28*(1-E5)</f>
        <v/>
      </c>
    </row>
    <row r="31">
      <c r="A31" s="14" t="inlineStr">
        <is>
          <t>WACC weights</t>
        </is>
      </c>
    </row>
    <row r="32" ht="28" customHeight="1">
      <c r="A32" s="16" t="inlineStr">
        <is>
          <t>Equity weight</t>
        </is>
      </c>
      <c r="B32" s="17" t="inlineStr">
        <is>
          <t>Equity weight = market cap ÷ (market cap + lease debt). ~86% at $100 and FY25 lease balance.</t>
        </is>
      </c>
      <c r="C32" s="24" t="inlineStr">
        <is>
          <t>WACC tab: capital structure</t>
        </is>
      </c>
      <c r="D32" s="19" t="inlineStr">
        <is>
          <t>Equity weight = market cap ÷ (market cap + lease debt). Live formula on this tab.</t>
        </is>
      </c>
      <c r="E32" s="32">
        <f>E10/(E10+E14)</f>
        <v/>
      </c>
    </row>
    <row r="33" ht="28" customHeight="1">
      <c r="A33" s="16" t="inlineStr">
        <is>
          <t>Debt weight (leases + funded)</t>
        </is>
      </c>
      <c r="B33" s="17" t="inlineStr">
        <is>
          <t>Debt weight = lease liabilities ÷ (market cap + lease debt). ~14% — ASC 842 leases, not bank debt.</t>
        </is>
      </c>
      <c r="C33" s="18" t="inlineStr">
        <is>
          <t>LULU FY2025 10-K: operating lease liabilities</t>
        </is>
      </c>
      <c r="D33" s="19" t="inlineStr">
        <is>
          <t>Debt weight = lease liabilities ÷ (market cap + lease debt). ~14% at FY25 balances.</t>
        </is>
      </c>
      <c r="E33" s="32">
        <f>E14/(E10+E14)</f>
        <v/>
      </c>
    </row>
    <row r="34">
      <c r="A34" s="23" t="inlineStr">
        <is>
          <t>WACC</t>
        </is>
      </c>
      <c r="E34" s="33">
        <f>E32*E25+E33*E29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21" r:id="rId10"/>
    <hyperlink xmlns:r="http://schemas.openxmlformats.org/officeDocument/2006/relationships" ref="C28" r:id="rId11"/>
    <hyperlink xmlns:r="http://schemas.openxmlformats.org/officeDocument/2006/relationships" ref="C33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WACC!E34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3" t="inlineStr">
        <is>
          <t>Enterprise value (DCF)</t>
        </is>
      </c>
      <c r="F64" s="25">
        <f>NPV(F9,F58,F59,F60,F61,F62)+(F62*(1+F10)/(F9-F10))/(1+F9)^5</f>
        <v/>
      </c>
      <c r="G64" s="25">
        <f>NPV(G9,G58,G59,G60,G61,G62)+(G62*(1+G10)/(G9-G10))/(1+G9)^5</f>
        <v/>
      </c>
      <c r="H64" s="25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3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4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3" t="inlineStr">
        <is>
          <t>EBIT (incl. FY26 refund)</t>
        </is>
      </c>
      <c r="E9" s="78" t="n">
        <v>2210615</v>
      </c>
      <c r="F9" s="25">
        <f>Scenarios!G28</f>
        <v/>
      </c>
      <c r="G9" s="25">
        <f>Scenarios!G29</f>
        <v/>
      </c>
      <c r="H9" s="25">
        <f>Scenarios!G30</f>
        <v/>
      </c>
      <c r="I9" s="25">
        <f>Scenarios!G31</f>
        <v/>
      </c>
      <c r="J9" s="25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3" t="inlineStr">
        <is>
          <t>NOPAT</t>
        </is>
      </c>
      <c r="F12" s="25">
        <f>Scenarios!G33</f>
        <v/>
      </c>
      <c r="G12" s="25">
        <f>Scenarios!G34</f>
        <v/>
      </c>
      <c r="H12" s="25">
        <f>Scenarios!G35</f>
        <v/>
      </c>
      <c r="I12" s="25">
        <f>Scenarios!G36</f>
        <v/>
      </c>
      <c r="J12" s="25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3" t="inlineStr">
        <is>
          <t>PV of unlevered FCF</t>
        </is>
      </c>
      <c r="F25" s="25">
        <f>F22*F24</f>
        <v/>
      </c>
      <c r="G25" s="25">
        <f>G22*G24</f>
        <v/>
      </c>
      <c r="H25" s="25">
        <f>H22*H24</f>
        <v/>
      </c>
      <c r="I25" s="25">
        <f>I22*I24</f>
        <v/>
      </c>
      <c r="J25" s="25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3" t="inlineStr">
        <is>
          <t>Terminal EBITDA (FY2030E EBIT + D&amp;A)</t>
        </is>
      </c>
      <c r="E31" s="25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3" t="inlineStr">
        <is>
          <t>PV of terminal value</t>
        </is>
      </c>
      <c r="E35" s="66">
        <f>E32/(1+Scenarios!$G$9)^J23</f>
        <v/>
      </c>
    </row>
    <row r="36">
      <c r="A36" s="23" t="inlineStr">
        <is>
          <t>Enterprise value</t>
        </is>
      </c>
      <c r="E36" s="25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3" t="inlineStr">
        <is>
          <t>Equity value</t>
        </is>
      </c>
      <c r="E41" s="25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3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3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3" t="inlineStr">
        <is>
          <t>Enterprise value (exit method)</t>
        </is>
      </c>
      <c r="E53" s="25">
        <f>E29+E52</f>
        <v/>
      </c>
    </row>
    <row r="54">
      <c r="A54" s="23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3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3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3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4"/>
    <hyperlink ref="L68" location="'WACC'!E34"/>
    <hyperlink ref="L69" location="'WACC'!E34"/>
    <hyperlink ref="L70" location="'WACC'!E34"/>
    <hyperlink ref="L71" location="'WACC'!E34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2026-09-07T22:42:12Z</dcterms:created>
  <dcterms:modified xmlns:dcterms="http://purl.org/dc/terms/" xmlns:xsi="http://www.w3.org/2001/XMLSchema-instance" xsi:type="dcterms:W3CDTF">2026-09-07T22:42:12Z</dcterms:modified>
</cp:coreProperties>
</file>
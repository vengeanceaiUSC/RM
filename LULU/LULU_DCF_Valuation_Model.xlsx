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Relationship Type="http://schemas.openxmlformats.org/officeDocument/2006/relationships/hyperlink" Target="https://fred.stlouisfed.org/series/GDPC1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Gross margin %</t>
        </is>
      </c>
      <c r="B14" s="17" t="inlineStr">
        <is>
          <t>Gross margin % isolates COGS = Rev × (1 − GM%). FY25 anchor 56.6% = 6,284,132 ÷ 11,102,600 on the 10-K.</t>
        </is>
      </c>
      <c r="C14" s="18" t="inlineStr">
        <is>
          <t>LULU FY2025 10-K: Gross profit &amp; COGS</t>
        </is>
      </c>
      <c r="D14" s="19" t="inlineStr">
        <is>
          <t>Ctrl+F "Gross profit" → 6,284,132 | Ctrl+F "Net revenue" → 11,102,600 | GM = 56.6%. Ctrl+F "Cost of goods sold" → 4,818,468.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DSO flat at FY25 (AR ÷ Rev) × 365 ≈ 6.3 days. AR balance = (DSO ÷ 365) × projected revenue.</t>
        </is>
      </c>
      <c r="C15" s="18" t="inlineStr">
        <is>
          <t>LULU FY2025 10-K: Accounts receivable, net</t>
        </is>
      </c>
      <c r="D15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50" customHeight="1">
      <c r="A16" s="16" t="inlineStr">
        <is>
          <t>FY25 DIO anchor (days)</t>
        </is>
      </c>
      <c r="B16" s="17" t="inlineStr">
        <is>
          <t>DIO FY25 anchor ≈ 129 days = (Inventories ÷ COGS) × 365. Declines 1 day/yr (−5 days over FY26–30) to clear excess stock.</t>
        </is>
      </c>
      <c r="C16" s="18" t="inlineStr">
        <is>
          <t>LULU FY2025 10-K: Inventories &amp; COGS</t>
        </is>
      </c>
      <c r="D16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28" customHeight="1">
      <c r="A17" s="16" t="inlineStr">
        <is>
          <t>DIO decline (days / forecast yr)</t>
        </is>
      </c>
      <c r="B17" s="17" t="inlineStr">
        <is>
          <t>One day of DIO improvement per forecast year — five days total by FY30 vs the FY25 anchor.</t>
        </is>
      </c>
      <c r="C17" s="24" t="inlineStr">
        <is>
          <t>Scenarios: DIO clearance path (−5 days / 5 yrs)</t>
        </is>
      </c>
      <c r="D17" s="19" t="inlineStr">
        <is>
          <t>Model assumption: −1 day DIO per forecast year (−5 days FY26–30 vs FY25 anchor). No 10-K Ctrl+F.</t>
        </is>
      </c>
      <c r="F17" s="40" t="n">
        <v>1</v>
      </c>
      <c r="G17" s="40" t="n">
        <v>1</v>
      </c>
      <c r="H17" s="40" t="n">
        <v>1</v>
      </c>
    </row>
    <row r="18" ht="150" customHeight="1">
      <c r="A18" s="16" t="inlineStr">
        <is>
          <t>DPO (days) — flat vs FY25</t>
        </is>
      </c>
      <c r="B18" s="17" t="inlineStr">
        <is>
          <t>DPO flat at FY25 (AP ÷ COGS) × 365 ≈ 25.1 days. AP balance = (DPO ÷ 365) × projected COGS.</t>
        </is>
      </c>
      <c r="C18" s="18" t="inlineStr">
        <is>
          <t>LULU FY2025 10-K: Accounts payable &amp; COGS</t>
        </is>
      </c>
      <c r="D18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150" customHeight="1">
      <c r="A19" s="16" t="inlineStr">
        <is>
          <t>Prepaid expenses (% of revenue)</t>
        </is>
      </c>
      <c r="B19" s="17" t="inlineStr">
        <is>
          <t>Prepaid / other current assets held at FY25 % of revenue (564,089 ÷ 11,102,600 ≈ 5.1%).</t>
        </is>
      </c>
      <c r="C19" s="18" t="inlineStr">
        <is>
          <t>LULU FY2025 10-K: other current assets (residual)</t>
        </is>
      </c>
      <c r="D19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150" customHeight="1">
      <c r="A20" s="16" t="inlineStr">
        <is>
          <t>Accrued liabilities (% of revenue)</t>
        </is>
      </c>
      <c r="B20" s="17" t="inlineStr">
        <is>
          <t>Accrued liabilities held at FY25 % of revenue (662,982 ÷ 11,102,600 ≈ 6.0%).</t>
        </is>
      </c>
      <c r="C20" s="18" t="inlineStr">
        <is>
          <t>LULU FY2025 10-K: Accrued liabilities and other</t>
        </is>
      </c>
      <c r="D20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F43*(1-F11)</f>
        <v/>
      </c>
      <c r="G48" s="42">
        <f>G43*(1-G11)</f>
        <v/>
      </c>
      <c r="H48" s="42">
        <f>H43*(1-H11)</f>
        <v/>
      </c>
    </row>
    <row r="49">
      <c r="A49" s="41" t="inlineStr">
        <is>
          <t xml:space="preserve">  NOPAT – year 2</t>
        </is>
      </c>
      <c r="F49" s="42">
        <f>F44*(1-F11)</f>
        <v/>
      </c>
      <c r="G49" s="42">
        <f>G44*(1-G11)</f>
        <v/>
      </c>
      <c r="H49" s="42">
        <f>H44*(1-H11)</f>
        <v/>
      </c>
    </row>
    <row r="50">
      <c r="A50" s="41" t="inlineStr">
        <is>
          <t xml:space="preserve">  NOPAT – year 3</t>
        </is>
      </c>
      <c r="F50" s="42">
        <f>F45*(1-F11)</f>
        <v/>
      </c>
      <c r="G50" s="42">
        <f>G45*(1-G11)</f>
        <v/>
      </c>
      <c r="H50" s="42">
        <f>H45*(1-H11)</f>
        <v/>
      </c>
    </row>
    <row r="51">
      <c r="A51" s="41" t="inlineStr">
        <is>
          <t xml:space="preserve">  NOPAT – year 4</t>
        </is>
      </c>
      <c r="F51" s="42">
        <f>F46*(1-F11)</f>
        <v/>
      </c>
      <c r="G51" s="42">
        <f>G46*(1-G11)</f>
        <v/>
      </c>
      <c r="H51" s="42">
        <f>H46*(1-H11)</f>
        <v/>
      </c>
    </row>
    <row r="52">
      <c r="A52" s="41" t="inlineStr">
        <is>
          <t xml:space="preserve">  NOPAT – year 5</t>
        </is>
      </c>
      <c r="F52" s="42">
        <f>F47*(1-F11)</f>
        <v/>
      </c>
      <c r="G52" s="42">
        <f>G47*(1-G11)</f>
        <v/>
      </c>
      <c r="H52" s="42">
        <f>H47*(1-H11)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C20" r:id="rId1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0" t="inlineStr">
        <is>
          <t>Justification (~20 words)</t>
        </is>
      </c>
      <c r="C2" s="70" t="inlineStr">
        <is>
          <t>Source (click)</t>
        </is>
      </c>
      <c r="D2" s="70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73" t="inlineStr">
        <is>
          <t>Δ vs Scenarios</t>
        </is>
      </c>
      <c r="L2" s="70" t="inlineStr">
        <is>
          <t>Alt. source</t>
        </is>
      </c>
      <c r="M2" s="70" t="inlineStr">
        <is>
          <t>Alt. Ctrl+F</t>
        </is>
      </c>
    </row>
    <row r="3" ht="28" customHeight="1">
      <c r="A3" s="7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5" t="inlineStr">
        <is>
          <t>10-K</t>
        </is>
      </c>
      <c r="K3" s="76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7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8" t="n">
        <v>11102600</v>
      </c>
      <c r="F5" s="79">
        <f>Scenarios!G23</f>
        <v/>
      </c>
      <c r="G5" s="79">
        <f>Scenarios!G24</f>
        <v/>
      </c>
      <c r="H5" s="79">
        <f>Scenarios!G25</f>
        <v/>
      </c>
      <c r="I5" s="79">
        <f>Scenarios!G26</f>
        <v/>
      </c>
      <c r="J5" s="79">
        <f>Scenarios!G27</f>
        <v/>
      </c>
      <c r="K5" s="80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50" customHeight="1">
      <c r="A7" s="16" t="inlineStr">
        <is>
          <t>Gross margin %</t>
        </is>
      </c>
      <c r="B7" s="17" t="inlineStr">
        <is>
          <t>Gross margin % isolates COGS = Rev × (1 − GM%). FY25 anchor 56.6% = 6,284,132 ÷ 11,102,600 on the 10-K.</t>
        </is>
      </c>
      <c r="C7" s="18" t="inlineStr">
        <is>
          <t>LULU FY2025 10-K: Gross profit &amp; COGS</t>
        </is>
      </c>
      <c r="D7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E7" s="81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8" t="n">
        <v>4818468</v>
      </c>
      <c r="F8" s="79">
        <f>Scenarios!G33</f>
        <v/>
      </c>
      <c r="G8" s="79">
        <f>Scenarios!G34</f>
        <v/>
      </c>
      <c r="H8" s="79">
        <f>Scenarios!G35</f>
        <v/>
      </c>
      <c r="I8" s="79">
        <f>Scenarios!G36</f>
        <v/>
      </c>
      <c r="J8" s="79">
        <f>Scenarios!G37</f>
        <v/>
      </c>
      <c r="K8" s="80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0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8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82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3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81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cash taxes on EBIT</t>
        </is>
      </c>
      <c r="F13" s="79">
        <f>-Scenarios!G43*Scenarios!$G$11</f>
        <v/>
      </c>
      <c r="G13" s="79">
        <f>-Scenarios!G44*Scenarios!$G$11</f>
        <v/>
      </c>
      <c r="H13" s="79">
        <f>-Scenarios!G45*Scenarios!$G$11</f>
        <v/>
      </c>
      <c r="I13" s="79">
        <f>-Scenarios!G46*Scenarios!$G$11</f>
        <v/>
      </c>
      <c r="J13" s="79">
        <f>-Scenarios!G47*Scenarios!$G$11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3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9">
        <f>Scenarios!G53</f>
        <v/>
      </c>
      <c r="G16" s="79">
        <f>Scenarios!G54</f>
        <v/>
      </c>
      <c r="H16" s="79">
        <f>Scenarios!G55</f>
        <v/>
      </c>
      <c r="I16" s="79">
        <f>Scenarios!G56</f>
        <v/>
      </c>
      <c r="J16" s="79">
        <f>Scenarios!G57</f>
        <v/>
      </c>
      <c r="K16" s="80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9">
        <f>-Scenarios!G58</f>
        <v/>
      </c>
      <c r="G18" s="79">
        <f>-Scenarios!G59</f>
        <v/>
      </c>
      <c r="H18" s="79">
        <f>-Scenarios!G60</f>
        <v/>
      </c>
      <c r="I18" s="79">
        <f>-Scenarios!G61</f>
        <v/>
      </c>
      <c r="J18" s="79">
        <f>-Scenarios!G62</f>
        <v/>
      </c>
      <c r="K18" s="80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</t>
        </is>
      </c>
    </row>
    <row r="20" ht="150" customHeight="1">
      <c r="A20" s="16" t="inlineStr">
        <is>
          <t xml:space="preserve">  DSO (days) — flat vs FY25</t>
        </is>
      </c>
      <c r="B20" s="17" t="inlineStr">
        <is>
          <t>DSO flat at FY25 (AR ÷ Rev) × 365 ≈ 6.3 days. AR balance = (DSO ÷ 365) × projected revenue.</t>
        </is>
      </c>
      <c r="C20" s="18" t="inlineStr">
        <is>
          <t>LULU FY2025 10-K: Accounts receivable, net</t>
        </is>
      </c>
      <c r="D20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E20" s="84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0">
        <f>IF(MAX(ABS(F20-Scenarios!$G$63),ABS(G20-Scenarios!$G$64),ABS(H20-Scenarios!$G$65),ABS(I20-Scenarios!$G$66),ABS(J20-Scenarios!$G$67))&lt;0.5,"OK","CHECK")</f>
        <v/>
      </c>
    </row>
    <row r="21" ht="150" customHeight="1">
      <c r="A21" s="16" t="inlineStr">
        <is>
          <t xml:space="preserve">  Accounts receivable, net</t>
        </is>
      </c>
      <c r="B21" s="17" t="inlineStr">
        <is>
          <t>DSO flat at FY25 (AR ÷ Rev) × 365 ≈ 6.3 days. AR balance = (DSO ÷ 365) × projected revenue.</t>
        </is>
      </c>
      <c r="C21" s="18" t="inlineStr">
        <is>
          <t>LULU FY2025 10-K: Accounts receivable, net</t>
        </is>
      </c>
      <c r="D21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E21" s="78" t="n">
        <v>190657</v>
      </c>
      <c r="F21" s="79">
        <f>Scenarios!G68</f>
        <v/>
      </c>
      <c r="G21" s="79">
        <f>Scenarios!G69</f>
        <v/>
      </c>
      <c r="H21" s="79">
        <f>Scenarios!G70</f>
        <v/>
      </c>
      <c r="I21" s="79">
        <f>Scenarios!G71</f>
        <v/>
      </c>
      <c r="J21" s="79">
        <f>Scenarios!G72</f>
        <v/>
      </c>
      <c r="K21" s="80">
        <f>IF(MAX(ABS(F21-Scenarios!$G$68),ABS(G21-Scenarios!$G$69),ABS(H21-Scenarios!$G$70),ABS(I21-Scenarios!$G$71),ABS(J21-Scenarios!$G$72))&lt;0.5,"OK","CHECK")</f>
        <v/>
      </c>
    </row>
    <row r="22" ht="150" customHeight="1">
      <c r="A22" s="16" t="inlineStr">
        <is>
          <t xml:space="preserve">  DIO (days) — FY25 anchor, −1 day/yr</t>
        </is>
      </c>
      <c r="B22" s="19" t="inlineStr">
        <is>
          <t>DIO FY25 anchor ≈ 129 days = (Inventories ÷ COGS) × 365. Declines 1 day/yr (−5 days over FY26–30) to clear excess stock.
Also: One day of DIO improvement per forecast year — five days total by FY30 vs the FY25 anchor.</t>
        </is>
      </c>
      <c r="C22" s="38" t="inlineStr">
        <is>
          <t>LULU FY2025 10-K: Inventories &amp; COGS
Also: Scenarios: DIO clearance path (−5 days / 5 yrs)</t>
        </is>
      </c>
      <c r="D22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E22" s="84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0">
        <f>IF(MAX(ABS(F22-Scenarios!$G$73),ABS(G22-Scenarios!$G$74),ABS(H22-Scenarios!$G$75),ABS(I22-Scenarios!$G$76),ABS(J22-Scenarios!$G$77))&lt;0.5,"OK","CHECK")</f>
        <v/>
      </c>
    </row>
    <row r="23" ht="150" customHeight="1">
      <c r="A23" s="16" t="inlineStr">
        <is>
          <t xml:space="preserve">  Inventories</t>
        </is>
      </c>
      <c r="B23" s="17" t="inlineStr">
        <is>
          <t>DIO FY25 anchor ≈ 129 days = (Inventories ÷ COGS) × 365. Declines 1 day/yr (−5 days over FY26–30) to clear excess stock.</t>
        </is>
      </c>
      <c r="C23" s="18" t="inlineStr">
        <is>
          <t>LULU FY2025 10-K: Inventories &amp; COGS</t>
        </is>
      </c>
      <c r="D23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E23" s="78" t="n">
        <v>1700753</v>
      </c>
      <c r="F23" s="79">
        <f>Scenarios!G78</f>
        <v/>
      </c>
      <c r="G23" s="79">
        <f>Scenarios!G79</f>
        <v/>
      </c>
      <c r="H23" s="79">
        <f>Scenarios!G80</f>
        <v/>
      </c>
      <c r="I23" s="79">
        <f>Scenarios!G81</f>
        <v/>
      </c>
      <c r="J23" s="79">
        <f>Scenarios!G82</f>
        <v/>
      </c>
      <c r="K23" s="80">
        <f>IF(MAX(ABS(F23-Scenarios!$G$78),ABS(G23-Scenarios!$G$79),ABS(H23-Scenarios!$G$80),ABS(I23-Scenarios!$G$81),ABS(J23-Scenarios!$G$82))&lt;0.5,"OK","CHECK")</f>
        <v/>
      </c>
    </row>
    <row r="24" ht="150" customHeight="1">
      <c r="A24" s="16" t="inlineStr">
        <is>
          <t xml:space="preserve">  DPO (days) — flat vs FY25</t>
        </is>
      </c>
      <c r="B24" s="17" t="inlineStr">
        <is>
          <t>DPO flat at FY25 (AP ÷ COGS) × 365 ≈ 25.1 days. AP balance = (DPO ÷ 365) × projected COGS.</t>
        </is>
      </c>
      <c r="C24" s="18" t="inlineStr">
        <is>
          <t>LULU FY2025 10-K: Accounts payable &amp; COGS</t>
        </is>
      </c>
      <c r="D24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E24" s="84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0">
        <f>IF(MAX(ABS(F24-Scenarios!$G$83),ABS(G24-Scenarios!$G$84),ABS(H24-Scenarios!$G$85),ABS(I24-Scenarios!$G$86),ABS(J24-Scenarios!$G$87))&lt;0.5,"OK","CHECK")</f>
        <v/>
      </c>
    </row>
    <row r="25" ht="150" customHeight="1">
      <c r="A25" s="16" t="inlineStr">
        <is>
          <t xml:space="preserve">  Accounts payable</t>
        </is>
      </c>
      <c r="B25" s="17" t="inlineStr">
        <is>
          <t>DPO flat at FY25 (AP ÷ COGS) × 365 ≈ 25.1 days. AP balance = (DPO ÷ 365) × projected COGS.</t>
        </is>
      </c>
      <c r="C25" s="18" t="inlineStr">
        <is>
          <t>LULU FY2025 10-K: Accounts payable &amp; COGS</t>
        </is>
      </c>
      <c r="D25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E25" s="78" t="n">
        <v>331421</v>
      </c>
      <c r="F25" s="79">
        <f>Scenarios!G88</f>
        <v/>
      </c>
      <c r="G25" s="79">
        <f>Scenarios!G89</f>
        <v/>
      </c>
      <c r="H25" s="79">
        <f>Scenarios!G90</f>
        <v/>
      </c>
      <c r="I25" s="79">
        <f>Scenarios!G91</f>
        <v/>
      </c>
      <c r="J25" s="79">
        <f>Scenarios!G92</f>
        <v/>
      </c>
      <c r="K25" s="80">
        <f>IF(MAX(ABS(F25-Scenarios!$G$88),ABS(G25-Scenarios!$G$89),ABS(H25-Scenarios!$G$90),ABS(I25-Scenarios!$G$91),ABS(J25-Scenarios!$G$92))&lt;0.5,"OK","CHECK")</f>
        <v/>
      </c>
    </row>
    <row r="26" ht="150" customHeight="1">
      <c r="A26" s="16" t="inlineStr">
        <is>
          <t xml:space="preserve">  Prepaid expenses (% of revenue)</t>
        </is>
      </c>
      <c r="B26" s="17" t="inlineStr">
        <is>
          <t>Prepaid / other current assets held at FY25 % of revenue (564,089 ÷ 11,102,600 ≈ 5.1%).</t>
        </is>
      </c>
      <c r="C26" s="18" t="inlineStr">
        <is>
          <t>LULU FY2025 10-K: other current assets (residual)</t>
        </is>
      </c>
      <c r="D26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E26" s="81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t="150" customHeight="1">
      <c r="A27" s="16" t="inlineStr">
        <is>
          <t xml:space="preserve">  Prepaid expenses (other current assets)</t>
        </is>
      </c>
      <c r="B27" s="17" t="inlineStr">
        <is>
          <t>Prepaid / other current assets held at FY25 % of revenue (564,089 ÷ 11,102,600 ≈ 5.1%).</t>
        </is>
      </c>
      <c r="C27" s="18" t="inlineStr">
        <is>
          <t>LULU FY2025 10-K: other current assets (residual)</t>
        </is>
      </c>
      <c r="D27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E27" s="78" t="n">
        <v>564089</v>
      </c>
      <c r="F27" s="79">
        <f>Scenarios!G93</f>
        <v/>
      </c>
      <c r="G27" s="79">
        <f>Scenarios!G94</f>
        <v/>
      </c>
      <c r="H27" s="79">
        <f>Scenarios!G95</f>
        <v/>
      </c>
      <c r="I27" s="79">
        <f>Scenarios!G96</f>
        <v/>
      </c>
      <c r="J27" s="79">
        <f>Scenarios!G97</f>
        <v/>
      </c>
      <c r="K27" s="80">
        <f>IF(MAX(ABS(F27-Scenarios!$G$93),ABS(G27-Scenarios!$G$94),ABS(H27-Scenarios!$G$95),ABS(I27-Scenarios!$G$96),ABS(J27-Scenarios!$G$97))&lt;0.5,"OK","CHECK")</f>
        <v/>
      </c>
    </row>
    <row r="28" ht="150" customHeight="1">
      <c r="A28" s="16" t="inlineStr">
        <is>
          <t xml:space="preserve">  Accrued liabilities (% of revenue)</t>
        </is>
      </c>
      <c r="B28" s="17" t="inlineStr">
        <is>
          <t>Accrued liabilities held at FY25 % of revenue (662,982 ÷ 11,102,600 ≈ 6.0%).</t>
        </is>
      </c>
      <c r="C28" s="18" t="inlineStr">
        <is>
          <t>LULU FY2025 10-K: Accrued liabilities and other</t>
        </is>
      </c>
      <c r="D28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E28" s="81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t="150" customHeight="1">
      <c r="A29" s="16" t="inlineStr">
        <is>
          <t xml:space="preserve">  Accrued liabilities and other</t>
        </is>
      </c>
      <c r="B29" s="17" t="inlineStr">
        <is>
          <t>Accrued liabilities held at FY25 % of revenue (662,982 ÷ 11,102,600 ≈ 6.0%).</t>
        </is>
      </c>
      <c r="C29" s="18" t="inlineStr">
        <is>
          <t>LULU FY2025 10-K: Accrued liabilities and other</t>
        </is>
      </c>
      <c r="D29" s="19" t="inlineStr">
        <is>
          <t>FY25 WORKING CAPITAL ANCHORS (Form 10-K)
Ctrl+F "Accounts receivable, net"
  → 190,657 ($000)
Ctrl+F "Inventories"
  → 1,700,753 ($000)
Ctrl+F "Accounts payable"
  → 331,421 ($000)
Ctrl+F "Accrued liabilities and other"
  → 662,982 ($000)
Ctrl+F "Cost of goods sold"
  → 4,818,468 ($000)
Ctrl+F "Net revenue"
  → 11,102,600 ($000)
Derived drivers
  DSO ≈ 6.3 days  |  DIO ≈ 129 days  |  DPO ≈ 25.1 days
  Prepaids ≈ 5.1% of revenue  |  Accruals ≈ 6.0% of revenue
  DIO −1 day/yr (−5 days by FY30)  |  DSO &amp; DPO flat
  ΔNWC = prior-year NWC − current-year NWC</t>
        </is>
      </c>
      <c r="E29" s="78" t="n">
        <v>662982</v>
      </c>
      <c r="F29" s="79">
        <f>Scenarios!G98</f>
        <v/>
      </c>
      <c r="G29" s="79">
        <f>Scenarios!G99</f>
        <v/>
      </c>
      <c r="H29" s="79">
        <f>Scenarios!G100</f>
        <v/>
      </c>
      <c r="I29" s="79">
        <f>Scenarios!G101</f>
        <v/>
      </c>
      <c r="J29" s="79">
        <f>Scenarios!G102</f>
        <v/>
      </c>
      <c r="K29" s="80">
        <f>IF(MAX(ABS(F29-Scenarios!$G$98),ABS(G29-Scenarios!$G$99),ABS(H29-Scenarios!$G$100),ABS(I29-Scenarios!$G$101),ABS(J29-Scenarios!$G$102))&lt;0.5,"OK","CHECK")</f>
        <v/>
      </c>
    </row>
    <row r="30">
      <c r="A30" s="16" t="inlineStr">
        <is>
          <t>Current operating assets (AR + inv + prepaids)</t>
        </is>
      </c>
      <c r="F30" s="79">
        <f>Scenarios!G103</f>
        <v/>
      </c>
      <c r="G30" s="79">
        <f>Scenarios!G104</f>
        <v/>
      </c>
      <c r="H30" s="79">
        <f>Scenarios!G105</f>
        <v/>
      </c>
      <c r="I30" s="79">
        <f>Scenarios!G106</f>
        <v/>
      </c>
      <c r="J30" s="79">
        <f>Scenarios!G107</f>
        <v/>
      </c>
      <c r="K30" s="80">
        <f>IF(MAX(ABS(F30-Scenarios!$G$103),ABS(G30-Scenarios!$G$104),ABS(H30-Scenarios!$G$105),ABS(I30-Scenarios!$G$106),ABS(J30-Scenarios!$G$107))&lt;0.5,"OK","CHECK")</f>
        <v/>
      </c>
    </row>
    <row r="31">
      <c r="A31" s="16" t="inlineStr">
        <is>
          <t>Current operating liabilities (AP + accruals)</t>
        </is>
      </c>
      <c r="F31" s="79">
        <f>Scenarios!G108</f>
        <v/>
      </c>
      <c r="G31" s="79">
        <f>Scenarios!G109</f>
        <v/>
      </c>
      <c r="H31" s="79">
        <f>Scenarios!G110</f>
        <v/>
      </c>
      <c r="I31" s="79">
        <f>Scenarios!G111</f>
        <v/>
      </c>
      <c r="J31" s="79">
        <f>Scenarios!G112</f>
        <v/>
      </c>
      <c r="K31" s="80">
        <f>IF(MAX(ABS(F31-Scenarios!$G$108),ABS(G31-Scenarios!$G$109),ABS(H31-Scenarios!$G$110),ABS(I31-Scenarios!$G$111),ABS(J31-Scenarios!$G$112))&lt;0.5,"OK","CHECK")</f>
        <v/>
      </c>
    </row>
    <row r="32">
      <c r="A32" s="23" t="inlineStr">
        <is>
          <t>Net working capital</t>
        </is>
      </c>
      <c r="E32" s="82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3">
        <f>IF(MAX(ABS(F32-Scenarios!$G$113),ABS(G32-Scenarios!$G$114),ABS(H32-Scenarios!$G$115),ABS(I32-Scenarios!$G$116),ABS(J32-Scenarios!$G$117))&lt;0.5,"OK","CHECK")</f>
        <v/>
      </c>
    </row>
    <row r="33">
      <c r="A33" s="16" t="inlineStr">
        <is>
          <t>ΔNWC (prior yr − current yr)</t>
        </is>
      </c>
      <c r="F33" s="79">
        <f>Scenarios!G118</f>
        <v/>
      </c>
      <c r="G33" s="79">
        <f>Scenarios!G119</f>
        <v/>
      </c>
      <c r="H33" s="79">
        <f>Scenarios!G120</f>
        <v/>
      </c>
      <c r="I33" s="79">
        <f>Scenarios!G121</f>
        <v/>
      </c>
      <c r="J33" s="79">
        <f>Scenarios!G122</f>
        <v/>
      </c>
      <c r="K33" s="80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5">
        <f>Scenarios!G123</f>
        <v/>
      </c>
      <c r="G35" s="85">
        <f>Scenarios!G124</f>
        <v/>
      </c>
      <c r="H35" s="85">
        <f>Scenarios!G125</f>
        <v/>
      </c>
      <c r="I35" s="85">
        <f>Scenarios!G126</f>
        <v/>
      </c>
      <c r="J35" s="85">
        <f>Scenarios!G127</f>
        <v/>
      </c>
      <c r="K35" s="83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6" t="n">
        <v>1</v>
      </c>
      <c r="G36" s="86" t="n">
        <v>2</v>
      </c>
      <c r="H36" s="86" t="n">
        <v>3</v>
      </c>
      <c r="I36" s="86" t="n">
        <v>4</v>
      </c>
      <c r="J36" s="86" t="n">
        <v>5</v>
      </c>
    </row>
    <row r="37">
      <c r="A37" s="16" t="inlineStr">
        <is>
          <t>Discount factor @ WACC</t>
        </is>
      </c>
      <c r="F37" s="87">
        <f>1/(1+Scenarios!$G$9)^F36</f>
        <v/>
      </c>
      <c r="G37" s="87">
        <f>1/(1+Scenarios!$G$9)^G36</f>
        <v/>
      </c>
      <c r="H37" s="87">
        <f>1/(1+Scenarios!$G$9)^H36</f>
        <v/>
      </c>
      <c r="I37" s="87">
        <f>1/(1+Scenarios!$G$9)^I36</f>
        <v/>
      </c>
      <c r="J37" s="87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88">
        <f>IF(COUNTIF(K5:K35,"CHECK")=0,"ALL OK","REVIEW")</f>
        <v/>
      </c>
    </row>
    <row r="41">
      <c r="A41" s="89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9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0">
        <f>E45/E44</f>
        <v/>
      </c>
    </row>
    <row r="47">
      <c r="A47" s="16" t="inlineStr">
        <is>
          <t xml:space="preserve">  memo: (UFCF₃₀ / EBITDA₃₀) × (1+g) / (WACC−g)</t>
        </is>
      </c>
      <c r="E47" s="90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1" t="inlineStr">
        <is>
          <t>10-K</t>
        </is>
      </c>
      <c r="D50" s="19" t="inlineStr">
        <is>
          <t>Ctrl+F "Cash and cash equivalents" → 1,807,202 ($000) FY2025</t>
        </is>
      </c>
      <c r="E50" s="78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8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1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8" t="n">
        <v>111380</v>
      </c>
    </row>
    <row r="56">
      <c r="A56" s="23" t="inlineStr">
        <is>
          <t>Implied value per share</t>
        </is>
      </c>
      <c r="E56" s="92">
        <f>E54/E55</f>
        <v/>
      </c>
      <c r="K56" s="83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1" t="inlineStr">
        <is>
          <t>NASDAQ</t>
        </is>
      </c>
      <c r="D57" s="19" t="inlineStr">
        <is>
          <t>Ctrl+F "closed at $100.61" → Last Sale on NASDAQ quote page</t>
        </is>
      </c>
      <c r="E57" s="93" t="n">
        <v>100</v>
      </c>
    </row>
    <row r="58">
      <c r="A58" s="23" t="inlineStr">
        <is>
          <t>Implied upside / (downside)</t>
        </is>
      </c>
      <c r="E58" s="94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1">
      <c r="A61" s="89" t="inlineStr">
        <is>
          <t>CROSS-CHECK — EXIT MULTIPLE METHOD</t>
        </is>
      </c>
      <c r="B61" s="13" t="n"/>
      <c r="C61" s="13" t="n"/>
    </row>
    <row r="62">
      <c r="A62" s="15" t="inlineStr">
        <is>
          <t>Exit multiple is the Gordon identity — not a peer pick or an average</t>
        </is>
      </c>
    </row>
    <row r="63" ht="28" customHeight="1">
      <c r="A63" s="16" t="inlineStr">
        <is>
          <t>Selected exit EV/EBITDA (Gordon implied)</t>
        </is>
      </c>
      <c r="B63" s="17" t="inlineStr">
        <is>
          <t>Selected exit is Gordon TV / FY30 EBITDA. Identity: (UFCF/EBITDA)×(1+g)/(WACC−g). Not Deckers and not a peer average.</t>
        </is>
      </c>
      <c r="C63" s="18" t="inlineStr">
        <is>
          <t>DCF: Gordon implied exit (TV / FY30 EBITDA)</t>
        </is>
      </c>
      <c r="D63" s="19" t="inlineStr">
        <is>
          <t>No peer Ctrl+F. This cell = Gordon TV / FY30 EBITDA = (UFCF/EBITDA)×(1+g)/(WACC−g). WACC and g are sourced on those rows.</t>
        </is>
      </c>
      <c r="E63" s="90">
        <f>E46</f>
        <v/>
      </c>
      <c r="M63" s="91" t="inlineStr">
        <is>
          <t>Comps: Exit Multiple Build</t>
        </is>
      </c>
    </row>
    <row r="64">
      <c r="A64" s="16" t="inlineStr">
        <is>
          <t>Terminal value = Terminal EBITDA × exit multiple</t>
        </is>
      </c>
      <c r="E64" s="79">
        <f>E44*E63</f>
        <v/>
      </c>
    </row>
    <row r="65">
      <c r="A65" s="16" t="inlineStr">
        <is>
          <t>PV of terminal value</t>
        </is>
      </c>
      <c r="E65" s="79">
        <f>E64/(1+Scenarios!$G$9)^J36</f>
        <v/>
      </c>
    </row>
    <row r="66">
      <c r="A66" s="23" t="inlineStr">
        <is>
          <t>Enterprise value (exit method)</t>
        </is>
      </c>
      <c r="E66" s="25">
        <f>E42+E65</f>
        <v/>
      </c>
    </row>
    <row r="67">
      <c r="A67" s="23" t="inlineStr">
        <is>
          <t>Implied value per share (exit method)</t>
        </is>
      </c>
      <c r="E67" s="95">
        <f>(E66+E50+E51)/E55</f>
        <v/>
      </c>
    </row>
    <row r="69">
      <c r="A69" s="89" t="inlineStr">
        <is>
          <t>TERMINAL VALUE RECONCILIATION (GORDON vs EXIT MULTIPLE)</t>
        </is>
      </c>
      <c r="B69" s="13" t="n"/>
      <c r="C69" s="13" t="n"/>
      <c r="D69" s="13" t="n"/>
    </row>
    <row r="70">
      <c r="A70" s="96" t="inlineStr"/>
      <c r="B70" s="53" t="inlineStr">
        <is>
          <t>Gordon Growth</t>
        </is>
      </c>
      <c r="C70" s="53" t="inlineStr">
        <is>
          <t>Exit Multiple</t>
        </is>
      </c>
      <c r="D70" s="53" t="inlineStr">
        <is>
          <t>Variance</t>
        </is>
      </c>
    </row>
    <row r="71">
      <c r="A71" s="23" t="inlineStr">
        <is>
          <t>Terminal value ($)</t>
        </is>
      </c>
      <c r="B71" s="69">
        <f>E45</f>
        <v/>
      </c>
      <c r="C71" s="69">
        <f>E64</f>
        <v/>
      </c>
      <c r="D71" s="69">
        <f>B71-C71</f>
        <v/>
      </c>
    </row>
    <row r="72">
      <c r="A72" s="23" t="inlineStr">
        <is>
          <t>Exit EV/EBITDA (implied vs selected)</t>
        </is>
      </c>
      <c r="B72" s="97">
        <f>E46</f>
        <v/>
      </c>
      <c r="C72" s="97">
        <f>E63</f>
        <v/>
      </c>
      <c r="D72" s="97">
        <f>B72-C72</f>
        <v/>
      </c>
    </row>
    <row r="73">
      <c r="A73" s="16" t="inlineStr">
        <is>
          <t>Terminal value variance (%)</t>
        </is>
      </c>
      <c r="B73" s="32" t="inlineStr"/>
      <c r="C73" s="32" t="inlineStr"/>
      <c r="D73" s="32">
        <f>(B71-C71)/B71</f>
        <v/>
      </c>
    </row>
    <row r="74">
      <c r="A74" s="23" t="inlineStr">
        <is>
          <t>Implied share price</t>
        </is>
      </c>
      <c r="B74" s="98">
        <f>E56</f>
        <v/>
      </c>
      <c r="C74" s="98">
        <f>E67</f>
        <v/>
      </c>
      <c r="D74" s="98">
        <f>B74-C74</f>
        <v/>
      </c>
    </row>
    <row r="75">
      <c r="A75" s="67" t="inlineStr">
        <is>
          <t>Sanity check: multiples within ±1.5 turns?</t>
        </is>
      </c>
      <c r="B75" s="99">
        <f>IF(ABS(D72)&lt;=1.5,"PASS","REVIEW")</f>
        <v/>
      </c>
      <c r="C75" s="100">
        <f>TEXT(D72,"0.0")&amp;"x spread vs Gordon-implied exit"</f>
        <v/>
      </c>
      <c r="D75" s="26" t="inlineStr">
        <is>
          <t>Selected exit is the Gordon identity, so spread should be 0</t>
        </is>
      </c>
    </row>
    <row r="78">
      <c r="A78" s="89" t="inlineStr">
        <is>
          <t>SENSITIVITY — IMPLIED SHARE PRICE (WACC vs terminal growth)</t>
        </is>
      </c>
      <c r="B78" s="13" t="n"/>
      <c r="C78" s="13" t="n"/>
      <c r="D78" s="13" t="n"/>
      <c r="E78" s="13" t="n"/>
      <c r="F78" s="13" t="n"/>
      <c r="G78" s="13" t="n"/>
      <c r="H78" s="13" t="n"/>
    </row>
    <row r="79" ht="28" customHeight="1">
      <c r="A79" s="101" t="inlineStr">
        <is>
          <t>WACC \ g</t>
        </is>
      </c>
      <c r="B79" s="17" t="inlineStr">
        <is>
          <t>Terminal-g axis 1.5–3.0% brackets 2.25% base; bounded by long-run real GDP and inflation benchmarks.</t>
        </is>
      </c>
      <c r="C79" s="18" t="inlineStr">
        <is>
          <t>FRED: Real GDP (GDPC1)</t>
        </is>
      </c>
      <c r="D79" s="19" t="inlineStr">
        <is>
          <t>Ctrl+F "GDPC1" → bounds terminal-g sensitivity grid 1.5%–3.0%</t>
        </is>
      </c>
      <c r="F79" s="102" t="n">
        <v>0.015</v>
      </c>
      <c r="G79" s="102" t="n">
        <v>0.02</v>
      </c>
      <c r="H79" s="102" t="n">
        <v>0.0225</v>
      </c>
      <c r="I79" s="102" t="n">
        <v>0.025</v>
      </c>
      <c r="J79" s="102" t="n">
        <v>0.03</v>
      </c>
      <c r="L79" s="91" t="inlineStr">
        <is>
          <t>Scenarios: terminal g</t>
        </is>
      </c>
    </row>
    <row r="80" ht="28" customHeight="1">
      <c r="A80" s="102" t="n">
        <v>0.095</v>
      </c>
      <c r="C80" s="91" t="inlineStr">
        <is>
          <t>Damodaran: Historical Implied ERP</t>
        </is>
      </c>
      <c r="D80" s="19" t="inlineStr">
        <is>
          <t>Ctrl+F "4.23%" (2025 implied ERP). Sensitivity WACC axis brackets the 10.5% base.</t>
        </is>
      </c>
      <c r="F80" s="103">
        <f>(NPV(0.095,F35:J35)+(J35*(1+0.015)/(0.095-0.015))/(1+0.095)^5+E50+E51)/E55</f>
        <v/>
      </c>
      <c r="G80" s="103">
        <f>(NPV(0.095,F35:J35)+(J35*(1+0.02)/(0.095-0.02))/(1+0.095)^5+E50+E51)/E55</f>
        <v/>
      </c>
      <c r="H80" s="103">
        <f>(NPV(0.095,F35:J35)+(J35*(1+0.0225)/(0.095-0.0225))/(1+0.095)^5+E50+E51)/E55</f>
        <v/>
      </c>
      <c r="I80" s="103">
        <f>(NPV(0.095,F35:J35)+(J35*(1+0.025)/(0.095-0.025))/(1+0.095)^5+E50+E51)/E55</f>
        <v/>
      </c>
      <c r="J80" s="103">
        <f>(NPV(0.095,F35:J35)+(J35*(1+0.03)/(0.095-0.03))/(1+0.095)^5+E50+E51)/E55</f>
        <v/>
      </c>
      <c r="L80" s="91" t="inlineStr">
        <is>
          <t>WACC tab</t>
        </is>
      </c>
    </row>
    <row r="81" ht="28" customHeight="1">
      <c r="A81" s="102" t="n">
        <v>0.1</v>
      </c>
      <c r="D81" s="19" t="inlineStr">
        <is>
          <t>Ctrl+F "4.23%" (2025 implied ERP). Sensitivity WACC axis brackets the 10.5% base.</t>
        </is>
      </c>
      <c r="F81" s="103">
        <f>(NPV(0.1,F35:J35)+(J35*(1+0.015)/(0.1-0.015))/(1+0.1)^5+E50+E51)/E55</f>
        <v/>
      </c>
      <c r="G81" s="103">
        <f>(NPV(0.1,F35:J35)+(J35*(1+0.02)/(0.1-0.02))/(1+0.1)^5+E50+E51)/E55</f>
        <v/>
      </c>
      <c r="H81" s="103">
        <f>(NPV(0.1,F35:J35)+(J35*(1+0.0225)/(0.1-0.0225))/(1+0.1)^5+E50+E51)/E55</f>
        <v/>
      </c>
      <c r="I81" s="103">
        <f>(NPV(0.1,F35:J35)+(J35*(1+0.025)/(0.1-0.025))/(1+0.1)^5+E50+E51)/E55</f>
        <v/>
      </c>
      <c r="J81" s="103">
        <f>(NPV(0.1,F35:J35)+(J35*(1+0.03)/(0.1-0.03))/(1+0.1)^5+E50+E51)/E55</f>
        <v/>
      </c>
      <c r="L81" s="91" t="inlineStr">
        <is>
          <t>WACC tab</t>
        </is>
      </c>
    </row>
    <row r="82" ht="28" customHeight="1">
      <c r="A82" s="102" t="n">
        <v>0.105</v>
      </c>
      <c r="D82" s="19" t="inlineStr">
        <is>
          <t>Ctrl+F "4.23%" (2025 implied ERP). Sensitivity WACC axis brackets the 10.5% base.</t>
        </is>
      </c>
      <c r="F82" s="103">
        <f>(NPV(0.105,F35:J35)+(J35*(1+0.015)/(0.105-0.015))/(1+0.105)^5+E50+E51)/E55</f>
        <v/>
      </c>
      <c r="G82" s="103">
        <f>(NPV(0.105,F35:J35)+(J35*(1+0.02)/(0.105-0.02))/(1+0.105)^5+E50+E51)/E55</f>
        <v/>
      </c>
      <c r="H82" s="104">
        <f>(NPV(0.105,F35:J35)+(J35*(1+0.0225)/(0.105-0.0225))/(1+0.105)^5+E50+E51)/E55</f>
        <v/>
      </c>
      <c r="I82" s="103">
        <f>(NPV(0.105,F35:J35)+(J35*(1+0.025)/(0.105-0.025))/(1+0.105)^5+E50+E51)/E55</f>
        <v/>
      </c>
      <c r="J82" s="103">
        <f>(NPV(0.105,F35:J35)+(J35*(1+0.03)/(0.105-0.03))/(1+0.105)^5+E50+E51)/E55</f>
        <v/>
      </c>
      <c r="L82" s="91" t="inlineStr">
        <is>
          <t>WACC tab</t>
        </is>
      </c>
    </row>
    <row r="83" ht="28" customHeight="1">
      <c r="A83" s="102" t="n">
        <v>0.11</v>
      </c>
      <c r="D83" s="19" t="inlineStr">
        <is>
          <t>Ctrl+F "4.23%" (2025 implied ERP). Sensitivity WACC axis brackets the 10.5% base.</t>
        </is>
      </c>
      <c r="F83" s="103">
        <f>(NPV(0.11,F35:J35)+(J35*(1+0.015)/(0.11-0.015))/(1+0.11)^5+E50+E51)/E55</f>
        <v/>
      </c>
      <c r="G83" s="103">
        <f>(NPV(0.11,F35:J35)+(J35*(1+0.02)/(0.11-0.02))/(1+0.11)^5+E50+E51)/E55</f>
        <v/>
      </c>
      <c r="H83" s="103">
        <f>(NPV(0.11,F35:J35)+(J35*(1+0.0225)/(0.11-0.0225))/(1+0.11)^5+E50+E51)/E55</f>
        <v/>
      </c>
      <c r="I83" s="103">
        <f>(NPV(0.11,F35:J35)+(J35*(1+0.025)/(0.11-0.025))/(1+0.11)^5+E50+E51)/E55</f>
        <v/>
      </c>
      <c r="J83" s="103">
        <f>(NPV(0.11,F35:J35)+(J35*(1+0.03)/(0.11-0.03))/(1+0.11)^5+E50+E51)/E55</f>
        <v/>
      </c>
      <c r="L83" s="91" t="inlineStr">
        <is>
          <t>WACC tab</t>
        </is>
      </c>
    </row>
    <row r="84" ht="28" customHeight="1">
      <c r="A84" s="102" t="n">
        <v>0.115</v>
      </c>
      <c r="D84" s="19" t="inlineStr">
        <is>
          <t>Ctrl+F "4.23%" (2025 implied ERP). Sensitivity WACC axis brackets the 10.5% base.</t>
        </is>
      </c>
      <c r="F84" s="103">
        <f>(NPV(0.115,F35:J35)+(J35*(1+0.015)/(0.115-0.015))/(1+0.115)^5+E50+E51)/E55</f>
        <v/>
      </c>
      <c r="G84" s="103">
        <f>(NPV(0.115,F35:J35)+(J35*(1+0.02)/(0.115-0.02))/(1+0.115)^5+E50+E51)/E55</f>
        <v/>
      </c>
      <c r="H84" s="103">
        <f>(NPV(0.115,F35:J35)+(J35*(1+0.0225)/(0.115-0.0225))/(1+0.115)^5+E50+E51)/E55</f>
        <v/>
      </c>
      <c r="I84" s="103">
        <f>(NPV(0.115,F35:J35)+(J35*(1+0.025)/(0.115-0.025))/(1+0.115)^5+E50+E51)/E55</f>
        <v/>
      </c>
      <c r="J84" s="103">
        <f>(NPV(0.115,F35:J35)+(J35*(1+0.03)/(0.115-0.03))/(1+0.115)^5+E50+E51)/E55</f>
        <v/>
      </c>
      <c r="L84" s="91" t="inlineStr">
        <is>
          <t>WACC tab</t>
        </is>
      </c>
    </row>
    <row r="85" ht="28" customHeight="1">
      <c r="B85" s="17" t="inlineStr">
        <is>
          <t>Red WACC and g grid values bracket base case ±100bps discount rate and ±75bps terminal growth for sensitivity.</t>
        </is>
      </c>
      <c r="C85" s="18" t="inlineStr">
        <is>
          <t>Scenarios: WACC &amp; terminal g</t>
        </is>
      </c>
      <c r="D85" s="19" t="inlineStr">
        <is>
          <t>Scenarios tab → Ctrl+F "WACC" and "Terminal growth" rows (base-case inputs)</t>
        </is>
      </c>
      <c r="L85" s="91" t="inlineStr">
        <is>
          <t>FRED: Real GDP (GDPC1)</t>
        </is>
      </c>
      <c r="M8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xmlns:r="http://schemas.openxmlformats.org/officeDocument/2006/relationships" ref="E32" r:id="rId35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63" location="'DCF'!E46"/>
    <hyperlink ref="M63" location="'Comps'!A45"/>
    <hyperlink xmlns:r="http://schemas.openxmlformats.org/officeDocument/2006/relationships" ref="C79" r:id="rId45"/>
    <hyperlink ref="L79" location="'Scenarios'!G10"/>
    <hyperlink xmlns:r="http://schemas.openxmlformats.org/officeDocument/2006/relationships" ref="C80" r:id="rId46"/>
    <hyperlink ref="L80" location="'WACC'!E41"/>
    <hyperlink ref="L81" location="'WACC'!E41"/>
    <hyperlink ref="L82" location="'WACC'!E41"/>
    <hyperlink ref="L83" location="'WACC'!E41"/>
    <hyperlink ref="L84" location="'WACC'!E41"/>
    <hyperlink ref="C85" location="'Scenarios'!G9"/>
    <hyperlink xmlns:r="http://schemas.openxmlformats.org/officeDocument/2006/relationships" ref="L85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1" t="inlineStr">
        <is>
          <t>10-K</t>
        </is>
      </c>
      <c r="D4" s="19" t="inlineStr">
        <is>
          <t>Ctrl+F "Net revenue" → 11,102,600 ($000) in FY2025 column</t>
        </is>
      </c>
      <c r="E4" s="78" t="n">
        <v>11102600</v>
      </c>
    </row>
    <row r="5">
      <c r="A5" s="16" t="inlineStr">
        <is>
          <t>FY2025A EBITDA (EBIT + D&amp;A)</t>
        </is>
      </c>
      <c r="E5" s="79">
        <f>2210615+496228</f>
        <v/>
      </c>
    </row>
    <row r="6">
      <c r="A6" s="16" t="inlineStr">
        <is>
          <t>FY2030E terminal EBITDA (DCF EBIT + D&amp;A)</t>
        </is>
      </c>
      <c r="C6" s="91" t="inlineStr">
        <is>
          <t>↳ DCF base case</t>
        </is>
      </c>
      <c r="E6" s="79">
        <f>DCF!E44</f>
        <v/>
      </c>
    </row>
    <row r="7" ht="28" customHeight="1">
      <c r="A7" s="16" t="inlineStr">
        <is>
          <t>FY2026E diluted EPS (guidance midpoint)</t>
        </is>
      </c>
      <c r="C7" s="91" t="inlineStr">
        <is>
          <t>Release</t>
        </is>
      </c>
      <c r="D7" s="19" t="inlineStr">
        <is>
          <t>Ctrl+F "$9.48 to $9.73" → FY2026 diluted EPS guidance; model midpoint $9.61</t>
        </is>
      </c>
      <c r="E7" s="93" t="n">
        <v>9.609999999999999</v>
      </c>
    </row>
    <row r="8" ht="28" customHeight="1">
      <c r="A8" s="16" t="inlineStr">
        <is>
          <t>Cash &amp; equivalents</t>
        </is>
      </c>
      <c r="C8" s="91" t="inlineStr">
        <is>
          <t>10-K</t>
        </is>
      </c>
      <c r="D8" s="19" t="inlineStr">
        <is>
          <t>Ctrl+F "Cash and cash equivalents" → 1,807,202 ($000) FY2025</t>
        </is>
      </c>
      <c r="E8" s="78" t="n">
        <v>1807202</v>
      </c>
    </row>
    <row r="9" ht="28" customHeight="1">
      <c r="A9" s="16" t="inlineStr">
        <is>
          <t>Shares outstanding (000)</t>
        </is>
      </c>
      <c r="C9" s="91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8" t="n">
        <v>111380</v>
      </c>
    </row>
    <row r="10" ht="28" customHeight="1">
      <c r="A10" s="16" t="inlineStr">
        <is>
          <t>Current share price</t>
        </is>
      </c>
      <c r="C10" s="91" t="inlineStr">
        <is>
          <t>NASDAQ</t>
        </is>
      </c>
      <c r="D10" s="19" t="inlineStr">
        <is>
          <t>Ctrl+F "closed at $100.61" → Last Sale on NASDAQ quote page</t>
        </is>
      </c>
      <c r="E10" s="93" t="n">
        <v>100</v>
      </c>
    </row>
    <row r="11">
      <c r="A11" s="100" t="inlineStr">
        <is>
          <t xml:space="preserve">  memo: current EV / EBITDA</t>
        </is>
      </c>
      <c r="E11" s="105">
        <f>(E10*E9-E8)/E5</f>
        <v/>
      </c>
    </row>
    <row r="12">
      <c r="A12" s="100" t="inlineStr">
        <is>
          <t xml:space="preserve">  memo: current P / E (FY2026E)</t>
        </is>
      </c>
      <c r="E12" s="105">
        <f>E10/E7</f>
        <v/>
      </c>
    </row>
    <row r="14">
      <c r="A14" s="14" t="inlineStr">
        <is>
          <t>EXIT MULTIPLE BUILD — FY2030E TERMINAL YEAR</t>
        </is>
      </c>
    </row>
    <row r="15">
      <c r="A15" s="100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6" t="inlineStr">
        <is>
          <t>Company</t>
        </is>
      </c>
      <c r="B18" s="106" t="inlineStr">
        <is>
          <t>Justification</t>
        </is>
      </c>
      <c r="C18" s="106" t="inlineStr">
        <is>
          <t>Source</t>
        </is>
      </c>
      <c r="D18" s="106" t="inlineStr">
        <is>
          <t>Ctrl+F / proof</t>
        </is>
      </c>
      <c r="E18" s="107" t="inlineStr">
        <is>
          <t>EV/EBITDA</t>
        </is>
      </c>
      <c r="I18" s="107" t="inlineStr">
        <is>
          <t>EV ($000)</t>
        </is>
      </c>
      <c r="J18" s="107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8">
        <f>IF(J19&lt;=0,"n.m.",I19/J19)</f>
        <v/>
      </c>
      <c r="I19" s="109" t="n">
        <v>11890440</v>
      </c>
      <c r="J19" s="109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8">
        <f>IF(J20&lt;=0,"n.m.",I20/J20)</f>
        <v/>
      </c>
      <c r="I20" s="109" t="n">
        <v>3208397</v>
      </c>
      <c r="J20" s="109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8">
        <f>IF(J21&lt;=0,"n.m.",I21/J21)</f>
        <v/>
      </c>
      <c r="I21" s="109" t="n">
        <v>35661944</v>
      </c>
      <c r="J21" s="109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8">
        <f>IF(J22&lt;=0,"n.m.",I22/J22)</f>
        <v/>
      </c>
      <c r="I22" s="109" t="n">
        <v>58972350</v>
      </c>
      <c r="J22" s="109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8">
        <f>IF(J23&lt;=0,"n.m.",I23/J23)</f>
        <v/>
      </c>
      <c r="I23" s="109" t="n">
        <v>10555510</v>
      </c>
      <c r="J23" s="109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8">
        <f>IF(J24&lt;=0,"n.m.",I24/J24)</f>
        <v/>
      </c>
      <c r="I24" s="109" t="n">
        <v>27284350</v>
      </c>
      <c r="J24" s="109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8">
        <f>IF(J25&lt;=0,"n.m.",I25/J25)</f>
        <v/>
      </c>
      <c r="I25" s="109" t="n">
        <v>7153911</v>
      </c>
      <c r="J25" s="109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8">
        <f>IF(J26&lt;=0,"n.m.",I26/J26)</f>
        <v/>
      </c>
      <c r="I26" s="109" t="n">
        <v>616045</v>
      </c>
      <c r="J26" s="109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8">
        <f>IF(J27&lt;=0,"n.m.",I27/J27)</f>
        <v/>
      </c>
      <c r="I27" s="109" t="n">
        <v>9422753</v>
      </c>
      <c r="J27" s="109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8">
        <f>IF(J28&lt;=0,"n.m.",I28/J28)</f>
        <v/>
      </c>
      <c r="I28" s="109" t="n">
        <v>1598873</v>
      </c>
      <c r="J28" s="109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8">
        <f>IF(J29&lt;=0,"n.m.",I29/J29)</f>
        <v/>
      </c>
      <c r="I29" s="109" t="n">
        <v>5236269</v>
      </c>
      <c r="J29" s="109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0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0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1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1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2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8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8">
        <f>AVERAGE(E19,E21,E22,E23,E24,E25,E26,E27,E28,E29)</f>
        <v/>
      </c>
    </row>
    <row r="41">
      <c r="A41" s="100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0">
        <f>DCF!E46</f>
        <v/>
      </c>
    </row>
    <row r="45">
      <c r="A45" s="67" t="inlineStr">
        <is>
          <t>Selected exit multiple (base case)</t>
        </is>
      </c>
      <c r="E45" s="97">
        <f>DCF!E63</f>
        <v/>
      </c>
    </row>
    <row r="46">
      <c r="A46" s="16" t="inlineStr">
        <is>
          <t>Spread (selected − Gordon implied)</t>
        </is>
      </c>
      <c r="E46" s="90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6" t="inlineStr">
        <is>
          <t>Method</t>
        </is>
      </c>
      <c r="B56" s="106" t="inlineStr">
        <is>
          <t>Justification</t>
        </is>
      </c>
      <c r="C56" s="106" t="inlineStr">
        <is>
          <t>Source</t>
        </is>
      </c>
      <c r="D56" s="106" t="inlineStr">
        <is>
          <t>Ctrl+F</t>
        </is>
      </c>
      <c r="E56" s="107" t="inlineStr">
        <is>
          <t>Low mult.</t>
        </is>
      </c>
      <c r="F56" s="107" t="inlineStr">
        <is>
          <t>High mult.</t>
        </is>
      </c>
      <c r="G56" s="107" t="inlineStr">
        <is>
          <t>Implied px (low)</t>
        </is>
      </c>
      <c r="H56" s="107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7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3" t="n">
        <v>5</v>
      </c>
      <c r="F57" s="113" t="n">
        <v>8</v>
      </c>
      <c r="G57" s="114">
        <f>(E6*E57+E8)/E9</f>
        <v/>
      </c>
      <c r="H57" s="114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1">
        <f>DCF!E63</f>
        <v/>
      </c>
      <c r="G58" s="115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7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3" t="n">
        <v>10</v>
      </c>
      <c r="F59" s="113" t="n">
        <v>18</v>
      </c>
      <c r="G59" s="114">
        <f>E7*E59</f>
        <v/>
      </c>
      <c r="H59" s="114">
        <f>E7*F59</f>
        <v/>
      </c>
    </row>
    <row r="60">
      <c r="A60" s="16" t="inlineStr">
        <is>
          <t>DCF (bear – bull)</t>
        </is>
      </c>
      <c r="E60" s="116" t="inlineStr">
        <is>
          <t>—</t>
        </is>
      </c>
      <c r="F60" s="116" t="inlineStr">
        <is>
          <t>—</t>
        </is>
      </c>
      <c r="G60" s="114">
        <f>Scenarios!F130</f>
        <v/>
      </c>
      <c r="H60" s="114">
        <f>Scenarios!H130</f>
        <v/>
      </c>
    </row>
    <row r="62" ht="28" customHeight="1">
      <c r="A62" s="117" t="inlineStr">
        <is>
          <t>Current price</t>
        </is>
      </c>
      <c r="C62" s="91" t="inlineStr">
        <is>
          <t>NASDAQ</t>
        </is>
      </c>
      <c r="D62" s="19" t="inlineStr">
        <is>
          <t>Ctrl+F "closed at $100.61" → Last Sale on NASDAQ quote page</t>
        </is>
      </c>
      <c r="E62" s="118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63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2026-09-07T23:34:50Z</dcterms:created>
  <dcterms:modified xmlns:dcterms="http://purl.org/dc/terms/" xmlns:xsi="http://www.w3.org/2001/XMLSchema-instance" xsi:type="dcterms:W3CDTF">2026-09-07T23:34:50Z</dcterms:modified>
</cp:coreProperties>
</file>
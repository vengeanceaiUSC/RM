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Relationship Type="http://schemas.openxmlformats.org/officeDocument/2006/relationships/hyperlink" Target="https://fred.stlouisfed.org/series/GDPC1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GM% isolates COGS for inventory/AP drivers. FY25 56.6% = 6,284,132 ÷ 11,102,600; held near reported level in base case.</t>
        </is>
      </c>
      <c r="C14" s="18" t="inlineStr">
        <is>
          <t>LULU FY2025 10-K: Gross profit &amp; COGS</t>
        </is>
      </c>
      <c r="D14" s="19" t="inlineStr">
        <is>
          <t>Ctrl+F "Gross profit"
→ 6,284,132 ($000)
Ctrl+F "Net revenue"
→ 11,102,600 ($000)
Ctrl+F "Cost of goods sold"
→ 4,818,468 ($000)
GM = 6,284,132 ÷ 11,102,600 = 56.6%</t>
        </is>
      </c>
      <c r="F14" s="20" t="n">
        <v>0.5600000000000001</v>
      </c>
      <c r="G14" s="20" t="n">
        <v>0.5659999999999999</v>
      </c>
      <c r="H14" s="20" t="n">
        <v>0.575</v>
      </c>
    </row>
    <row r="15" ht="98" customHeight="1">
      <c r="A15" s="16" t="inlineStr">
        <is>
          <t>DSO (days) — flat vs FY25</t>
        </is>
      </c>
      <c r="B15" s="17" t="inlineStr">
        <is>
          <t>DSO flat ~6.3 days: LULU is DTC-heavy (minimal wholesale AR). FY22–FY25 DSO ran 6.0–6.3 days — no structural change assumed.</t>
        </is>
      </c>
      <c r="C15" s="18" t="inlineStr">
        <is>
          <t>LULU FY2025 10-K: Accounts receivable, net</t>
        </is>
      </c>
      <c r="D15" s="19" t="inlineStr">
        <is>
          <t>Ctrl+F "Accounts receivable, net"
→ 190,657 ($000)
Ctrl+F "Net revenue"
→ 11,102,600 ($000)
DSO = (190,657 ÷ 11,102,600) × 365 ≈ 6.3 days
Flat: ~6.0–6.3 days FY22–FY25 (DTC model; immaterial wholesale AR).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84" customHeight="1">
      <c r="A16" s="16" t="inlineStr">
        <is>
          <t>FY25 DIO anchor (days)</t>
        </is>
      </c>
      <c r="B16" s="17" t="inlineStr">
        <is>
          <t>DIO FY25 ≈129 days anchors on elevated inventory (1,700,753 vs 1,442,081 FY24). Inventory ÷ COGS × 365 on the 10-K balance sheet.</t>
        </is>
      </c>
      <c r="C16" s="18" t="inlineStr">
        <is>
          <t>LULU FY2025 10-K: Inventories &amp; COGS</t>
        </is>
      </c>
      <c r="D16" s="19" t="inlineStr">
        <is>
          <t>Ctrl+F "Inventories"
→ 1,700,753 ($000)  |  FY24: 1,442,081
Ctrl+F "Cost of goods sold"
→ 4,818,468 ($000)
DIO = (1,700,753 ÷ 4,818,468) × 365 ≈ 129 days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−1 DIO day/yr tied to 10-K: unit inventories expected to decrease and markdown % to fall — gradual clearance, not a shock write-down.</t>
        </is>
      </c>
      <c r="C17" s="18" t="inlineStr">
        <is>
          <t>LULU FY2025 10-K: inventory &amp; markdown outlook</t>
        </is>
      </c>
      <c r="D17" s="19" t="inlineStr">
        <is>
          <t>Ctrl+F "reduce the percentage of markdowns"
→ Americas plan to cut promo/markdown intensity
Ctrl+F "On a unit basis, we expect inventories to slightly decrease"
Model: −1 DIO day/yr (−5 days FY26–30 vs FY25 anchor)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DPO flat ~25 days at FY25 vendor leverage (331,421 ÷ 4,818,468 × 365). AP scales with projected COGS; payment terms unchanged.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DPO = (331,421 ÷ 4,818,468) × 365 ≈ 25.1 days (held flat)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OCA held at FY25 5.1% of revenue — prepaids + income-tax receivables (211,620 + 352,469) are the main non-AR/inventory current assets.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OCA residual (ex-cash/AR/inv) = 564,089 ≈ 5.1% of revenue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Accrued liabilities flat at FY25 6.0% of revenue (662,982 ÷ 11,102,600). Stable comp, marketing, and operating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662,982 ÷ 11,102,600 ≈ 6.0% of revenue (held flat)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F43*(1-F11)</f>
        <v/>
      </c>
      <c r="G48" s="42">
        <f>G43*(1-G11)</f>
        <v/>
      </c>
      <c r="H48" s="42">
        <f>H43*(1-H11)</f>
        <v/>
      </c>
    </row>
    <row r="49">
      <c r="A49" s="41" t="inlineStr">
        <is>
          <t xml:space="preserve">  NOPAT – year 2</t>
        </is>
      </c>
      <c r="F49" s="42">
        <f>F44*(1-F11)</f>
        <v/>
      </c>
      <c r="G49" s="42">
        <f>G44*(1-G11)</f>
        <v/>
      </c>
      <c r="H49" s="42">
        <f>H44*(1-H11)</f>
        <v/>
      </c>
    </row>
    <row r="50">
      <c r="A50" s="41" t="inlineStr">
        <is>
          <t xml:space="preserve">  NOPAT – year 3</t>
        </is>
      </c>
      <c r="F50" s="42">
        <f>F45*(1-F11)</f>
        <v/>
      </c>
      <c r="G50" s="42">
        <f>G45*(1-G11)</f>
        <v/>
      </c>
      <c r="H50" s="42">
        <f>H45*(1-H11)</f>
        <v/>
      </c>
    </row>
    <row r="51">
      <c r="A51" s="41" t="inlineStr">
        <is>
          <t xml:space="preserve">  NOPAT – year 4</t>
        </is>
      </c>
      <c r="F51" s="42">
        <f>F46*(1-F11)</f>
        <v/>
      </c>
      <c r="G51" s="42">
        <f>G46*(1-G11)</f>
        <v/>
      </c>
      <c r="H51" s="42">
        <f>H46*(1-H11)</f>
        <v/>
      </c>
    </row>
    <row r="52">
      <c r="A52" s="41" t="inlineStr">
        <is>
          <t xml:space="preserve">  NOPAT – year 5</t>
        </is>
      </c>
      <c r="F52" s="42">
        <f>F47*(1-F11)</f>
        <v/>
      </c>
      <c r="G52" s="42">
        <f>G47*(1-G11)</f>
        <v/>
      </c>
      <c r="H52" s="42">
        <f>H47*(1-H11)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0" t="inlineStr">
        <is>
          <t>Justification (~20 words)</t>
        </is>
      </c>
      <c r="C2" s="70" t="inlineStr">
        <is>
          <t>Source (click)</t>
        </is>
      </c>
      <c r="D2" s="70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73" t="inlineStr">
        <is>
          <t>Δ vs Scenarios</t>
        </is>
      </c>
      <c r="L2" s="70" t="inlineStr">
        <is>
          <t>Alt. source</t>
        </is>
      </c>
      <c r="M2" s="70" t="inlineStr">
        <is>
          <t>Alt. Ctrl+F</t>
        </is>
      </c>
    </row>
    <row r="3" ht="28" customHeight="1">
      <c r="A3" s="7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5" t="inlineStr">
        <is>
          <t>10-K</t>
        </is>
      </c>
      <c r="K3" s="76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7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8" t="n">
        <v>11102600</v>
      </c>
      <c r="F5" s="79">
        <f>Scenarios!G23</f>
        <v/>
      </c>
      <c r="G5" s="79">
        <f>Scenarios!G24</f>
        <v/>
      </c>
      <c r="H5" s="79">
        <f>Scenarios!G25</f>
        <v/>
      </c>
      <c r="I5" s="79">
        <f>Scenarios!G26</f>
        <v/>
      </c>
      <c r="J5" s="79">
        <f>Scenarios!G27</f>
        <v/>
      </c>
      <c r="K5" s="80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GM% isolates COGS for inventory/AP drivers. FY25 56.6% = 6,284,132 ÷ 11,102,600; held near reported level in base case.</t>
        </is>
      </c>
      <c r="C7" s="18" t="inlineStr">
        <is>
          <t>LULU FY2025 10-K: Gross profit &amp; COGS</t>
        </is>
      </c>
      <c r="D7" s="19" t="inlineStr">
        <is>
          <t>Ctrl+F "Gross profit"
→ 6,284,132 ($000)
Ctrl+F "Net revenue"
→ 11,102,600 ($000)
Ctrl+F "Cost of goods sold"
→ 4,818,468 ($000)
GM = 6,284,132 ÷ 11,102,600 = 56.6%</t>
        </is>
      </c>
      <c r="E7" s="81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8" t="n">
        <v>4818468</v>
      </c>
      <c r="F8" s="79">
        <f>Scenarios!G33</f>
        <v/>
      </c>
      <c r="G8" s="79">
        <f>Scenarios!G34</f>
        <v/>
      </c>
      <c r="H8" s="79">
        <f>Scenarios!G35</f>
        <v/>
      </c>
      <c r="I8" s="79">
        <f>Scenarios!G36</f>
        <v/>
      </c>
      <c r="J8" s="79">
        <f>Scenarios!G37</f>
        <v/>
      </c>
      <c r="K8" s="80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0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8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82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3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81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cash taxes on EBIT</t>
        </is>
      </c>
      <c r="F13" s="79">
        <f>-Scenarios!G43*Scenarios!$G$11</f>
        <v/>
      </c>
      <c r="G13" s="79">
        <f>-Scenarios!G44*Scenarios!$G$11</f>
        <v/>
      </c>
      <c r="H13" s="79">
        <f>-Scenarios!G45*Scenarios!$G$11</f>
        <v/>
      </c>
      <c r="I13" s="79">
        <f>-Scenarios!G46*Scenarios!$G$11</f>
        <v/>
      </c>
      <c r="J13" s="79">
        <f>-Scenarios!G47*Scenarios!$G$11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3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9">
        <f>Scenarios!G53</f>
        <v/>
      </c>
      <c r="G16" s="79">
        <f>Scenarios!G54</f>
        <v/>
      </c>
      <c r="H16" s="79">
        <f>Scenarios!G55</f>
        <v/>
      </c>
      <c r="I16" s="79">
        <f>Scenarios!G56</f>
        <v/>
      </c>
      <c r="J16" s="79">
        <f>Scenarios!G57</f>
        <v/>
      </c>
      <c r="K16" s="80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9">
        <f>-Scenarios!G58</f>
        <v/>
      </c>
      <c r="G18" s="79">
        <f>-Scenarios!G59</f>
        <v/>
      </c>
      <c r="H18" s="79">
        <f>-Scenarios!G60</f>
        <v/>
      </c>
      <c r="I18" s="79">
        <f>-Scenarios!G61</f>
        <v/>
      </c>
      <c r="J18" s="79">
        <f>-Scenarios!G62</f>
        <v/>
      </c>
      <c r="K18" s="80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98" customHeight="1">
      <c r="A20" s="16" t="inlineStr">
        <is>
          <t xml:space="preserve">  DSO (days) — flat vs FY25</t>
        </is>
      </c>
      <c r="B20" s="17" t="inlineStr">
        <is>
          <t>DSO flat ~6.3 days: LULU is DTC-heavy (minimal wholesale AR). FY22–FY25 DSO ran 6.0–6.3 days — no structural change assumed.</t>
        </is>
      </c>
      <c r="C20" s="18" t="inlineStr">
        <is>
          <t>LULU FY2025 10-K: Accounts receivable, net</t>
        </is>
      </c>
      <c r="D20" s="19" t="inlineStr">
        <is>
          <t>Ctrl+F "Accounts receivable, net"
→ 190,657 ($000)
Ctrl+F "Net revenue"
→ 11,102,600 ($000)
DSO = (190,657 ÷ 11,102,600) × 365 ≈ 6.3 days
Flat: ~6.0–6.3 days FY22–FY25 (DTC model; immaterial wholesale AR).</t>
        </is>
      </c>
      <c r="E20" s="84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0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DSO flat ~6.3 days: LULU is DTC-heavy (minimal wholesale AR). FY22–FY25 DSO ran 6.0–6.3 days — no structural change assumed.</t>
        </is>
      </c>
      <c r="C21" s="18" t="inlineStr">
        <is>
          <t>LULU FY2025 10-K: Accounts receivable, net</t>
        </is>
      </c>
      <c r="D21" s="19" t="inlineStr">
        <is>
          <t>Ctrl+F "Accounts receivable, net"
→ 190,657 ($000)
Ctrl+F "Net revenue"
→ 11,102,600 ($000)
DSO = (190,657 ÷ 11,102,600) × 365 ≈ 6.3 days
Flat: ~6.0–6.3 days FY22–FY25 (DTC model; immaterial wholesale AR).</t>
        </is>
      </c>
      <c r="E21" s="78" t="n">
        <v>190657</v>
      </c>
      <c r="F21" s="79">
        <f>Scenarios!G68</f>
        <v/>
      </c>
      <c r="G21" s="79">
        <f>Scenarios!G69</f>
        <v/>
      </c>
      <c r="H21" s="79">
        <f>Scenarios!G70</f>
        <v/>
      </c>
      <c r="I21" s="79">
        <f>Scenarios!G71</f>
        <v/>
      </c>
      <c r="J21" s="79">
        <f>Scenarios!G72</f>
        <v/>
      </c>
      <c r="K21" s="80">
        <f>IF(MAX(ABS(F21-Scenarios!$G$68),ABS(G21-Scenarios!$G$69),ABS(H21-Scenarios!$G$70),ABS(I21-Scenarios!$G$71),ABS(J21-Scenarios!$G$72))&lt;0.5,"OK","CHECK")</f>
        <v/>
      </c>
    </row>
    <row r="22" hidden="1" outlineLevel="1" ht="140" customHeight="1">
      <c r="A22" s="16" t="inlineStr">
        <is>
          <t xml:space="preserve">  DIO (days) — FY25 anchor, −1 day/yr</t>
        </is>
      </c>
      <c r="B22" s="19" t="inlineStr">
        <is>
          <t>DIO FY25 ≈129 days anchors on elevated inventory (1,700,753 vs 1,442,081 FY24). Inventory ÷ COGS × 365 on the 10-K balance sheet.
Also: −1 DIO day/yr tied to 10-K: unit inventories expected to decrease and markdown % to fall — gradual clearance, not a shock write-down.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Ctrl+F "Inventories"
→ 1,700,753 ($000)  |  FY24: 1,442,081
Ctrl+F "Cost of goods sold"
→ 4,818,468 ($000)
DIO = (1,700,753 ÷ 4,818,468) × 365 ≈ 129 days
Also: Ctrl+F "reduce the percentage of markdowns"
→ Americas plan to cut promo/markdown intensity
Ctrl+F "On a unit basis, we expect inventories to slightly decrease"
Model: −1 DIO day/yr (−5 days FY26–30 vs FY25 anchor)</t>
        </is>
      </c>
      <c r="E22" s="84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0">
        <f>IF(MAX(ABS(F22-Scenarios!$G$73),ABS(G22-Scenarios!$G$74),ABS(H22-Scenarios!$G$75),ABS(I22-Scenarios!$G$76),ABS(J22-Scenarios!$G$77))&lt;0.5,"OK","CHECK")</f>
        <v/>
      </c>
    </row>
    <row r="23" hidden="1" outlineLevel="1" ht="84" customHeight="1">
      <c r="A23" s="16" t="inlineStr">
        <is>
          <t xml:space="preserve">  Inventories</t>
        </is>
      </c>
      <c r="B23" s="17" t="inlineStr">
        <is>
          <t>DIO FY25 ≈129 days anchors on elevated inventory (1,700,753 vs 1,442,081 FY24). Inventory ÷ COGS × 365 on the 10-K balance sheet.</t>
        </is>
      </c>
      <c r="C23" s="18" t="inlineStr">
        <is>
          <t>LULU FY2025 10-K: Inventories &amp; COGS</t>
        </is>
      </c>
      <c r="D23" s="19" t="inlineStr">
        <is>
          <t>Ctrl+F "Inventories"
→ 1,700,753 ($000)  |  FY24: 1,442,081
Ctrl+F "Cost of goods sold"
→ 4,818,468 ($000)
DIO = (1,700,753 ÷ 4,818,468) × 365 ≈ 129 days</t>
        </is>
      </c>
      <c r="E23" s="78" t="n">
        <v>1700753</v>
      </c>
      <c r="F23" s="79">
        <f>Scenarios!G78</f>
        <v/>
      </c>
      <c r="G23" s="79">
        <f>Scenarios!G79</f>
        <v/>
      </c>
      <c r="H23" s="79">
        <f>Scenarios!G80</f>
        <v/>
      </c>
      <c r="I23" s="79">
        <f>Scenarios!G81</f>
        <v/>
      </c>
      <c r="J23" s="79">
        <f>Scenarios!G82</f>
        <v/>
      </c>
      <c r="K23" s="80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DPO flat ~25 days at FY25 vendor leverage (331,421 ÷ 4,818,468 × 365). AP scales with projected COGS; payment terms unchanged.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DPO = (331,421 ÷ 4,818,468) × 365 ≈ 25.1 days (held flat)</t>
        </is>
      </c>
      <c r="E24" s="84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0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DPO flat ~25 days at FY25 vendor leverage (331,421 ÷ 4,818,468 × 365). AP scales with projected COGS; payment terms unchanged.</t>
        </is>
      </c>
      <c r="C25" s="18" t="inlineStr">
        <is>
          <t>LULU FY2025 10-K: Accounts payable &amp; COGS</t>
        </is>
      </c>
      <c r="D25" s="19" t="inlineStr">
        <is>
          <t>Ctrl+F "Accounts payable"
→ 331,421 ($000)
Ctrl+F "Cost of goods sold"
→ 4,818,468 ($000)
DPO = (331,421 ÷ 4,818,468) × 365 ≈ 25.1 days (held flat)</t>
        </is>
      </c>
      <c r="E25" s="78" t="n">
        <v>331421</v>
      </c>
      <c r="F25" s="79">
        <f>Scenarios!G88</f>
        <v/>
      </c>
      <c r="G25" s="79">
        <f>Scenarios!G89</f>
        <v/>
      </c>
      <c r="H25" s="79">
        <f>Scenarios!G90</f>
        <v/>
      </c>
      <c r="I25" s="79">
        <f>Scenarios!G91</f>
        <v/>
      </c>
      <c r="J25" s="79">
        <f>Scenarios!G92</f>
        <v/>
      </c>
      <c r="K25" s="80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OCA held at FY25 5.1% of revenue — prepaids + income-tax receivables (211,620 + 352,469) are the main non-AR/inventory current assets.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OCA residual (ex-cash/AR/inv) = 564,089 ≈ 5.1% of revenue</t>
        </is>
      </c>
      <c r="E26" s="81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OCA held at FY25 5.1% of revenue — prepaids + income-tax receivables (211,620 + 352,469) are the main non-AR/inventory current assets.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OCA residual (ex-cash/AR/inv) = 564,089 ≈ 5.1% of revenue</t>
        </is>
      </c>
      <c r="E27" s="78" t="n">
        <v>564089</v>
      </c>
      <c r="F27" s="79">
        <f>Scenarios!G93</f>
        <v/>
      </c>
      <c r="G27" s="79">
        <f>Scenarios!G94</f>
        <v/>
      </c>
      <c r="H27" s="79">
        <f>Scenarios!G95</f>
        <v/>
      </c>
      <c r="I27" s="79">
        <f>Scenarios!G96</f>
        <v/>
      </c>
      <c r="J27" s="79">
        <f>Scenarios!G97</f>
        <v/>
      </c>
      <c r="K27" s="80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Accrued liabilities flat at FY25 6.0% of revenue (662,982 ÷ 11,102,600). Stable comp, marketing, and operating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662,982 ÷ 11,102,600 ≈ 6.0% of revenue (held flat)</t>
        </is>
      </c>
      <c r="E28" s="81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Accrued liabilities flat at FY25 6.0% of revenue (662,982 ÷ 11,102,600). Stable comp, marketing, and operating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662,982 ÷ 11,102,600 ≈ 6.0% of revenue (held flat)</t>
        </is>
      </c>
      <c r="E29" s="78" t="n">
        <v>662982</v>
      </c>
      <c r="F29" s="79">
        <f>Scenarios!G98</f>
        <v/>
      </c>
      <c r="G29" s="79">
        <f>Scenarios!G99</f>
        <v/>
      </c>
      <c r="H29" s="79">
        <f>Scenarios!G100</f>
        <v/>
      </c>
      <c r="I29" s="79">
        <f>Scenarios!G101</f>
        <v/>
      </c>
      <c r="J29" s="79">
        <f>Scenarios!G102</f>
        <v/>
      </c>
      <c r="K29" s="80">
        <f>IF(MAX(ABS(F29-Scenarios!$G$98),ABS(G29-Scenarios!$G$99),ABS(H29-Scenarios!$G$100),ABS(I29-Scenarios!$G$101),ABS(J29-Scenarios!$G$102))&lt;0.5,"OK","CHECK")</f>
        <v/>
      </c>
    </row>
    <row r="30" hidden="1" outlineLevel="1">
      <c r="A30" s="16" t="inlineStr">
        <is>
          <t>Current operating assets (AR + inv + prepaids)</t>
        </is>
      </c>
      <c r="F30" s="79">
        <f>Scenarios!G103</f>
        <v/>
      </c>
      <c r="G30" s="79">
        <f>Scenarios!G104</f>
        <v/>
      </c>
      <c r="H30" s="79">
        <f>Scenarios!G105</f>
        <v/>
      </c>
      <c r="I30" s="79">
        <f>Scenarios!G106</f>
        <v/>
      </c>
      <c r="J30" s="79">
        <f>Scenarios!G107</f>
        <v/>
      </c>
      <c r="K30" s="80">
        <f>IF(MAX(ABS(F30-Scenarios!$G$103),ABS(G30-Scenarios!$G$104),ABS(H30-Scenarios!$G$105),ABS(I30-Scenarios!$G$106),ABS(J30-Scenarios!$G$107))&lt;0.5,"OK","CHECK")</f>
        <v/>
      </c>
    </row>
    <row r="31" hidden="1" outlineLevel="1">
      <c r="A31" s="16" t="inlineStr">
        <is>
          <t>Current operating liabilities (AP + accruals)</t>
        </is>
      </c>
      <c r="F31" s="79">
        <f>Scenarios!G108</f>
        <v/>
      </c>
      <c r="G31" s="79">
        <f>Scenarios!G109</f>
        <v/>
      </c>
      <c r="H31" s="79">
        <f>Scenarios!G110</f>
        <v/>
      </c>
      <c r="I31" s="79">
        <f>Scenarios!G111</f>
        <v/>
      </c>
      <c r="J31" s="79">
        <f>Scenarios!G112</f>
        <v/>
      </c>
      <c r="K31" s="80">
        <f>IF(MAX(ABS(F31-Scenarios!$G$108),ABS(G31-Scenarios!$G$109),ABS(H31-Scenarios!$G$110),ABS(I31-Scenarios!$G$111),ABS(J31-Scenarios!$G$112))&lt;0.5,"OK","CHECK")</f>
        <v/>
      </c>
    </row>
    <row r="32" hidden="1" outlineLevel="1">
      <c r="A32" s="23" t="inlineStr">
        <is>
          <t>Net working capital</t>
        </is>
      </c>
      <c r="E32" s="82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3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ΔNWC = prior − current. FY26 releases WC (sales down + DIO improves); FY27–30 absorbs cash as revenue grows — standard unlevered FCF bridge.</t>
        </is>
      </c>
      <c r="C33" s="18" t="inlineStr">
        <is>
          <t>Scenarios tab: NWC roll-forward (driver schedule)</t>
        </is>
      </c>
      <c r="D33" s="19" t="inlineStr">
        <is>
          <t>No single Ctrl+F — derived roll-forward.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3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5">
        <f>Scenarios!G123</f>
        <v/>
      </c>
      <c r="G35" s="85">
        <f>Scenarios!G124</f>
        <v/>
      </c>
      <c r="H35" s="85">
        <f>Scenarios!G125</f>
        <v/>
      </c>
      <c r="I35" s="85">
        <f>Scenarios!G126</f>
        <v/>
      </c>
      <c r="J35" s="85">
        <f>Scenarios!G127</f>
        <v/>
      </c>
      <c r="K35" s="83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6" t="n">
        <v>1</v>
      </c>
      <c r="G36" s="86" t="n">
        <v>2</v>
      </c>
      <c r="H36" s="86" t="n">
        <v>3</v>
      </c>
      <c r="I36" s="86" t="n">
        <v>4</v>
      </c>
      <c r="J36" s="86" t="n">
        <v>5</v>
      </c>
    </row>
    <row r="37">
      <c r="A37" s="16" t="inlineStr">
        <is>
          <t>Discount factor @ WACC</t>
        </is>
      </c>
      <c r="F37" s="87">
        <f>1/(1+Scenarios!$G$9)^F36</f>
        <v/>
      </c>
      <c r="G37" s="87">
        <f>1/(1+Scenarios!$G$9)^G36</f>
        <v/>
      </c>
      <c r="H37" s="87">
        <f>1/(1+Scenarios!$G$9)^H36</f>
        <v/>
      </c>
      <c r="I37" s="87">
        <f>1/(1+Scenarios!$G$9)^I36</f>
        <v/>
      </c>
      <c r="J37" s="87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88">
        <f>IF(COUNTIF(K5:K35,"CHECK")=0,"ALL OK","REVIEW")</f>
        <v/>
      </c>
    </row>
    <row r="41">
      <c r="A41" s="89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9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0">
        <f>E45/E44</f>
        <v/>
      </c>
    </row>
    <row r="47">
      <c r="A47" s="16" t="inlineStr">
        <is>
          <t xml:space="preserve">  memo: (UFCF₃₀ / EBITDA₃₀) × (1+g) / (WACC−g)</t>
        </is>
      </c>
      <c r="E47" s="90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1" t="inlineStr">
        <is>
          <t>10-K</t>
        </is>
      </c>
      <c r="D50" s="19" t="inlineStr">
        <is>
          <t>Ctrl+F "Cash and cash equivalents" → 1,807,202 ($000) FY2025</t>
        </is>
      </c>
      <c r="E50" s="78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8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1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8" t="n">
        <v>111380</v>
      </c>
    </row>
    <row r="56">
      <c r="A56" s="23" t="inlineStr">
        <is>
          <t>Implied value per share</t>
        </is>
      </c>
      <c r="E56" s="92">
        <f>E54/E55</f>
        <v/>
      </c>
      <c r="K56" s="83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1" t="inlineStr">
        <is>
          <t>NASDAQ</t>
        </is>
      </c>
      <c r="D57" s="19" t="inlineStr">
        <is>
          <t>Ctrl+F "closed at $100.61" → Last Sale on NASDAQ quote page</t>
        </is>
      </c>
      <c r="E57" s="93" t="n">
        <v>100</v>
      </c>
    </row>
    <row r="58">
      <c r="A58" s="23" t="inlineStr">
        <is>
          <t>Implied upside / (downside)</t>
        </is>
      </c>
      <c r="E58" s="94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89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0">
        <f>E46</f>
        <v/>
      </c>
      <c r="M63" s="91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9">
        <f>E44*E63</f>
        <v/>
      </c>
    </row>
    <row r="65">
      <c r="A65" s="16" t="inlineStr">
        <is>
          <t>PV of terminal value</t>
        </is>
      </c>
      <c r="E65" s="79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5">
        <f>(E66+E50+E51)/E55</f>
        <v/>
      </c>
    </row>
    <row r="69">
      <c r="A69" s="89" t="inlineStr">
        <is>
          <t>TERMINAL VALUE RECONCILIATION (GORDON vs EXIT MULTIPLE)</t>
        </is>
      </c>
      <c r="B69" s="13" t="n"/>
      <c r="C69" s="13" t="n"/>
      <c r="D69" s="13" t="n"/>
    </row>
    <row r="70">
      <c r="A70" s="96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97">
        <f>E46</f>
        <v/>
      </c>
      <c r="C72" s="97">
        <f>E63</f>
        <v/>
      </c>
      <c r="D72" s="97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98">
        <f>E56</f>
        <v/>
      </c>
      <c r="C74" s="98">
        <f>E67</f>
        <v/>
      </c>
      <c r="D74" s="98">
        <f>B74-C74</f>
        <v/>
      </c>
    </row>
    <row r="75">
      <c r="A75" s="67" t="inlineStr">
        <is>
          <t>Sanity check: multiples within ±1.5 turns?</t>
        </is>
      </c>
      <c r="B75" s="99">
        <f>IF(ABS(D72)&lt;=1.5,"PASS","REVIEW")</f>
        <v/>
      </c>
      <c r="C75" s="100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89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1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2" t="n">
        <v>0.015</v>
      </c>
      <c r="G79" s="102" t="n">
        <v>0.02</v>
      </c>
      <c r="H79" s="102" t="n">
        <v>0.0225</v>
      </c>
      <c r="I79" s="102" t="n">
        <v>0.025</v>
      </c>
      <c r="J79" s="102" t="n">
        <v>0.03</v>
      </c>
      <c r="L79" s="91" t="inlineStr">
        <is>
          <t>Scenarios: terminal g</t>
        </is>
      </c>
    </row>
    <row r="80" ht="28" customHeight="1">
      <c r="A80" s="102" t="n">
        <v>0.095</v>
      </c>
      <c r="C80" s="91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3">
        <f>(NPV(0.095,F35:J35)+(J35*(1+0.015)/(0.095-0.015))/(1+0.095)^5+E50+E51)/E55</f>
        <v/>
      </c>
      <c r="G80" s="103">
        <f>(NPV(0.095,F35:J35)+(J35*(1+0.02)/(0.095-0.02))/(1+0.095)^5+E50+E51)/E55</f>
        <v/>
      </c>
      <c r="H80" s="103">
        <f>(NPV(0.095,F35:J35)+(J35*(1+0.0225)/(0.095-0.0225))/(1+0.095)^5+E50+E51)/E55</f>
        <v/>
      </c>
      <c r="I80" s="103">
        <f>(NPV(0.095,F35:J35)+(J35*(1+0.025)/(0.095-0.025))/(1+0.095)^5+E50+E51)/E55</f>
        <v/>
      </c>
      <c r="J80" s="103">
        <f>(NPV(0.095,F35:J35)+(J35*(1+0.03)/(0.095-0.03))/(1+0.095)^5+E50+E51)/E55</f>
        <v/>
      </c>
      <c r="L80" s="91" t="inlineStr">
        <is>
          <t>WACC tab</t>
        </is>
      </c>
    </row>
    <row r="81" ht="28" customHeight="1">
      <c r="A81" s="102" t="n">
        <v>0.1</v>
      </c>
      <c r="D81" s="19" t="inlineStr">
        <is>
          <t>Ctrl+F "4.23%" (2025 implied ERP). Sensitivity WACC axis brackets the 10.5% base.</t>
        </is>
      </c>
      <c r="F81" s="103">
        <f>(NPV(0.1,F35:J35)+(J35*(1+0.015)/(0.1-0.015))/(1+0.1)^5+E50+E51)/E55</f>
        <v/>
      </c>
      <c r="G81" s="103">
        <f>(NPV(0.1,F35:J35)+(J35*(1+0.02)/(0.1-0.02))/(1+0.1)^5+E50+E51)/E55</f>
        <v/>
      </c>
      <c r="H81" s="103">
        <f>(NPV(0.1,F35:J35)+(J35*(1+0.0225)/(0.1-0.0225))/(1+0.1)^5+E50+E51)/E55</f>
        <v/>
      </c>
      <c r="I81" s="103">
        <f>(NPV(0.1,F35:J35)+(J35*(1+0.025)/(0.1-0.025))/(1+0.1)^5+E50+E51)/E55</f>
        <v/>
      </c>
      <c r="J81" s="103">
        <f>(NPV(0.1,F35:J35)+(J35*(1+0.03)/(0.1-0.03))/(1+0.1)^5+E50+E51)/E55</f>
        <v/>
      </c>
      <c r="L81" s="91" t="inlineStr">
        <is>
          <t>WACC tab</t>
        </is>
      </c>
    </row>
    <row r="82" ht="28" customHeight="1">
      <c r="A82" s="102" t="n">
        <v>0.105</v>
      </c>
      <c r="D82" s="19" t="inlineStr">
        <is>
          <t>Ctrl+F "4.23%" (2025 implied ERP). Sensitivity WACC axis brackets the 10.5% base.</t>
        </is>
      </c>
      <c r="F82" s="103">
        <f>(NPV(0.105,F35:J35)+(J35*(1+0.015)/(0.105-0.015))/(1+0.105)^5+E50+E51)/E55</f>
        <v/>
      </c>
      <c r="G82" s="103">
        <f>(NPV(0.105,F35:J35)+(J35*(1+0.02)/(0.105-0.02))/(1+0.105)^5+E50+E51)/E55</f>
        <v/>
      </c>
      <c r="H82" s="104">
        <f>(NPV(0.105,F35:J35)+(J35*(1+0.0225)/(0.105-0.0225))/(1+0.105)^5+E50+E51)/E55</f>
        <v/>
      </c>
      <c r="I82" s="103">
        <f>(NPV(0.105,F35:J35)+(J35*(1+0.025)/(0.105-0.025))/(1+0.105)^5+E50+E51)/E55</f>
        <v/>
      </c>
      <c r="J82" s="103">
        <f>(NPV(0.105,F35:J35)+(J35*(1+0.03)/(0.105-0.03))/(1+0.105)^5+E50+E51)/E55</f>
        <v/>
      </c>
      <c r="L82" s="91" t="inlineStr">
        <is>
          <t>WACC tab</t>
        </is>
      </c>
    </row>
    <row r="83" ht="28" customHeight="1">
      <c r="A83" s="102" t="n">
        <v>0.11</v>
      </c>
      <c r="D83" s="19" t="inlineStr">
        <is>
          <t>Ctrl+F "4.23%" (2025 implied ERP). Sensitivity WACC axis brackets the 10.5% base.</t>
        </is>
      </c>
      <c r="F83" s="103">
        <f>(NPV(0.11,F35:J35)+(J35*(1+0.015)/(0.11-0.015))/(1+0.11)^5+E50+E51)/E55</f>
        <v/>
      </c>
      <c r="G83" s="103">
        <f>(NPV(0.11,F35:J35)+(J35*(1+0.02)/(0.11-0.02))/(1+0.11)^5+E50+E51)/E55</f>
        <v/>
      </c>
      <c r="H83" s="103">
        <f>(NPV(0.11,F35:J35)+(J35*(1+0.0225)/(0.11-0.0225))/(1+0.11)^5+E50+E51)/E55</f>
        <v/>
      </c>
      <c r="I83" s="103">
        <f>(NPV(0.11,F35:J35)+(J35*(1+0.025)/(0.11-0.025))/(1+0.11)^5+E50+E51)/E55</f>
        <v/>
      </c>
      <c r="J83" s="103">
        <f>(NPV(0.11,F35:J35)+(J35*(1+0.03)/(0.11-0.03))/(1+0.11)^5+E50+E51)/E55</f>
        <v/>
      </c>
      <c r="L83" s="91" t="inlineStr">
        <is>
          <t>WACC tab</t>
        </is>
      </c>
    </row>
    <row r="84" ht="28" customHeight="1">
      <c r="A84" s="102" t="n">
        <v>0.115</v>
      </c>
      <c r="D84" s="19" t="inlineStr">
        <is>
          <t>Ctrl+F "4.23%" (2025 implied ERP). Sensitivity WACC axis brackets the 10.5% base.</t>
        </is>
      </c>
      <c r="F84" s="103">
        <f>(NPV(0.115,F35:J35)+(J35*(1+0.015)/(0.115-0.015))/(1+0.115)^5+E50+E51)/E55</f>
        <v/>
      </c>
      <c r="G84" s="103">
        <f>(NPV(0.115,F35:J35)+(J35*(1+0.02)/(0.115-0.02))/(1+0.115)^5+E50+E51)/E55</f>
        <v/>
      </c>
      <c r="H84" s="103">
        <f>(NPV(0.115,F35:J35)+(J35*(1+0.0225)/(0.115-0.0225))/(1+0.115)^5+E50+E51)/E55</f>
        <v/>
      </c>
      <c r="I84" s="103">
        <f>(NPV(0.115,F35:J35)+(J35*(1+0.025)/(0.115-0.025))/(1+0.115)^5+E50+E51)/E55</f>
        <v/>
      </c>
      <c r="J84" s="103">
        <f>(NPV(0.115,F35:J35)+(J35*(1+0.03)/(0.115-0.03))/(1+0.115)^5+E50+E51)/E55</f>
        <v/>
      </c>
      <c r="L84" s="91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1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xmlns:r="http://schemas.openxmlformats.org/officeDocument/2006/relationships" ref="E32" r:id="rId35"/>
    <hyperlink ref="C33" location="'Scenarios'!A118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63" location="'DCF'!E46"/>
    <hyperlink ref="M63" location="'Comps'!A45"/>
    <hyperlink xmlns:r="http://schemas.openxmlformats.org/officeDocument/2006/relationships" ref="C79" r:id="rId45"/>
    <hyperlink ref="L79" location="'Scenarios'!G10"/>
    <hyperlink xmlns:r="http://schemas.openxmlformats.org/officeDocument/2006/relationships" ref="C80" r:id="rId46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1" t="inlineStr">
        <is>
          <t>10-K</t>
        </is>
      </c>
      <c r="D4" s="19" t="inlineStr">
        <is>
          <t>Ctrl+F "Net revenue" → 11,102,600 ($000) in FY2025 column</t>
        </is>
      </c>
      <c r="E4" s="78" t="n">
        <v>11102600</v>
      </c>
    </row>
    <row r="5">
      <c r="A5" s="16" t="inlineStr">
        <is>
          <t>FY2025A EBITDA (EBIT + D&amp;A)</t>
        </is>
      </c>
      <c r="E5" s="79">
        <f>2210615+496228</f>
        <v/>
      </c>
    </row>
    <row r="6">
      <c r="A6" s="16" t="inlineStr">
        <is>
          <t>FY2030E terminal EBITDA (DCF EBIT + D&amp;A)</t>
        </is>
      </c>
      <c r="C6" s="91" t="inlineStr">
        <is>
          <t>↳ DCF base case</t>
        </is>
      </c>
      <c r="E6" s="79">
        <f>DCF!E44</f>
        <v/>
      </c>
    </row>
    <row r="7" ht="28" customHeight="1">
      <c r="A7" s="16" t="inlineStr">
        <is>
          <t>FY2026E diluted EPS (guidance midpoint)</t>
        </is>
      </c>
      <c r="C7" s="91" t="inlineStr">
        <is>
          <t>Release</t>
        </is>
      </c>
      <c r="D7" s="19" t="inlineStr">
        <is>
          <t>Ctrl+F "$9.48 to $9.73" → FY2026 diluted EPS guidance; model midpoint $9.61</t>
        </is>
      </c>
      <c r="E7" s="93" t="n">
        <v>9.609999999999999</v>
      </c>
    </row>
    <row r="8" ht="28" customHeight="1">
      <c r="A8" s="16" t="inlineStr">
        <is>
          <t>Cash &amp; equivalents</t>
        </is>
      </c>
      <c r="C8" s="91" t="inlineStr">
        <is>
          <t>10-K</t>
        </is>
      </c>
      <c r="D8" s="19" t="inlineStr">
        <is>
          <t>Ctrl+F "Cash and cash equivalents" → 1,807,202 ($000) FY2025</t>
        </is>
      </c>
      <c r="E8" s="78" t="n">
        <v>1807202</v>
      </c>
    </row>
    <row r="9" ht="28" customHeight="1">
      <c r="A9" s="16" t="inlineStr">
        <is>
          <t>Shares outstanding (000)</t>
        </is>
      </c>
      <c r="C9" s="91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8" t="n">
        <v>111380</v>
      </c>
    </row>
    <row r="10" ht="28" customHeight="1">
      <c r="A10" s="16" t="inlineStr">
        <is>
          <t>Current share price</t>
        </is>
      </c>
      <c r="C10" s="91" t="inlineStr">
        <is>
          <t>NASDAQ</t>
        </is>
      </c>
      <c r="D10" s="19" t="inlineStr">
        <is>
          <t>Ctrl+F "closed at $100.61" → Last Sale on NASDAQ quote page</t>
        </is>
      </c>
      <c r="E10" s="93" t="n">
        <v>100</v>
      </c>
    </row>
    <row r="11">
      <c r="A11" s="100" t="inlineStr">
        <is>
          <t xml:space="preserve">  memo: current EV / EBITDA</t>
        </is>
      </c>
      <c r="E11" s="105">
        <f>(E10*E9-E8)/E5</f>
        <v/>
      </c>
    </row>
    <row r="12">
      <c r="A12" s="100" t="inlineStr">
        <is>
          <t xml:space="preserve">  memo: current P / E (FY2026E)</t>
        </is>
      </c>
      <c r="E12" s="105">
        <f>E10/E7</f>
        <v/>
      </c>
    </row>
    <row r="14">
      <c r="A14" s="14" t="inlineStr">
        <is>
          <t>EXIT MULTIPLE BUILD — FY2030E TERMINAL YEAR</t>
        </is>
      </c>
    </row>
    <row r="15">
      <c r="A15" s="100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6" t="inlineStr">
        <is>
          <t>Company</t>
        </is>
      </c>
      <c r="B18" s="106" t="inlineStr">
        <is>
          <t>Justification</t>
        </is>
      </c>
      <c r="C18" s="106" t="inlineStr">
        <is>
          <t>Source</t>
        </is>
      </c>
      <c r="D18" s="106" t="inlineStr">
        <is>
          <t>Ctrl+F / proof</t>
        </is>
      </c>
      <c r="E18" s="107" t="inlineStr">
        <is>
          <t>EV/EBITDA</t>
        </is>
      </c>
      <c r="I18" s="107" t="inlineStr">
        <is>
          <t>EV ($000)</t>
        </is>
      </c>
      <c r="J18" s="107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8">
        <f>IF(J19&lt;=0,"n.m.",I19/J19)</f>
        <v/>
      </c>
      <c r="I19" s="109" t="n">
        <v>11890440</v>
      </c>
      <c r="J19" s="109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8">
        <f>IF(J20&lt;=0,"n.m.",I20/J20)</f>
        <v/>
      </c>
      <c r="I20" s="109" t="n">
        <v>3208397</v>
      </c>
      <c r="J20" s="109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8">
        <f>IF(J21&lt;=0,"n.m.",I21/J21)</f>
        <v/>
      </c>
      <c r="I21" s="109" t="n">
        <v>35661944</v>
      </c>
      <c r="J21" s="109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8">
        <f>IF(J22&lt;=0,"n.m.",I22/J22)</f>
        <v/>
      </c>
      <c r="I22" s="109" t="n">
        <v>58972350</v>
      </c>
      <c r="J22" s="109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8">
        <f>IF(J23&lt;=0,"n.m.",I23/J23)</f>
        <v/>
      </c>
      <c r="I23" s="109" t="n">
        <v>10555510</v>
      </c>
      <c r="J23" s="109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8">
        <f>IF(J24&lt;=0,"n.m.",I24/J24)</f>
        <v/>
      </c>
      <c r="I24" s="109" t="n">
        <v>27284350</v>
      </c>
      <c r="J24" s="109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8">
        <f>IF(J25&lt;=0,"n.m.",I25/J25)</f>
        <v/>
      </c>
      <c r="I25" s="109" t="n">
        <v>7153911</v>
      </c>
      <c r="J25" s="109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8">
        <f>IF(J26&lt;=0,"n.m.",I26/J26)</f>
        <v/>
      </c>
      <c r="I26" s="109" t="n">
        <v>616045</v>
      </c>
      <c r="J26" s="109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8">
        <f>IF(J27&lt;=0,"n.m.",I27/J27)</f>
        <v/>
      </c>
      <c r="I27" s="109" t="n">
        <v>9422753</v>
      </c>
      <c r="J27" s="109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8">
        <f>IF(J28&lt;=0,"n.m.",I28/J28)</f>
        <v/>
      </c>
      <c r="I28" s="109" t="n">
        <v>1598873</v>
      </c>
      <c r="J28" s="109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8">
        <f>IF(J29&lt;=0,"n.m.",I29/J29)</f>
        <v/>
      </c>
      <c r="I29" s="109" t="n">
        <v>5236269</v>
      </c>
      <c r="J29" s="109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0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0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1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1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2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8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8">
        <f>AVERAGE(E19,E21,E22,E23,E24,E25,E26,E27,E28,E29)</f>
        <v/>
      </c>
    </row>
    <row r="41">
      <c r="A41" s="100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0">
        <f>DCF!E46</f>
        <v/>
      </c>
    </row>
    <row r="45">
      <c r="A45" s="67" t="inlineStr">
        <is>
          <t>Selected exit multiple (base case)</t>
        </is>
      </c>
      <c r="E45" s="97">
        <f>DCF!E63</f>
        <v/>
      </c>
    </row>
    <row r="46">
      <c r="A46" s="16" t="inlineStr">
        <is>
          <t>Spread (selected − Gordon implied)</t>
        </is>
      </c>
      <c r="E46" s="90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6" t="inlineStr">
        <is>
          <t>Method</t>
        </is>
      </c>
      <c r="B56" s="106" t="inlineStr">
        <is>
          <t>Justification</t>
        </is>
      </c>
      <c r="C56" s="106" t="inlineStr">
        <is>
          <t>Source</t>
        </is>
      </c>
      <c r="D56" s="106" t="inlineStr">
        <is>
          <t>Ctrl+F</t>
        </is>
      </c>
      <c r="E56" s="107" t="inlineStr">
        <is>
          <t>Low mult.</t>
        </is>
      </c>
      <c r="F56" s="107" t="inlineStr">
        <is>
          <t>High mult.</t>
        </is>
      </c>
      <c r="G56" s="107" t="inlineStr">
        <is>
          <t>Implied px (low)</t>
        </is>
      </c>
      <c r="H56" s="107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7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3" t="n">
        <v>5</v>
      </c>
      <c r="F57" s="113" t="n">
        <v>8</v>
      </c>
      <c r="G57" s="114">
        <f>(E6*E57+E8)/E9</f>
        <v/>
      </c>
      <c r="H57" s="114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1">
        <f>DCF!E63</f>
        <v/>
      </c>
      <c r="G58" s="115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7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3" t="n">
        <v>10</v>
      </c>
      <c r="F59" s="113" t="n">
        <v>18</v>
      </c>
      <c r="G59" s="114">
        <f>E7*E59</f>
        <v/>
      </c>
      <c r="H59" s="114">
        <f>E7*F59</f>
        <v/>
      </c>
    </row>
    <row r="60">
      <c r="A60" s="16" t="inlineStr">
        <is>
          <t>DCF (bear – bull)</t>
        </is>
      </c>
      <c r="E60" s="116" t="inlineStr">
        <is>
          <t>—</t>
        </is>
      </c>
      <c r="F60" s="116" t="inlineStr">
        <is>
          <t>—</t>
        </is>
      </c>
      <c r="G60" s="114">
        <f>Scenarios!F130</f>
        <v/>
      </c>
      <c r="H60" s="114">
        <f>Scenarios!H130</f>
        <v/>
      </c>
    </row>
    <row r="62" ht="28" customHeight="1">
      <c r="A62" s="117" t="inlineStr">
        <is>
          <t>Current price</t>
        </is>
      </c>
      <c r="C62" s="91" t="inlineStr">
        <is>
          <t>NASDAQ</t>
        </is>
      </c>
      <c r="D62" s="19" t="inlineStr">
        <is>
          <t>Ctrl+F "closed at $100.61" → Last Sale on NASDAQ quote page</t>
        </is>
      </c>
      <c r="E62" s="118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2026-09-07T23:44:56Z</dcterms:created>
  <dcterms:modified xmlns:dcterms="http://purl.org/dc/terms/" xmlns:xsi="http://www.w3.org/2001/XMLSchema-instance" xsi:type="dcterms:W3CDTF">2026-09-07T23:44:56Z</dcterms:modified>
</cp:coreProperties>
</file>
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24" customWidth="1" min="9" max="9"/>
    <col width="16" customWidth="1" min="10" max="10"/>
    <col width="36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Justification (~20 words)</t>
        </is>
      </c>
      <c r="J3" s="43" t="inlineStr">
        <is>
          <t>Source (click)</t>
        </is>
      </c>
      <c r="K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8" t="inlineStr">
        <is>
          <t>Justification</t>
        </is>
      </c>
      <c r="J5" s="48" t="inlineStr">
        <is>
          <t>Source</t>
        </is>
      </c>
      <c r="K5" s="48" t="inlineStr">
        <is>
          <t>Ctrl+F</t>
        </is>
      </c>
    </row>
    <row r="6" ht="28" customHeight="1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  <c r="J6" s="51" t="inlineStr">
        <is>
          <t>Revenue Drivers: beginning-stores formula</t>
        </is>
      </c>
      <c r="K6" s="19">
        <f>prior-year ending stores. Same count, new column — that's where the year starts.</f>
        <v/>
      </c>
    </row>
    <row r="7" ht="28" customHeight="1">
      <c r="A7" s="34" t="inlineStr">
        <is>
          <t xml:space="preserve">  Americas — openings</t>
        </is>
      </c>
      <c r="C7" s="52" t="n">
        <v>8</v>
      </c>
      <c r="D7" s="52" t="n">
        <v>7</v>
      </c>
      <c r="E7" s="52" t="n">
        <v>6</v>
      </c>
      <c r="F7" s="52" t="n">
        <v>5</v>
      </c>
      <c r="G7" s="52" t="n">
        <v>4</v>
      </c>
      <c r="H7" s="50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8" t="inlineStr">
        <is>
          <t>FY2025 10-K: store count &amp; expansion</t>
        </is>
      </c>
      <c r="K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2" t="n">
        <v>3</v>
      </c>
      <c r="D8" s="52" t="n">
        <v>3</v>
      </c>
      <c r="E8" s="52" t="n">
        <v>2</v>
      </c>
      <c r="F8" s="52" t="n">
        <v>2</v>
      </c>
      <c r="G8" s="52" t="n">
        <v>2</v>
      </c>
      <c r="H8" s="50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8" t="inlineStr">
        <is>
          <t>FY2025 10-K: lease renewal / fleet</t>
        </is>
      </c>
      <c r="K8" s="19" t="inlineStr">
        <is>
          <t>Ctrl+F "lease" / store fleet — immaterial closures vs expansion; 2–3 per mature region.</t>
        </is>
      </c>
    </row>
    <row r="9" ht="28" customHeight="1">
      <c r="A9" s="53" t="inlineStr">
        <is>
          <t xml:space="preserve">  Americas — ending stores</t>
        </is>
      </c>
      <c r="B9" s="49" t="n">
        <v>476</v>
      </c>
      <c r="C9" s="54">
        <f>C6+C7-C8</f>
        <v/>
      </c>
      <c r="D9" s="54">
        <f>D6+D7-D8</f>
        <v/>
      </c>
      <c r="E9" s="54">
        <f>E6+E7-E8</f>
        <v/>
      </c>
      <c r="F9" s="54">
        <f>F6+F7-F8</f>
        <v/>
      </c>
      <c r="G9" s="54">
        <f>G6+G7-G8</f>
        <v/>
      </c>
      <c r="H9" s="50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  <c r="J9" s="51" t="inlineStr">
        <is>
          <t>Revenue Drivers: ending-stores formula</t>
        </is>
      </c>
      <c r="K9" s="19">
        <f>beginning stores + openings − closures. Roll-forward — nothing fancy, just how many doors you end with.</f>
        <v/>
      </c>
    </row>
    <row r="10" ht="28" customHeight="1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  <c r="J10" s="51" t="inlineStr">
        <is>
          <t>Revenue Drivers: beginning-stores formula</t>
        </is>
      </c>
      <c r="K10" s="19">
        <f>prior-year ending stores. Same count, new column — that's where the year starts.</f>
        <v/>
      </c>
    </row>
    <row r="11" ht="28" customHeight="1">
      <c r="A11" s="34" t="inlineStr">
        <is>
          <t xml:space="preserve">  China Mainland — openings</t>
        </is>
      </c>
      <c r="C11" s="52" t="n">
        <v>20</v>
      </c>
      <c r="D11" s="52" t="n">
        <v>18</v>
      </c>
      <c r="E11" s="52" t="n">
        <v>16</v>
      </c>
      <c r="F11" s="52" t="n">
        <v>14</v>
      </c>
      <c r="G11" s="52" t="n">
        <v>12</v>
      </c>
      <c r="H11" s="50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8" t="inlineStr">
        <is>
          <t>FY2025 10-K: store count &amp; expansion</t>
        </is>
      </c>
      <c r="K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2" t="n">
        <v>1</v>
      </c>
      <c r="D12" s="52" t="n">
        <v>1</v>
      </c>
      <c r="E12" s="52" t="n">
        <v>1</v>
      </c>
      <c r="F12" s="52" t="n">
        <v>1</v>
      </c>
      <c r="G12" s="52" t="n">
        <v>1</v>
      </c>
      <c r="H12" s="50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8" t="inlineStr">
        <is>
          <t>FY2025 10-K: lease renewal / fleet</t>
        </is>
      </c>
      <c r="K12" s="19" t="inlineStr">
        <is>
          <t>Ctrl+F "lease" / store fleet — immaterial closures vs expansion; 2–3 per mature region.</t>
        </is>
      </c>
    </row>
    <row r="13" ht="28" customHeight="1">
      <c r="A13" s="53" t="inlineStr">
        <is>
          <t xml:space="preserve">  China Mainland — ending stores</t>
        </is>
      </c>
      <c r="B13" s="49" t="n">
        <v>172</v>
      </c>
      <c r="C13" s="54">
        <f>C10+C11-C12</f>
        <v/>
      </c>
      <c r="D13" s="54">
        <f>D10+D11-D12</f>
        <v/>
      </c>
      <c r="E13" s="54">
        <f>E10+E11-E12</f>
        <v/>
      </c>
      <c r="F13" s="54">
        <f>F10+F11-F12</f>
        <v/>
      </c>
      <c r="G13" s="54">
        <f>G10+G11-G12</f>
        <v/>
      </c>
      <c r="H13" s="50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  <c r="J13" s="51" t="inlineStr">
        <is>
          <t>Revenue Drivers: ending-stores formula</t>
        </is>
      </c>
      <c r="K13" s="19">
        <f>beginning stores + openings − closures. Roll-forward — nothing fancy, just how many doors you end with.</f>
        <v/>
      </c>
    </row>
    <row r="14" ht="28" customHeight="1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  <c r="J14" s="51" t="inlineStr">
        <is>
          <t>Revenue Drivers: beginning-stores formula</t>
        </is>
      </c>
      <c r="K14" s="19">
        <f>prior-year ending stores. Same count, new column — that's where the year starts.</f>
        <v/>
      </c>
    </row>
    <row r="15" ht="28" customHeight="1">
      <c r="A15" s="34" t="inlineStr">
        <is>
          <t xml:space="preserve">  Rest of World — openings</t>
        </is>
      </c>
      <c r="C15" s="52" t="n">
        <v>7</v>
      </c>
      <c r="D15" s="52" t="n">
        <v>6</v>
      </c>
      <c r="E15" s="52" t="n">
        <v>5</v>
      </c>
      <c r="F15" s="52" t="n">
        <v>5</v>
      </c>
      <c r="G15" s="52" t="n">
        <v>4</v>
      </c>
      <c r="H15" s="50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8" t="inlineStr">
        <is>
          <t>FY2025 10-K: store count &amp; expansion</t>
        </is>
      </c>
      <c r="K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2" t="n">
        <v>2</v>
      </c>
      <c r="D16" s="52" t="n">
        <v>2</v>
      </c>
      <c r="E16" s="52" t="n">
        <v>2</v>
      </c>
      <c r="F16" s="52" t="n">
        <v>2</v>
      </c>
      <c r="G16" s="52" t="n">
        <v>2</v>
      </c>
      <c r="H16" s="50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8" t="inlineStr">
        <is>
          <t>FY2025 10-K: lease renewal / fleet</t>
        </is>
      </c>
      <c r="K16" s="19" t="inlineStr">
        <is>
          <t>Ctrl+F "lease" / store fleet — immaterial closures vs expansion; 2–3 per mature region.</t>
        </is>
      </c>
    </row>
    <row r="17" ht="28" customHeight="1">
      <c r="A17" s="53" t="inlineStr">
        <is>
          <t xml:space="preserve">  Rest of World — ending stores</t>
        </is>
      </c>
      <c r="B17" s="49" t="n">
        <v>163</v>
      </c>
      <c r="C17" s="54">
        <f>C14+C15-C16</f>
        <v/>
      </c>
      <c r="D17" s="54">
        <f>D14+D15-D16</f>
        <v/>
      </c>
      <c r="E17" s="54">
        <f>E14+E15-E16</f>
        <v/>
      </c>
      <c r="F17" s="54">
        <f>F14+F15-F16</f>
        <v/>
      </c>
      <c r="G17" s="54">
        <f>G14+G15-G16</f>
        <v/>
      </c>
      <c r="H17" s="50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  <c r="J17" s="51" t="inlineStr">
        <is>
          <t>Revenue Drivers: ending-stores formula</t>
        </is>
      </c>
      <c r="K17" s="19">
        <f>beginning stores + openings − closures. Roll-forward — nothing fancy, just how many doors you end with.</f>
        <v/>
      </c>
    </row>
    <row r="18" ht="28" customHeight="1">
      <c r="A18" s="53" t="inlineStr">
        <is>
          <t>Total ending stores</t>
        </is>
      </c>
      <c r="B18" s="55" t="n">
        <v>811</v>
      </c>
      <c r="C18" s="54">
        <f>C9+C13+C17</f>
        <v/>
      </c>
      <c r="D18" s="54">
        <f>D9+D13+D17</f>
        <v/>
      </c>
      <c r="E18" s="54">
        <f>E9+E13+E17</f>
        <v/>
      </c>
      <c r="F18" s="54">
        <f>F9+F13+F17</f>
        <v/>
      </c>
      <c r="G18" s="54">
        <f>G9+G13+G17</f>
        <v/>
      </c>
      <c r="I18" s="17" t="inlineStr">
        <is>
          <t>Add up Americas + China + RoW ending stores. Should tie to the 10-K total company-operated count.</t>
        </is>
      </c>
      <c r="J18" s="51" t="inlineStr">
        <is>
          <t>Revenue Drivers: total-stores formula</t>
        </is>
      </c>
      <c r="K18" s="19">
        <f>Americas ending + China ending + RoW ending. Should foot to total company-operated stores.</f>
        <v/>
      </c>
    </row>
    <row r="19" ht="28" customHeight="1">
      <c r="A19" s="34" t="inlineStr">
        <is>
          <t>Avg square feet per store</t>
        </is>
      </c>
      <c r="B19" s="52" t="n">
        <v>4366</v>
      </c>
      <c r="C19" s="52" t="n">
        <v>4400</v>
      </c>
      <c r="D19" s="52" t="n">
        <v>4425</v>
      </c>
      <c r="E19" s="52" t="n">
        <v>4450</v>
      </c>
      <c r="F19" s="52" t="n">
        <v>4475</v>
      </c>
      <c r="G19" s="52" t="n">
        <v>4500</v>
      </c>
      <c r="H19" s="50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8" t="inlineStr">
        <is>
          <t>FY2025 10-K: sales per square foot</t>
        </is>
      </c>
      <c r="K19" s="19" t="inlineStr">
        <is>
          <t>Ctrl+F "sales per square foot were $1,426" → implied 3.54M sq ft / 811 stores ≈ 4,367 sq ft.</t>
        </is>
      </c>
    </row>
    <row r="20" ht="28" customHeight="1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  <c r="I20" s="17" t="inlineStr">
        <is>
          <t>Ending stores times avg sq ft per box. Gives you total fleet square footage for the productivity math.</t>
        </is>
      </c>
      <c r="J20" s="51" t="inlineStr">
        <is>
          <t>Revenue Drivers: total-sqft formula</t>
        </is>
      </c>
      <c r="K20" s="19">
        <f>total ending stores × avg sq ft per store. Fleet size in square feet for the productivity lines.</f>
        <v/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8" t="inlineStr">
        <is>
          <t>Justification</t>
        </is>
      </c>
      <c r="J23" s="48" t="inlineStr">
        <is>
          <t>Source</t>
        </is>
      </c>
      <c r="K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2" t="n">
        <v>1426</v>
      </c>
      <c r="C24" s="52" t="n">
        <v>1360</v>
      </c>
      <c r="D24" s="52" t="n">
        <v>1380</v>
      </c>
      <c r="E24" s="52" t="n">
        <v>1400</v>
      </c>
      <c r="F24" s="52" t="n">
        <v>1420</v>
      </c>
      <c r="G24" s="52" t="n">
        <v>1440</v>
      </c>
      <c r="H24" s="50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8" t="inlineStr">
        <is>
          <t>FY2025 10-K: comparable sales &amp; SPSF</t>
        </is>
      </c>
      <c r="K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6" t="n">
        <v>-0.03</v>
      </c>
      <c r="C25" s="56" t="n">
        <v>-0.04</v>
      </c>
      <c r="D25" s="56" t="n">
        <v>0</v>
      </c>
      <c r="E25" s="56" t="n">
        <v>0.01</v>
      </c>
      <c r="F25" s="56" t="n">
        <v>0.02</v>
      </c>
      <c r="G25" s="56" t="n">
        <v>0.02</v>
      </c>
      <c r="H25" s="50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8" t="inlineStr">
        <is>
          <t>FY2025 10-K: Americas comparable sales</t>
        </is>
      </c>
      <c r="K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6" t="n">
        <v>0.2</v>
      </c>
      <c r="C26" s="56" t="n">
        <v>0.14</v>
      </c>
      <c r="D26" s="56" t="n">
        <v>0.12</v>
      </c>
      <c r="E26" s="56" t="n">
        <v>0.1</v>
      </c>
      <c r="F26" s="56" t="n">
        <v>0.08</v>
      </c>
      <c r="G26" s="56" t="n">
        <v>0.07000000000000001</v>
      </c>
      <c r="H26" s="50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8" t="inlineStr">
        <is>
          <t>FY2025 10-K: China Mainland comparable sales</t>
        </is>
      </c>
      <c r="K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6" t="n">
        <v>0.09</v>
      </c>
      <c r="C27" s="56" t="n">
        <v>0.07000000000000001</v>
      </c>
      <c r="D27" s="56" t="n">
        <v>0.06</v>
      </c>
      <c r="E27" s="56" t="n">
        <v>0.05</v>
      </c>
      <c r="F27" s="56" t="n">
        <v>0.04</v>
      </c>
      <c r="G27" s="56" t="n">
        <v>0.04</v>
      </c>
      <c r="H27" s="50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8" t="inlineStr">
        <is>
          <t>FY2025 10-K: Rest of World comparable sales</t>
        </is>
      </c>
      <c r="K27" s="19" t="inlineStr">
        <is>
          <t>Ctrl+F "Rest of World comparable sales increased 9%" → FY25 +9% (+7% CCY). FY26 model +7%, fading to +4%.</t>
        </is>
      </c>
    </row>
    <row r="28" ht="28" customHeight="1">
      <c r="A28" s="34" t="inlineStr">
        <is>
          <t>Prior-year store channel revenue ($000)</t>
        </is>
      </c>
      <c r="B28" s="57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  <c r="I28" s="17" t="inlineStr">
        <is>
          <t>Last year's total store-channel revenue — the base you're growing comps off of, not the new boxes.</t>
        </is>
      </c>
      <c r="J28" s="51" t="inlineStr">
        <is>
          <t>Revenue Drivers: prior store-rev formula</t>
        </is>
      </c>
      <c r="K28" s="19">
        <f>prior column's total store-channel revenue. Base you're applying comps to — not new-store contribution.</f>
        <v/>
      </c>
    </row>
    <row r="29" ht="28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17" t="inlineStr">
        <is>
          <t>Existing-store sales only — prior store rev grown by geo comp %. New doors are a separate line, not in here.</t>
        </is>
      </c>
      <c r="J29" s="51" t="inlineStr">
        <is>
          <t>Revenue Drivers: comp-store formula</t>
        </is>
      </c>
      <c r="K29" s="19">
        <f>prior store rev×(71%×(1+Am comp)+16%×(1+China)+13%×(1+RoW)). Existing base only — new stores are on the next row.</f>
        <v/>
      </c>
    </row>
    <row r="30" ht="28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  <c r="J30" s="51" t="inlineStr">
        <is>
          <t>Revenue Drivers: net-new-store formula</t>
        </is>
      </c>
      <c r="K30" s="19">
        <f>(open−close each geo)×sq ft×$/sq ft → raw annual $. /1000 flips that to $000 (this whole tab is thousands). ×0.55 = year-one haircut — new boxes don't run at full SPSF yet. FY27 ex: (D7−D8+D11−D12+D15−D16)×D19×D24/1000×0.55.</f>
        <v/>
      </c>
    </row>
    <row r="31" ht="28" customHeight="1">
      <c r="A31" s="53" t="inlineStr">
        <is>
          <t>Store channel revenue ($000)</t>
        </is>
      </c>
      <c r="B31" s="55" t="n">
        <v>5049744</v>
      </c>
      <c r="C31" s="54">
        <f>C29+C30</f>
        <v/>
      </c>
      <c r="D31" s="54">
        <f>D29+D30</f>
        <v/>
      </c>
      <c r="E31" s="54">
        <f>E29+E30</f>
        <v/>
      </c>
      <c r="F31" s="54">
        <f>F29+F30</f>
        <v/>
      </c>
      <c r="G31" s="54">
        <f>G29+G30</f>
        <v/>
      </c>
      <c r="I31" s="17" t="inlineStr">
        <is>
          <t>Brick-and-mortar channel = comp store sales plus whatever the net new stores contributed. That's the whole store line.</t>
        </is>
      </c>
      <c r="J31" s="51" t="inlineStr">
        <is>
          <t>Revenue Drivers: store-channel formula</t>
        </is>
      </c>
      <c r="K31" s="19">
        <f>comparable store revenue + net new store revenue. Full brick-and-mortar channel for the year.</f>
        <v/>
      </c>
    </row>
    <row r="32" ht="28" customHeight="1">
      <c r="A32" s="34" t="inlineStr">
        <is>
          <t xml:space="preserve">  memo: fleet traffic (millions of visits)</t>
        </is>
      </c>
      <c r="B32" s="58" t="n">
        <v>42.5</v>
      </c>
      <c r="C32" s="58" t="n">
        <v>40</v>
      </c>
      <c r="D32" s="58" t="n">
        <v>41</v>
      </c>
      <c r="E32" s="58" t="n">
        <v>42</v>
      </c>
      <c r="F32" s="58" t="n">
        <v>43</v>
      </c>
      <c r="G32" s="58" t="n">
        <v>44</v>
      </c>
      <c r="H32" s="50" t="inlineStr">
        <is>
          <t>M visits</t>
        </is>
      </c>
      <c r="I32" s="17" t="inlineStr">
        <is>
          <t>Fleet traffic memo line — not a separate FCF item. Calibrated to FY25 store productivity commentary.</t>
        </is>
      </c>
      <c r="J32" s="18" t="inlineStr">
        <is>
          <t>FY2025 10-K: store traffic commentary</t>
        </is>
      </c>
      <c r="K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6" t="n">
        <v>0.28</v>
      </c>
      <c r="C33" s="56" t="n">
        <v>0.27</v>
      </c>
      <c r="D33" s="56" t="n">
        <v>0.275</v>
      </c>
      <c r="E33" s="56" t="n">
        <v>0.28</v>
      </c>
      <c r="F33" s="56" t="n">
        <v>0.285</v>
      </c>
      <c r="G33" s="56" t="n">
        <v>0.29</v>
      </c>
      <c r="I33" s="17" t="inlineStr">
        <is>
          <t>In-store conversion memo — 10-K cites lower conversion in Americas; FY26 27% improving to 29%.</t>
        </is>
      </c>
      <c r="J33" s="18" t="inlineStr">
        <is>
          <t>FY2025 10-K: conversion rate commentary</t>
        </is>
      </c>
      <c r="K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59" t="n">
        <v>118</v>
      </c>
      <c r="C34" s="59" t="n">
        <v>115</v>
      </c>
      <c r="D34" s="59" t="n">
        <v>116</v>
      </c>
      <c r="E34" s="59" t="n">
        <v>118</v>
      </c>
      <c r="F34" s="59" t="n">
        <v>120</v>
      </c>
      <c r="G34" s="59" t="n">
        <v>122</v>
      </c>
      <c r="I34" s="17" t="inlineStr">
        <is>
          <t>In-store average transaction $115–$122; supports SPSF and comp-sales bridge on the driver tab.</t>
        </is>
      </c>
      <c r="J34" s="18" t="inlineStr">
        <is>
          <t>FY2025 10-K: average order value commentary</t>
        </is>
      </c>
      <c r="K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8" t="inlineStr">
        <is>
          <t>Justification</t>
        </is>
      </c>
      <c r="J37" s="48" t="inlineStr">
        <is>
          <t>Source</t>
        </is>
      </c>
      <c r="K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2" t="n">
        <v>485</v>
      </c>
      <c r="C38" s="52" t="n">
        <v>485</v>
      </c>
      <c r="D38" s="52" t="n">
        <v>505</v>
      </c>
      <c r="E38" s="52" t="n">
        <v>525</v>
      </c>
      <c r="F38" s="52" t="n">
        <v>545</v>
      </c>
      <c r="G38" s="52" t="n">
        <v>560</v>
      </c>
      <c r="H38" s="50" t="inlineStr">
        <is>
          <t>M</t>
        </is>
      </c>
      <c r="I38" s="17" t="inlineStr">
        <is>
          <t>485M FY25 sessions implied from reported e-comm revenue / conv / AOV. FY26 −3% on Americas softness.</t>
        </is>
      </c>
      <c r="J38" s="18" t="inlineStr">
        <is>
          <t>FY2025 10-K: e-commerce revenue</t>
        </is>
      </c>
      <c r="K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6" t="n">
        <v>0.033</v>
      </c>
      <c r="C39" s="56" t="n">
        <v>0.033</v>
      </c>
      <c r="D39" s="56" t="n">
        <v>0.034</v>
      </c>
      <c r="E39" s="56" t="n">
        <v>0.035</v>
      </c>
      <c r="F39" s="56" t="n">
        <v>0.035</v>
      </c>
      <c r="G39" s="56" t="n">
        <v>0.036</v>
      </c>
      <c r="I39" s="17" t="inlineStr">
        <is>
          <t>3.3% FY26 digital conversion vs 3.5% pressure cited in 10-K Americas; gradual recovery to 3.6%.</t>
        </is>
      </c>
      <c r="J39" s="18" t="inlineStr">
        <is>
          <t>FY2025 10-K: digital / traffic commentary</t>
        </is>
      </c>
      <c r="K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59" t="n">
        <v>307</v>
      </c>
      <c r="C40" s="59" t="n">
        <v>305</v>
      </c>
      <c r="D40" s="59" t="n">
        <v>308</v>
      </c>
      <c r="E40" s="59" t="n">
        <v>310</v>
      </c>
      <c r="F40" s="59" t="n">
        <v>312</v>
      </c>
      <c r="G40" s="59" t="n">
        <v>315</v>
      </c>
      <c r="I40" s="17" t="inlineStr">
        <is>
          <t>AOV $305 FY26 on promo intensity; steps to $315 by FY30 as mix normalizes.</t>
        </is>
      </c>
      <c r="J40" s="18" t="inlineStr">
        <is>
          <t>FY2025 10-K: e-commerce revenue</t>
        </is>
      </c>
      <c r="K40" s="19" t="inlineStr">
        <is>
          <t>Ctrl+F "average order value" (Americas MD&amp;A). FY26 model $305 AOV.</t>
        </is>
      </c>
    </row>
    <row r="41" ht="28" customHeight="1">
      <c r="A41" s="53" t="inlineStr">
        <is>
          <t>E-commerce revenue ($000)</t>
        </is>
      </c>
      <c r="B41" s="55" t="n">
        <v>4918697</v>
      </c>
      <c r="C41" s="54">
        <f>C38*1000000*C39*C40/1000</f>
        <v/>
      </c>
      <c r="D41" s="54">
        <f>D38*1000000*D39*D40/1000</f>
        <v/>
      </c>
      <c r="E41" s="54">
        <f>E38*1000000*E39*E40/1000</f>
        <v/>
      </c>
      <c r="F41" s="54">
        <f>F38*1000000*F39*F40/1000</f>
        <v/>
      </c>
      <c r="G41" s="54">
        <f>G38*1000000*G39*G40/1000</f>
        <v/>
      </c>
      <c r="I41" s="17" t="inlineStr">
        <is>
          <t>Traffic × conversion × AOV is dollars. ×1M 'cause sessions are in millions; /1000 puts it in $000 like everything else.</t>
        </is>
      </c>
      <c r="J41" s="51" t="inlineStr">
        <is>
          <t>Revenue Drivers: e-comm formula</t>
        </is>
      </c>
      <c r="K41" s="19">
        <f>sessions×1,000,000×conversion×AOV/1000 → e-comm $000. ×1M 'cause sessions are millions; /1000 matches tab units.</f>
        <v/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8" t="inlineStr">
        <is>
          <t>Justification</t>
        </is>
      </c>
      <c r="J44" s="48" t="inlineStr">
        <is>
          <t>Source</t>
        </is>
      </c>
      <c r="K44" s="48" t="inlineStr">
        <is>
          <t>Ctrl+F</t>
        </is>
      </c>
    </row>
    <row r="45" ht="42" customHeight="1">
      <c r="A45" s="34" t="inlineStr">
        <is>
          <t>Other channels (wholesale / license / outlets) ($000)</t>
        </is>
      </c>
      <c r="B45" s="57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19" t="inlineStr">
        <is>
          <t>Other channels (wholesale/license/outlets) held at FY25 $1.13B base; low-single-digit growth thereafter.
Formula: Take last year's other-channel revenue and grow it by your assumed %. Wholesale/license/outlets — not stores or dot-com.</t>
        </is>
      </c>
      <c r="J45" s="22" t="inlineStr">
        <is>
          <t>FY2025 10-K: channel revenue table
Formula: Revenue Drivers: other-rev formula</t>
        </is>
      </c>
      <c r="K45" s="19" t="inlineStr">
        <is>
          <t>Ctrl+F "Company-operated stores" and "E-commerce" → residual other channels ≈ $1.13B.
Formula: =prior other-channel rev × (1 + growth %). Wholesale/license/outlets — grown off last year.</t>
        </is>
      </c>
    </row>
    <row r="46" ht="42" customHeight="1">
      <c r="A46" s="34" t="inlineStr">
        <is>
          <t xml:space="preserve">  Americas net revenue ($000)</t>
        </is>
      </c>
      <c r="B46" s="57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19" t="inlineStr">
        <is>
          <t>Geographic split scales with consolidated growth; FY25 Americas 70.7% of revenue per 10-K segment table.
Formula: Hold the FY25 geo mix, scale each region by how much total revenue grew vs last year. Quick way to split the top line.</t>
        </is>
      </c>
      <c r="J46" s="22" t="inlineStr">
        <is>
          <t>FY2025 10-K: segmented net revenue
Formula: Revenue Drivers: geo-scale formula</t>
        </is>
      </c>
      <c r="K46" s="19" t="inlineStr">
        <is>
          <t>Ctrl+F "Americas" segment table → $7,847,044 net revenue (70.7%).
Formula: =FY25 geo rev × (this year's total rev ÷ FY25 total rev). Keeps mix, moves with consolidated growth.</t>
        </is>
      </c>
    </row>
    <row r="47" ht="42" customHeight="1">
      <c r="A47" s="34" t="inlineStr">
        <is>
          <t xml:space="preserve">  China Mainland net revenue ($000)</t>
        </is>
      </c>
      <c r="B47" s="57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19" t="inlineStr">
        <is>
          <t>China 15.8% of FY25 revenue; fastest comp and store growth — expansion market in the driver schedule.
Formula: Hold the FY25 geo mix, scale each region by how much total revenue grew vs last year. Quick way to split the top line.</t>
        </is>
      </c>
      <c r="J47" s="22" t="inlineStr">
        <is>
          <t>FY2025 10-K: segmented net revenue
Formula: Revenue Drivers: geo-scale formula</t>
        </is>
      </c>
      <c r="K47" s="19" t="inlineStr">
        <is>
          <t>Ctrl+F "China Mainland" segment → $1,754,799 net revenue (15.8%).
Formula: =FY25 geo rev × (this year's total rev ÷ FY25 total rev). Keeps mix, moves with consolidated growth.</t>
        </is>
      </c>
    </row>
    <row r="48" ht="42" customHeight="1">
      <c r="A48" s="34" t="inlineStr">
        <is>
          <t xml:space="preserve">  Rest of World net revenue ($000)</t>
        </is>
      </c>
      <c r="B48" s="57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19" t="inlineStr">
        <is>
          <t>Rest of World 13.5% of FY25 revenue; mid-single-digit comps and steady openings.
Formula: Hold the FY25 geo mix, scale each region by how much total revenue grew vs last year. Quick way to split the top line.</t>
        </is>
      </c>
      <c r="J48" s="22" t="inlineStr">
        <is>
          <t>FY2025 10-K: segmented net revenue
Formula: Revenue Drivers: geo-scale formula</t>
        </is>
      </c>
      <c r="K48" s="19" t="inlineStr">
        <is>
          <t>Ctrl+F "Rest of World" segment → $1,500,757 net revenue (13.5%).
Formula: =FY25 geo rev × (this year's total rev ÷ FY25 total rev). Keeps mix, moves with consolidated growth.</t>
        </is>
      </c>
    </row>
    <row r="49" ht="28" customHeight="1">
      <c r="A49" s="34" t="inlineStr">
        <is>
          <t>Women's % of revenue</t>
        </is>
      </c>
      <c r="B49" s="56" t="n">
        <v>0.63</v>
      </c>
      <c r="C49" s="56" t="n">
        <v>0.62</v>
      </c>
      <c r="D49" s="56" t="n">
        <v>0.615</v>
      </c>
      <c r="E49" s="56" t="n">
        <v>0.61</v>
      </c>
      <c r="F49" s="56" t="n">
        <v>0.605</v>
      </c>
      <c r="G49" s="56" t="n">
        <v>0.6</v>
      </c>
      <c r="I49" s="17" t="inlineStr">
        <is>
          <t>Women's mix fades 62.5%→60% as men's penetrates; FY25 reported 63% women's per 10-K category disclosure.</t>
        </is>
      </c>
      <c r="J49" s="18" t="inlineStr">
        <is>
          <t>FY2025 10-K: product category mix</t>
        </is>
      </c>
      <c r="K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6" t="n">
        <v>0.24</v>
      </c>
      <c r="C50" s="56" t="n">
        <v>0.25</v>
      </c>
      <c r="D50" s="56" t="n">
        <v>0.255</v>
      </c>
      <c r="E50" s="56" t="n">
        <v>0.26</v>
      </c>
      <c r="F50" s="56" t="n">
        <v>0.265</v>
      </c>
      <c r="G50" s="56" t="n">
        <v>0.27</v>
      </c>
      <c r="I50" s="17" t="inlineStr">
        <is>
          <t>Men's mix rises 24.5%→27%; FY25 men's grew 4% vs women's 5% per 10-K category commentary.</t>
        </is>
      </c>
      <c r="J50" s="18" t="inlineStr">
        <is>
          <t>FY2025 10-K: product category mix</t>
        </is>
      </c>
      <c r="K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6" t="n">
        <v>0.13</v>
      </c>
      <c r="C51" s="56" t="n">
        <v>0.13</v>
      </c>
      <c r="D51" s="56" t="n">
        <v>0.13</v>
      </c>
      <c r="E51" s="56" t="n">
        <v>0.13</v>
      </c>
      <c r="F51" s="56" t="n">
        <v>0.13</v>
      </c>
      <c r="G51" s="56" t="n">
        <v>0.13</v>
      </c>
      <c r="I51" s="17" t="inlineStr">
        <is>
          <t>Accessories steady at 13% of revenue; FY25 accessories +8% per 10-K category disclosure.</t>
        </is>
      </c>
      <c r="J51" s="18" t="inlineStr">
        <is>
          <t>FY2025 10-K: product category mix</t>
        </is>
      </c>
      <c r="K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8" t="inlineStr">
        <is>
          <t>Justification</t>
        </is>
      </c>
      <c r="J54" s="48" t="inlineStr">
        <is>
          <t>Source</t>
        </is>
      </c>
      <c r="K54" s="48" t="inlineStr">
        <is>
          <t>Ctrl+F</t>
        </is>
      </c>
    </row>
    <row r="55" ht="28" customHeight="1">
      <c r="A55" s="60" t="inlineStr">
        <is>
          <t>Bottom-up total revenue ($000)</t>
        </is>
      </c>
      <c r="B55" s="61" t="n">
        <v>11102600</v>
      </c>
      <c r="C55" s="62">
        <f>C31+C41+C45</f>
        <v/>
      </c>
      <c r="D55" s="62">
        <f>D31+D41+D45</f>
        <v/>
      </c>
      <c r="E55" s="62">
        <f>E31+E41+E45</f>
        <v/>
      </c>
      <c r="F55" s="62">
        <f>F31+F41+F45</f>
        <v/>
      </c>
      <c r="G55" s="62">
        <f>G31+G41+G45</f>
        <v/>
      </c>
      <c r="I55" s="17" t="inlineStr">
        <is>
          <t>Bottom-up total = store channel + e-comm + other. That's your driver-built revenue before you check Scenarios.</t>
        </is>
      </c>
      <c r="J55" s="51" t="inlineStr">
        <is>
          <t>Revenue Drivers: total-rev formula</t>
        </is>
      </c>
      <c r="K55" s="19">
        <f>store channel + e-commerce + other. Bottom-up top line before you reconcile to Scenarios.</f>
        <v/>
      </c>
    </row>
    <row r="56" ht="28" customHeight="1">
      <c r="A56" s="34" t="inlineStr">
        <is>
          <t>Scenarios base-case revenue ($000)</t>
        </is>
      </c>
      <c r="B56" s="57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  <c r="I56" s="17" t="inlineStr">
        <is>
          <t>Pulls the Scenarios base-case revenue path — that's still the number the DCF actually uses, not the driver total.</t>
        </is>
      </c>
      <c r="J56" s="51" t="inlineStr">
        <is>
          <t>Scenarios tab: base revenue</t>
        </is>
      </c>
      <c r="K56" s="19">
        <f>Scenarios! base-case revenue. DCF still runs off this path — not the driver total.</f>
        <v/>
      </c>
    </row>
    <row r="57" ht="28" customHeight="1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  <c r="I57" s="17" t="inlineStr">
        <is>
          <t>Driver-built revenue minus Scenarios revenue. Shows you how far off the bottom-up path is from what you're valuing on.</t>
        </is>
      </c>
      <c r="J57" s="51" t="inlineStr">
        <is>
          <t>Revenue Drivers: variance formula</t>
        </is>
      </c>
      <c r="K57" s="19">
        <f>bottom-up total − Scenarios revenue. Positive = drivers above Scenarios; negative = below.</f>
        <v/>
      </c>
    </row>
    <row r="58" ht="28" customHeight="1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I58" s="17" t="inlineStr">
        <is>
          <t>Variance as a percent of Scenarios revenue. Easy read on whether the driver schedule is close or way out of line.</t>
        </is>
      </c>
      <c r="J58" s="51" t="inlineStr">
        <is>
          <t>Revenue Drivers: variance % formula</t>
        </is>
      </c>
      <c r="K58" s="19">
        <f>variance ÷ Scenarios revenue. Quick % read on how far the driver build is from the valuation path.</f>
        <v/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1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1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1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1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1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1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1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1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1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1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1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2026-09-07T21:11:39Z</dcterms:created>
  <dcterms:modified xmlns:dcterms="http://purl.org/dc/terms/" xmlns:xsi="http://www.w3.org/2001/XMLSchema-instance" xsi:type="dcterms:W3CDTF">2026-09-07T21:11:39Z</dcterms:modified>
</cp:coreProperties>
</file>
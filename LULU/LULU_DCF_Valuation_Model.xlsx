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finance.yahoo.com/quote/LULU/key-statistics/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tern.nyu.edu/~adamodar/New_Home_Page/datafile/taxrate.html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www.stern.nyu.edu/~adamodar/New_Home_Page/datafile/taxrate.html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fred.stlouisfed.org/series/GDPC1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nasdaq.com/market-activity/stocks/lulu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tern.nyu.edu/~adamodar/New_Home_Page/datafile/histimpl.html" TargetMode="External" Id="rId20"/><Relationship Type="http://schemas.openxmlformats.org/officeDocument/2006/relationships/hyperlink" Target="https://fred.stlouisfed.org/series/GDPC1" TargetMode="External" Id="rId2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finance.yahoo.com/quote/NKE/key-statistics/" TargetMode="External" Id="rId12"/><Relationship Type="http://schemas.openxmlformats.org/officeDocument/2006/relationships/hyperlink" Target="https://finance.yahoo.com/quote/DECK/key-statistics/" TargetMode="External" Id="rId13"/><Relationship Type="http://schemas.openxmlformats.org/officeDocument/2006/relationships/hyperlink" Target="https://finance.yahoo.com/quote/ONON/key-statistics/" TargetMode="External" Id="rId14"/><Relationship Type="http://schemas.openxmlformats.org/officeDocument/2006/relationships/hyperlink" Target="https://finance.yahoo.com/quote/ADDYY/key-statistics/" TargetMode="External" Id="rId15"/><Relationship Type="http://schemas.openxmlformats.org/officeDocument/2006/relationships/hyperlink" Target="https://finance.yahoo.com/quote/VFC/key-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finance.yahoo.com/quote/LULU/key-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"10-K" → FY2025 accession 0001397187-26-000020</t>
        </is>
      </c>
    </row>
    <row r="19" ht="36" customHeight="1">
      <c r="B19" s="10" t="inlineStr">
        <is>
          <t>FY2025 Form 10-K (ended Feb 1, 2026)
Ctrl+F: "CONSOLIDATED STATEMENTS OF OPERATIONS" or "CONSOLIDATED BALANCE SHEETS"</t>
        </is>
      </c>
    </row>
    <row r="20" ht="36" customHeight="1">
      <c r="B20" s="10" t="inlineStr">
        <is>
          <t>Market data &amp; Q2 FY2026 results (Sep 3, 2026 earnings release)
Ctrl+F: "full year 2026" | "net revenue" | "diluted earnings per share"</t>
        </is>
      </c>
    </row>
    <row r="21" ht="36" customHeight="1">
      <c r="B21" s="10" t="inlineStr">
        <is>
          <t>Current share price (NASDAQ: LULU)
Ctrl+F: "LULU" → Last Sale /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4.3% risk-free anchored to FRED 10Y Treasury (DGS10); rounded early-Sep-2026 level for DCF stability.</t>
        </is>
      </c>
      <c r="C3" s="18" t="inlineStr">
        <is>
          <t>FRED: 10Y Treasury (DGS10)</t>
        </is>
      </c>
      <c r="D3" s="19" t="inlineStr">
        <is>
          <t>"DGS10" → read top table row (latest date); Sep 2, 2026 ≈ 4.28% → model 4.3%</t>
        </is>
      </c>
      <c r="E3" s="20" t="n">
        <v>0.043</v>
      </c>
    </row>
    <row r="4" ht="36" customHeight="1">
      <c r="A4" s="16" t="inlineStr">
        <is>
          <t>Equity risk premium</t>
        </is>
      </c>
      <c r="B4" s="17" t="inlineStr">
        <is>
          <t>6.0% additive ERP; conservative vs Damodaran implied ~4.2% (Jan-26); within long-run historical US range.</t>
        </is>
      </c>
      <c r="C4" s="18" t="inlineStr">
        <is>
          <t>Damodaran: Historical Implied ERP</t>
        </is>
      </c>
      <c r="D4" s="19" t="inlineStr">
        <is>
          <t>"Implied ERP (FCFE)" → Jan-2026 row ≈ 4.23%; model uses 6.0%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~0.86 market; modest uplift for near-term earnings volatility and post-guidance de-rating.</t>
        </is>
      </c>
      <c r="C5" s="18" t="inlineStr">
        <is>
          <t>Yahoo Finance: LULU Beta</t>
        </is>
      </c>
      <c r="D5" s="19" t="inlineStr">
        <is>
          <t>"Beta (5Y Monthly)" → Yahoo shows ≈ 0.86; model 0.95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LULU has no funded term debt, only an undrawn revolving credit facility.</t>
        </is>
      </c>
      <c r="C9" s="18" t="inlineStr">
        <is>
          <t>LULU FY2025 10-K (no funded debt)</t>
        </is>
      </c>
      <c r="D9" s="19" t="inlineStr">
        <is>
          <t>"no outstanding borrowings" or "revolving credit facility" → no funded term debt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27% normalized marginal cash tax rate; mid-point between recent effective rates and US federal-plus-state blend.</t>
        </is>
      </c>
      <c r="C10" s="18" t="inlineStr">
        <is>
          <t>Damodaran: US tax rate dataset</t>
        </is>
      </c>
      <c r="D10" s="19" t="inlineStr">
        <is>
          <t>"United States" → Damodaran effective tax rate ~25%; model 27%</t>
        </is>
      </c>
      <c r="E10" s="20" t="n">
        <v>0.27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"Cash and cash equivalents" → $1,807,202 | "Long-term debt" → $0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"Long-term debt" → none outstanding;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"full year 2026" → "net revenue" → "decrease of 5% to 7%" |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2.8% avg FY27–30 growth assumes gradual recovery; well below historical double-digit LULU revenue expansion.</t>
        </is>
      </c>
      <c r="C5" s="18" t="inlineStr">
        <is>
          <t>LULU historical revenue (10-K)</t>
        </is>
      </c>
      <c r="D5" s="19" t="inlineStr">
        <is>
          <t>"Net revenue" → FY22 $8,110,518 | FY23 $9,619,278 | FY24 $10,588,126 | FY25 $11,102,600</t>
        </is>
      </c>
      <c r="F5" s="20" t="n">
        <v>-0.01</v>
      </c>
      <c r="G5" s="20" t="n">
        <v>0.028</v>
      </c>
      <c r="H5" s="20" t="n">
        <v>0.06</v>
      </c>
    </row>
    <row r="6" ht="36" customHeight="1">
      <c r="A6" s="16" t="inlineStr">
        <is>
          <t>FY2026E EBIT margin</t>
        </is>
      </c>
      <c r="B6" s="17" t="inlineStr">
        <is>
          <t>13.9% FY2026 EBIT margin reflects Americas weakness and guided compression; above bear, below historical peak.</t>
        </is>
      </c>
      <c r="C6" s="18" t="inlineStr">
        <is>
          <t>LULU Q2 FY2026 earnings release</t>
        </is>
      </c>
      <c r="D6" s="19" t="inlineStr">
        <is>
          <t>"full year 2026" → margin commentary; base EBIT margin 13.9% (model assumption)</t>
        </is>
      </c>
      <c r="F6" s="20" t="n">
        <v>0.125</v>
      </c>
      <c r="G6" s="20" t="n">
        <v>0.139</v>
      </c>
      <c r="H6" s="20" t="n">
        <v>0.15</v>
      </c>
    </row>
    <row r="7" ht="36" customHeight="1">
      <c r="A7" s="16" t="inlineStr">
        <is>
          <t>Terminal (FY2030E) EBIT margin</t>
        </is>
      </c>
      <c r="B7" s="17" t="inlineStr">
        <is>
          <t>15.5% FY2030 EBIT margin assumes partial recovery; still materially below ~20–24% peak operating margins.</t>
        </is>
      </c>
      <c r="C7" s="18" t="inlineStr">
        <is>
          <t>LULU historical EBIT margins (10-K)</t>
        </is>
      </c>
      <c r="D7" s="19" t="inlineStr">
        <is>
          <t>"Income from operations" ÷ "Net revenue" → FY25 $2,210,615 / $11,102,600 = 19.9%</t>
        </is>
      </c>
      <c r="F7" s="20" t="n">
        <v>0.12</v>
      </c>
      <c r="G7" s="20" t="n">
        <v>0.155</v>
      </c>
      <c r="H7" s="20" t="n">
        <v>0.19</v>
      </c>
    </row>
    <row r="8" ht="36" customHeight="1">
      <c r="A8" s="16" t="inlineStr">
        <is>
          <t>WACC</t>
        </is>
      </c>
      <c r="B8" s="17" t="inlineStr">
        <is>
          <t>10.0% base WACC ties to CAPM build on WACC tab; drives scenario DCFs and base-case valuation.</t>
        </is>
      </c>
      <c r="C8" s="18" t="inlineStr">
        <is>
          <t>WACC tab: CAPM build</t>
        </is>
      </c>
      <c r="D8" s="19" t="inlineStr">
        <is>
          <t>WACC tab → cell E (green) = 10.0%</t>
        </is>
      </c>
      <c r="F8" s="20" t="n">
        <v>0.11</v>
      </c>
      <c r="G8" s="20" t="n">
        <v>0.1</v>
      </c>
      <c r="H8" s="20" t="n">
        <v>0.09</v>
      </c>
    </row>
    <row r="9" ht="36" customHeight="1">
      <c r="A9" s="16" t="inlineStr">
        <is>
          <t>Terminal growth</t>
        </is>
      </c>
      <c r="B9" s="17" t="inlineStr">
        <is>
          <t>2.25% terminal growth approximates long-run GDP plus inflation; conservative perpetuity rate for mature apparel.</t>
        </is>
      </c>
      <c r="C9" s="18" t="inlineStr">
        <is>
          <t>FRED: Real GDP (GDPC1)</t>
        </is>
      </c>
      <c r="D9" s="19" t="inlineStr">
        <is>
          <t>"GDPC1" → FRED Units: Percent Change from Year Ago; long-run ≈ 2%; model 2.25%</t>
        </is>
      </c>
      <c r="F9" s="20" t="n">
        <v>0.015</v>
      </c>
      <c r="G9" s="20" t="n">
        <v>0.0225</v>
      </c>
      <c r="H9" s="20" t="n">
        <v>0.03</v>
      </c>
    </row>
    <row r="10" ht="36" customHeight="1">
      <c r="A10" s="16" t="inlineStr">
        <is>
          <t>Cash tax rate</t>
        </is>
      </c>
      <c r="B10" s="17" t="inlineStr">
        <is>
          <t>27% cash tax rate for scenario FCF; consistent with WACC normalized rate and DCF unlevered cash conversion.</t>
        </is>
      </c>
      <c r="C10" s="18" t="inlineStr">
        <is>
          <t>Damodaran: US tax rate dataset</t>
        </is>
      </c>
      <c r="D10" s="19" t="inlineStr">
        <is>
          <t>"Provision for income taxes" ÷ "Income before income taxes" → FY25 $659,784 / $2,238,967 = 29.5%</t>
        </is>
      </c>
      <c r="F10" s="20" t="n">
        <v>0.3</v>
      </c>
      <c r="G10" s="20" t="n">
        <v>0.27</v>
      </c>
      <c r="H10" s="20" t="n">
        <v>0.25</v>
      </c>
    </row>
    <row r="11" ht="36" customHeight="1">
      <c r="A11" s="16" t="inlineStr">
        <is>
          <t>D&amp;A % of revenue</t>
        </is>
      </c>
      <c r="B11" s="17" t="inlineStr">
        <is>
          <t>4.5% D&amp;A to revenue near FY22–25 average; reflects store fleet, distribution, and technology amortization load.</t>
        </is>
      </c>
      <c r="C11" s="18" t="inlineStr">
        <is>
          <t>LULU CF statement (10-K)</t>
        </is>
      </c>
      <c r="D11" s="19" t="inlineStr">
        <is>
          <t>"Depreciation and amortization" → FY25 $496,228; ÷ "Net revenue" $11,102,600 = 4.5%</t>
        </is>
      </c>
      <c r="F11" s="20" t="n">
        <v>0.045</v>
      </c>
      <c r="G11" s="20" t="n">
        <v>0.045</v>
      </c>
      <c r="H11" s="20" t="n">
        <v>0.045</v>
      </c>
    </row>
    <row r="12" ht="36" customHeight="1">
      <c r="A12" s="16" t="inlineStr">
        <is>
          <t>Capex % of revenue</t>
        </is>
      </c>
      <c r="B12" s="17" t="inlineStr">
        <is>
          <t>5.0% capex to revenue aligned with recent investment intensity and continued global store expansion plans.</t>
        </is>
      </c>
      <c r="C12" s="18" t="inlineStr">
        <is>
          <t>LULU CF statement (10-K)</t>
        </is>
      </c>
      <c r="D12" s="19" t="inlineStr">
        <is>
          <t>"Capital expenditures" → FY25 $(680,802); ÷ "Net revenue" = 6.1%; model 5.0%</t>
        </is>
      </c>
      <c r="F12" s="20" t="n">
        <v>0.055</v>
      </c>
      <c r="G12" s="20" t="n">
        <v>0.05</v>
      </c>
      <c r="H12" s="20" t="n">
        <v>0.045</v>
      </c>
    </row>
    <row r="13" ht="36" customHeight="1">
      <c r="A13" s="16" t="inlineStr">
        <is>
          <t>NWC build % of Δrevenue</t>
        </is>
      </c>
      <c r="B13" s="17" t="inlineStr">
        <is>
          <t>7.5% of revenue change for ΔNWC; ties working-capital swings to sales trajectory per historical sensitivity.</t>
        </is>
      </c>
      <c r="C13" s="18" t="inlineStr">
        <is>
          <t>LULU BS/IS historical (10-K)</t>
        </is>
      </c>
      <c r="D13" s="19" t="inlineStr">
        <is>
          <t>"Inventories" $1,700,753 | "Accounts payable" $331,421 | "Accrued liabilities" $662,982</t>
        </is>
      </c>
      <c r="F13" s="20" t="n">
        <v>0.08</v>
      </c>
      <c r="G13" s="20" t="n">
        <v>0.075</v>
      </c>
      <c r="H13" s="20" t="n">
        <v>0.07000000000000001</v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F16" s="30">
        <f>11102600*(1+F4)</f>
        <v/>
      </c>
      <c r="G16" s="30">
        <f>11102600*(1+G4)</f>
        <v/>
      </c>
      <c r="H16" s="30">
        <f>11102600*(1+H4)</f>
        <v/>
      </c>
    </row>
    <row r="17">
      <c r="A17" s="29" t="inlineStr">
        <is>
          <t xml:space="preserve">  Revenue – year 2</t>
        </is>
      </c>
      <c r="F17" s="30">
        <f>F16*(1+F5)</f>
        <v/>
      </c>
      <c r="G17" s="30">
        <f>G16*(1+G5)</f>
        <v/>
      </c>
      <c r="H17" s="30">
        <f>H16*(1+H5)</f>
        <v/>
      </c>
    </row>
    <row r="18">
      <c r="A18" s="29" t="inlineStr">
        <is>
          <t xml:space="preserve">  Revenue – year 3</t>
        </is>
      </c>
      <c r="F18" s="30">
        <f>F17*(1+F5)</f>
        <v/>
      </c>
      <c r="G18" s="30">
        <f>G17*(1+G5)</f>
        <v/>
      </c>
      <c r="H18" s="30">
        <f>H17*(1+H5)</f>
        <v/>
      </c>
    </row>
    <row r="19">
      <c r="A19" s="29" t="inlineStr">
        <is>
          <t xml:space="preserve">  Revenue – year 4</t>
        </is>
      </c>
      <c r="F19" s="30">
        <f>F18*(1+F5)</f>
        <v/>
      </c>
      <c r="G19" s="30">
        <f>G18*(1+G5)</f>
        <v/>
      </c>
      <c r="H19" s="30">
        <f>H18*(1+H5)</f>
        <v/>
      </c>
    </row>
    <row r="20">
      <c r="A20" s="29" t="inlineStr">
        <is>
          <t xml:space="preserve">  Revenue – year 5</t>
        </is>
      </c>
      <c r="F20" s="30">
        <f>F19*(1+F5)</f>
        <v/>
      </c>
      <c r="G20" s="30">
        <f>G19*(1+G5)</f>
        <v/>
      </c>
      <c r="H20" s="30">
        <f>H19*(1+H5)</f>
        <v/>
      </c>
    </row>
    <row r="21">
      <c r="A21" s="29" t="inlineStr">
        <is>
          <t xml:space="preserve">  EBIT margin – year 1</t>
        </is>
      </c>
      <c r="F21" s="31">
        <f>F6+(F7-F6)*0/4</f>
        <v/>
      </c>
      <c r="G21" s="31">
        <f>G6+(G7-G6)*0/4</f>
        <v/>
      </c>
      <c r="H21" s="31">
        <f>H6+(H7-H6)*0/4</f>
        <v/>
      </c>
    </row>
    <row r="22">
      <c r="A22" s="29" t="inlineStr">
        <is>
          <t xml:space="preserve">  EBIT margin – year 2</t>
        </is>
      </c>
      <c r="F22" s="31">
        <f>F6+(F7-F6)*1/4</f>
        <v/>
      </c>
      <c r="G22" s="31">
        <f>G6+(G7-G6)*1/4</f>
        <v/>
      </c>
      <c r="H22" s="31">
        <f>H6+(H7-H6)*1/4</f>
        <v/>
      </c>
    </row>
    <row r="23">
      <c r="A23" s="29" t="inlineStr">
        <is>
          <t xml:space="preserve">  EBIT margin – year 3</t>
        </is>
      </c>
      <c r="F23" s="31">
        <f>F6+(F7-F6)*2/4</f>
        <v/>
      </c>
      <c r="G23" s="31">
        <f>G6+(G7-G6)*2/4</f>
        <v/>
      </c>
      <c r="H23" s="31">
        <f>H6+(H7-H6)*2/4</f>
        <v/>
      </c>
    </row>
    <row r="24">
      <c r="A24" s="29" t="inlineStr">
        <is>
          <t xml:space="preserve">  EBIT margin – year 4</t>
        </is>
      </c>
      <c r="F24" s="31">
        <f>F6+(F7-F6)*3/4</f>
        <v/>
      </c>
      <c r="G24" s="31">
        <f>G6+(G7-G6)*3/4</f>
        <v/>
      </c>
      <c r="H24" s="31">
        <f>H6+(H7-H6)*3/4</f>
        <v/>
      </c>
    </row>
    <row r="25">
      <c r="A25" s="29" t="inlineStr">
        <is>
          <t xml:space="preserve">  EBIT margin – year 5</t>
        </is>
      </c>
      <c r="F25" s="31">
        <f>F6+(F7-F6)*4/4</f>
        <v/>
      </c>
      <c r="G25" s="31">
        <f>G6+(G7-G6)*4/4</f>
        <v/>
      </c>
      <c r="H25" s="31">
        <f>H6+(H7-H6)*4/4</f>
        <v/>
      </c>
    </row>
    <row r="26">
      <c r="A26" s="29" t="inlineStr">
        <is>
          <t xml:space="preserve">  EBIT – year 1</t>
        </is>
      </c>
      <c r="F26" s="30">
        <f>F16*F21</f>
        <v/>
      </c>
      <c r="G26" s="30">
        <f>G16*G21</f>
        <v/>
      </c>
      <c r="H26" s="30">
        <f>H16*H21</f>
        <v/>
      </c>
    </row>
    <row r="27">
      <c r="A27" s="29" t="inlineStr">
        <is>
          <t xml:space="preserve">  EBIT – year 2</t>
        </is>
      </c>
      <c r="F27" s="30">
        <f>F17*F22</f>
        <v/>
      </c>
      <c r="G27" s="30">
        <f>G17*G22</f>
        <v/>
      </c>
      <c r="H27" s="30">
        <f>H17*H22</f>
        <v/>
      </c>
    </row>
    <row r="28">
      <c r="A28" s="29" t="inlineStr">
        <is>
          <t xml:space="preserve">  EBIT – year 3</t>
        </is>
      </c>
      <c r="F28" s="30">
        <f>F18*F23</f>
        <v/>
      </c>
      <c r="G28" s="30">
        <f>G18*G23</f>
        <v/>
      </c>
      <c r="H28" s="30">
        <f>H18*H23</f>
        <v/>
      </c>
    </row>
    <row r="29">
      <c r="A29" s="29" t="inlineStr">
        <is>
          <t xml:space="preserve">  EBIT – year 4</t>
        </is>
      </c>
      <c r="F29" s="30">
        <f>F19*F24</f>
        <v/>
      </c>
      <c r="G29" s="30">
        <f>G19*G24</f>
        <v/>
      </c>
      <c r="H29" s="30">
        <f>H19*H24</f>
        <v/>
      </c>
    </row>
    <row r="30">
      <c r="A30" s="29" t="inlineStr">
        <is>
          <t xml:space="preserve">  EBIT – year 5</t>
        </is>
      </c>
      <c r="F30" s="30">
        <f>F20*F25</f>
        <v/>
      </c>
      <c r="G30" s="30">
        <f>G20*G25</f>
        <v/>
      </c>
      <c r="H30" s="30">
        <f>H20*H25</f>
        <v/>
      </c>
    </row>
    <row r="31">
      <c r="A31" s="29" t="inlineStr">
        <is>
          <t xml:space="preserve">  NOPAT – year 1</t>
        </is>
      </c>
      <c r="F31" s="30">
        <f>F26*(1-F10)</f>
        <v/>
      </c>
      <c r="G31" s="30">
        <f>G26*(1-G10)</f>
        <v/>
      </c>
      <c r="H31" s="30">
        <f>H26*(1-H10)</f>
        <v/>
      </c>
    </row>
    <row r="32">
      <c r="A32" s="29" t="inlineStr">
        <is>
          <t xml:space="preserve">  NOPAT – year 2</t>
        </is>
      </c>
      <c r="F32" s="30">
        <f>F27*(1-F10)</f>
        <v/>
      </c>
      <c r="G32" s="30">
        <f>G27*(1-G10)</f>
        <v/>
      </c>
      <c r="H32" s="30">
        <f>H27*(1-H10)</f>
        <v/>
      </c>
    </row>
    <row r="33">
      <c r="A33" s="29" t="inlineStr">
        <is>
          <t xml:space="preserve">  NOPAT – year 3</t>
        </is>
      </c>
      <c r="F33" s="30">
        <f>F28*(1-F10)</f>
        <v/>
      </c>
      <c r="G33" s="30">
        <f>G28*(1-G10)</f>
        <v/>
      </c>
      <c r="H33" s="30">
        <f>H28*(1-H10)</f>
        <v/>
      </c>
    </row>
    <row r="34">
      <c r="A34" s="29" t="inlineStr">
        <is>
          <t xml:space="preserve">  NOPAT – year 4</t>
        </is>
      </c>
      <c r="F34" s="30">
        <f>F29*(1-F10)</f>
        <v/>
      </c>
      <c r="G34" s="30">
        <f>G29*(1-G10)</f>
        <v/>
      </c>
      <c r="H34" s="30">
        <f>H29*(1-H10)</f>
        <v/>
      </c>
    </row>
    <row r="35">
      <c r="A35" s="29" t="inlineStr">
        <is>
          <t xml:space="preserve">  NOPAT – year 5</t>
        </is>
      </c>
      <c r="F35" s="30">
        <f>F30*(1-F10)</f>
        <v/>
      </c>
      <c r="G35" s="30">
        <f>G30*(1-G10)</f>
        <v/>
      </c>
      <c r="H35" s="30">
        <f>H30*(1-H10)</f>
        <v/>
      </c>
    </row>
    <row r="36">
      <c r="A36" s="29" t="inlineStr">
        <is>
          <t xml:space="preserve">  D&amp;A – year 1</t>
        </is>
      </c>
      <c r="F36" s="30">
        <f>F16*F11</f>
        <v/>
      </c>
      <c r="G36" s="30">
        <f>G16*G11</f>
        <v/>
      </c>
      <c r="H36" s="30">
        <f>H16*H11</f>
        <v/>
      </c>
    </row>
    <row r="37">
      <c r="A37" s="29" t="inlineStr">
        <is>
          <t xml:space="preserve">  D&amp;A – year 2</t>
        </is>
      </c>
      <c r="F37" s="30">
        <f>F17*F11</f>
        <v/>
      </c>
      <c r="G37" s="30">
        <f>G17*G11</f>
        <v/>
      </c>
      <c r="H37" s="30">
        <f>H17*H11</f>
        <v/>
      </c>
    </row>
    <row r="38">
      <c r="A38" s="29" t="inlineStr">
        <is>
          <t xml:space="preserve">  D&amp;A – year 3</t>
        </is>
      </c>
      <c r="F38" s="30">
        <f>F18*F11</f>
        <v/>
      </c>
      <c r="G38" s="30">
        <f>G18*G11</f>
        <v/>
      </c>
      <c r="H38" s="30">
        <f>H18*H11</f>
        <v/>
      </c>
    </row>
    <row r="39">
      <c r="A39" s="29" t="inlineStr">
        <is>
          <t xml:space="preserve">  D&amp;A – year 4</t>
        </is>
      </c>
      <c r="F39" s="30">
        <f>F19*F11</f>
        <v/>
      </c>
      <c r="G39" s="30">
        <f>G19*G11</f>
        <v/>
      </c>
      <c r="H39" s="30">
        <f>H19*H11</f>
        <v/>
      </c>
    </row>
    <row r="40">
      <c r="A40" s="29" t="inlineStr">
        <is>
          <t xml:space="preserve">  D&amp;A – year 5</t>
        </is>
      </c>
      <c r="F40" s="30">
        <f>F20*F11</f>
        <v/>
      </c>
      <c r="G40" s="30">
        <f>G20*G11</f>
        <v/>
      </c>
      <c r="H40" s="30">
        <f>H20*H11</f>
        <v/>
      </c>
    </row>
    <row r="41">
      <c r="A41" s="29" t="inlineStr">
        <is>
          <t xml:space="preserve">  Capex – year 1</t>
        </is>
      </c>
      <c r="F41" s="30">
        <f>F16*F12</f>
        <v/>
      </c>
      <c r="G41" s="30">
        <f>G16*G12</f>
        <v/>
      </c>
      <c r="H41" s="30">
        <f>H16*H12</f>
        <v/>
      </c>
    </row>
    <row r="42">
      <c r="A42" s="29" t="inlineStr">
        <is>
          <t xml:space="preserve">  Capex – year 2</t>
        </is>
      </c>
      <c r="F42" s="30">
        <f>F17*F12</f>
        <v/>
      </c>
      <c r="G42" s="30">
        <f>G17*G12</f>
        <v/>
      </c>
      <c r="H42" s="30">
        <f>H17*H12</f>
        <v/>
      </c>
    </row>
    <row r="43">
      <c r="A43" s="29" t="inlineStr">
        <is>
          <t xml:space="preserve">  Capex – year 3</t>
        </is>
      </c>
      <c r="F43" s="30">
        <f>F18*F12</f>
        <v/>
      </c>
      <c r="G43" s="30">
        <f>G18*G12</f>
        <v/>
      </c>
      <c r="H43" s="30">
        <f>H18*H12</f>
        <v/>
      </c>
    </row>
    <row r="44">
      <c r="A44" s="29" t="inlineStr">
        <is>
          <t xml:space="preserve">  Capex – year 4</t>
        </is>
      </c>
      <c r="F44" s="30">
        <f>F19*F12</f>
        <v/>
      </c>
      <c r="G44" s="30">
        <f>G19*G12</f>
        <v/>
      </c>
      <c r="H44" s="30">
        <f>H19*H12</f>
        <v/>
      </c>
    </row>
    <row r="45">
      <c r="A45" s="29" t="inlineStr">
        <is>
          <t xml:space="preserve">  Capex – year 5</t>
        </is>
      </c>
      <c r="F45" s="30">
        <f>F20*F12</f>
        <v/>
      </c>
      <c r="G45" s="30">
        <f>G20*G12</f>
        <v/>
      </c>
      <c r="H45" s="30">
        <f>H20*H12</f>
        <v/>
      </c>
    </row>
    <row r="46">
      <c r="A46" s="29" t="inlineStr">
        <is>
          <t xml:space="preserve">  ΔNWC – year 1</t>
        </is>
      </c>
      <c r="F46" s="30">
        <f>F13*(F16-11102600)</f>
        <v/>
      </c>
      <c r="G46" s="30">
        <f>G13*(G16-11102600)</f>
        <v/>
      </c>
      <c r="H46" s="30">
        <f>H13*(H16-11102600)</f>
        <v/>
      </c>
    </row>
    <row r="47">
      <c r="A47" s="29" t="inlineStr">
        <is>
          <t xml:space="preserve">  ΔNWC – year 2</t>
        </is>
      </c>
      <c r="F47" s="30">
        <f>F13*(F17-F16)</f>
        <v/>
      </c>
      <c r="G47" s="30">
        <f>G13*(G17-G16)</f>
        <v/>
      </c>
      <c r="H47" s="30">
        <f>H13*(H17-H16)</f>
        <v/>
      </c>
    </row>
    <row r="48">
      <c r="A48" s="29" t="inlineStr">
        <is>
          <t xml:space="preserve">  ΔNWC – year 3</t>
        </is>
      </c>
      <c r="F48" s="30">
        <f>F13*(F18-F17)</f>
        <v/>
      </c>
      <c r="G48" s="30">
        <f>G13*(G18-G17)</f>
        <v/>
      </c>
      <c r="H48" s="30">
        <f>H13*(H18-H17)</f>
        <v/>
      </c>
    </row>
    <row r="49">
      <c r="A49" s="29" t="inlineStr">
        <is>
          <t xml:space="preserve">  ΔNWC – year 4</t>
        </is>
      </c>
      <c r="F49" s="30">
        <f>F13*(F19-F18)</f>
        <v/>
      </c>
      <c r="G49" s="30">
        <f>G13*(G19-G18)</f>
        <v/>
      </c>
      <c r="H49" s="30">
        <f>H13*(H19-H18)</f>
        <v/>
      </c>
    </row>
    <row r="50">
      <c r="A50" s="29" t="inlineStr">
        <is>
          <t xml:space="preserve">  ΔNWC – year 5</t>
        </is>
      </c>
      <c r="F50" s="30">
        <f>F13*(F20-F19)</f>
        <v/>
      </c>
      <c r="G50" s="30">
        <f>G13*(G20-G19)</f>
        <v/>
      </c>
      <c r="H50" s="30">
        <f>H13*(H20-H19)</f>
        <v/>
      </c>
    </row>
    <row r="51">
      <c r="A51" s="29" t="inlineStr">
        <is>
          <t xml:space="preserve">  Unlevered FCF – year 1</t>
        </is>
      </c>
      <c r="F51" s="30">
        <f>F31+F36-F41-F46</f>
        <v/>
      </c>
      <c r="G51" s="30">
        <f>G31+G36-G41-G46</f>
        <v/>
      </c>
      <c r="H51" s="30">
        <f>H31+H36-H41-H46</f>
        <v/>
      </c>
    </row>
    <row r="52">
      <c r="A52" s="29" t="inlineStr">
        <is>
          <t xml:space="preserve">  Unlevered FCF – year 2</t>
        </is>
      </c>
      <c r="F52" s="30">
        <f>F32+F37-F42-F47</f>
        <v/>
      </c>
      <c r="G52" s="30">
        <f>G32+G37-G42-G47</f>
        <v/>
      </c>
      <c r="H52" s="30">
        <f>H32+H37-H42-H47</f>
        <v/>
      </c>
    </row>
    <row r="53">
      <c r="A53" s="29" t="inlineStr">
        <is>
          <t xml:space="preserve">  Unlevered FCF – year 3</t>
        </is>
      </c>
      <c r="F53" s="30">
        <f>F33+F38-F43-F48</f>
        <v/>
      </c>
      <c r="G53" s="30">
        <f>G33+G38-G43-G48</f>
        <v/>
      </c>
      <c r="H53" s="30">
        <f>H33+H38-H43-H48</f>
        <v/>
      </c>
    </row>
    <row r="54">
      <c r="A54" s="29" t="inlineStr">
        <is>
          <t xml:space="preserve">  Unlevered FCF – year 4</t>
        </is>
      </c>
      <c r="F54" s="30">
        <f>F34+F39-F44-F49</f>
        <v/>
      </c>
      <c r="G54" s="30">
        <f>G34+G39-G44-G49</f>
        <v/>
      </c>
      <c r="H54" s="30">
        <f>H34+H39-H44-H49</f>
        <v/>
      </c>
    </row>
    <row r="55">
      <c r="A55" s="29" t="inlineStr">
        <is>
          <t xml:space="preserve">  Unlevered FCF – year 5</t>
        </is>
      </c>
      <c r="F55" s="30">
        <f>F35+F40-F45-F50</f>
        <v/>
      </c>
      <c r="G55" s="30">
        <f>G35+G40-G45-G50</f>
        <v/>
      </c>
      <c r="H55" s="30">
        <f>H35+H40-H45-H50</f>
        <v/>
      </c>
    </row>
    <row r="57">
      <c r="A57" s="22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4">
        <f>(D57+1807202-0)/111380</f>
        <v/>
      </c>
      <c r="E58" s="34">
        <f>(E57+1807202-0)/111380</f>
        <v/>
      </c>
    </row>
    <row r="59">
      <c r="A59" s="22" t="inlineStr">
        <is>
          <t>Upside / (downside) vs current</t>
        </is>
      </c>
      <c r="C59" s="35">
        <f>C58/100.0-1</f>
        <v/>
      </c>
      <c r="D59" s="35">
        <f>D58/100.0-1</f>
        <v/>
      </c>
      <c r="E59" s="35">
        <f>E58/100.0-1</f>
        <v/>
      </c>
    </row>
    <row r="61">
      <c r="A61" s="3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ref="C8" location="'WACC'!E16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37" t="inlineStr">
        <is>
          <t>Justification (~20 words)</t>
        </is>
      </c>
      <c r="C2" s="37" t="inlineStr">
        <is>
          <t>Source (click)</t>
        </is>
      </c>
      <c r="D2" s="37" t="inlineStr">
        <is>
          <t>Ctrl+F (prove number)</t>
        </is>
      </c>
      <c r="E2" s="38" t="inlineStr">
        <is>
          <t>FY2025A</t>
        </is>
      </c>
      <c r="F2" s="39" t="inlineStr">
        <is>
          <t>FY2026E</t>
        </is>
      </c>
      <c r="G2" s="39" t="inlineStr">
        <is>
          <t>FY2027E</t>
        </is>
      </c>
      <c r="H2" s="39" t="inlineStr">
        <is>
          <t>FY2028E</t>
        </is>
      </c>
      <c r="I2" s="39" t="inlineStr">
        <is>
          <t>FY2029E</t>
        </is>
      </c>
      <c r="J2" s="39" t="inlineStr">
        <is>
          <t>FY2030E</t>
        </is>
      </c>
      <c r="K2" s="40" t="inlineStr">
        <is>
          <t>Δ vs Scenarios</t>
        </is>
      </c>
      <c r="L2" s="37" t="inlineStr">
        <is>
          <t>Alt. source</t>
        </is>
      </c>
      <c r="M2" s="37" t="inlineStr">
        <is>
          <t>Alt. Ctrl+F</t>
        </is>
      </c>
    </row>
    <row r="3" ht="36" customHeight="1">
      <c r="A3" s="41" t="inlineStr">
        <is>
          <t>Forecast drivers linked to Scenarios tab → Base case (column G)</t>
        </is>
      </c>
      <c r="C3" s="19" t="inlineStr">
        <is>
          <t>"CONSOLIDATED STATEMENTS OF OPERATIONS" or "CONSOLIDATED BALANCE SHEETS"</t>
        </is>
      </c>
      <c r="E3" s="42" t="inlineStr">
        <is>
          <t>10-K</t>
        </is>
      </c>
      <c r="K3" s="43" t="inlineStr">
        <is>
          <t>(should be 0)</t>
        </is>
      </c>
    </row>
    <row r="5">
      <c r="A5" s="16" t="inlineStr">
        <is>
          <t>Net revenue</t>
        </is>
      </c>
      <c r="E5" s="44" t="n">
        <v>11102600</v>
      </c>
      <c r="F5" s="45">
        <f>Scenarios!G16</f>
        <v/>
      </c>
      <c r="G5" s="45">
        <f>Scenarios!G17</f>
        <v/>
      </c>
      <c r="H5" s="45">
        <f>Scenarios!G18</f>
        <v/>
      </c>
      <c r="I5" s="45">
        <f>Scenarios!G19</f>
        <v/>
      </c>
      <c r="J5" s="45">
        <f>Scenarios!G20</f>
        <v/>
      </c>
      <c r="K5" s="46">
        <f>IF(MAX(ABS(F5-Scenarios!$G$16),ABS(G5-Scenarios!$G$17),ABS(H5-Scenarios!$G$18),ABS(I5-Scenarios!$G$19),ABS(J5-Scenarios!$G$20))&lt;0.5,"OK","CHECK")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2.8% avg FY27–30 growth assumes gradual recovery; well below historical double-digit LULU revenue expansion.</t>
        </is>
      </c>
      <c r="C6" s="47" t="inlineStr">
        <is>
          <t>LULU Q2 FY2026 earnings release
Also: LULU historical revenue (10-K)</t>
        </is>
      </c>
      <c r="D6" s="19" t="inlineStr">
        <is>
          <t>"full year 2026" → "net revenue" → "decrease of 5% to 7%" | model −6.1% midpoint
Also: "Net revenue" → FY22 $8,110,518 | FY23 $9,619,278 | FY24 $10,588,126 | FY25 $11,102,600</t>
        </is>
      </c>
      <c r="F6" s="48">
        <f>F5/E5-1</f>
        <v/>
      </c>
      <c r="G6" s="48">
        <f>G5/F5-1</f>
        <v/>
      </c>
      <c r="H6" s="48">
        <f>H5/G5-1</f>
        <v/>
      </c>
      <c r="I6" s="48">
        <f>I5/H5-1</f>
        <v/>
      </c>
      <c r="J6" s="48">
        <f>J5/I5-1</f>
        <v/>
      </c>
    </row>
    <row r="7" ht="54" customHeight="1">
      <c r="A7" s="16" t="inlineStr">
        <is>
          <t>EBIT (operating) margin %</t>
        </is>
      </c>
      <c r="B7" s="19" t="inlineStr">
        <is>
          <t>13.9% FY2026 EBIT margin reflects Americas weakness and guided compression; above bear, below historical peak.
Also: 15.5% FY2030 EBIT margin assumes partial recovery; still materially below ~20–24% peak operating margins.</t>
        </is>
      </c>
      <c r="C7" s="47" t="inlineStr">
        <is>
          <t>LULU Q2 FY2026 earnings release
Also: LULU historical EBIT margins (10-K)</t>
        </is>
      </c>
      <c r="D7" s="19" t="inlineStr">
        <is>
          <t>"full year 2026" → margin commentary; base EBIT margin 13.9% (model assumption)
Also: "Income from operations" ÷ "Net revenue" → FY25 $2,210,615 / $11,102,600 = 19.9%</t>
        </is>
      </c>
      <c r="F7" s="48">
        <f>Scenarios!G21</f>
        <v/>
      </c>
      <c r="G7" s="48">
        <f>Scenarios!G22</f>
        <v/>
      </c>
      <c r="H7" s="48">
        <f>Scenarios!G23</f>
        <v/>
      </c>
      <c r="I7" s="48">
        <f>Scenarios!G24</f>
        <v/>
      </c>
      <c r="J7" s="48">
        <f>Scenarios!G25</f>
        <v/>
      </c>
      <c r="K7" s="46">
        <f>IF(MAX(ABS(F7-Scenarios!$G$21),ABS(G7-Scenarios!$G$22),ABS(H7-Scenarios!$G$23),ABS(I7-Scenarios!$G$24),ABS(J7-Scenarios!$G$25))&lt;0.0001,"OK","CHECK")</f>
        <v/>
      </c>
    </row>
    <row r="8">
      <c r="A8" s="22" t="inlineStr">
        <is>
          <t>EBIT</t>
        </is>
      </c>
      <c r="E8" s="49" t="n">
        <v>2210615</v>
      </c>
      <c r="F8" s="32">
        <f>Scenarios!G26</f>
        <v/>
      </c>
      <c r="G8" s="32">
        <f>Scenarios!G27</f>
        <v/>
      </c>
      <c r="H8" s="32">
        <f>Scenarios!G28</f>
        <v/>
      </c>
      <c r="I8" s="32">
        <f>Scenarios!G29</f>
        <v/>
      </c>
      <c r="J8" s="32">
        <f>Scenarios!G30</f>
        <v/>
      </c>
      <c r="K8" s="50">
        <f>IF(MAX(ABS(F8-Scenarios!$G$26),ABS(G8-Scenarios!$G$27),ABS(H8-Scenarios!$G$28),ABS(I8-Scenarios!$G$29),ABS(J8-Scenarios!$G$30))&lt;0.5,"OK","CHECK")</f>
        <v/>
      </c>
    </row>
    <row r="9">
      <c r="A9" s="16" t="inlineStr">
        <is>
          <t>Less: cash taxes on EBIT</t>
        </is>
      </c>
      <c r="F9" s="45">
        <f>-Scenarios!G26*Scenarios!$G$10</f>
        <v/>
      </c>
      <c r="G9" s="45">
        <f>-Scenarios!G27*Scenarios!$G$10</f>
        <v/>
      </c>
      <c r="H9" s="45">
        <f>-Scenarios!G28*Scenarios!$G$10</f>
        <v/>
      </c>
      <c r="I9" s="45">
        <f>-Scenarios!G29*Scenarios!$G$10</f>
        <v/>
      </c>
      <c r="J9" s="45">
        <f>-Scenarios!G30*Scenarios!$G$10</f>
        <v/>
      </c>
    </row>
    <row r="10">
      <c r="A10" s="22" t="inlineStr">
        <is>
          <t>NOPAT</t>
        </is>
      </c>
      <c r="F10" s="32">
        <f>Scenarios!G31</f>
        <v/>
      </c>
      <c r="G10" s="32">
        <f>Scenarios!G32</f>
        <v/>
      </c>
      <c r="H10" s="32">
        <f>Scenarios!G33</f>
        <v/>
      </c>
      <c r="I10" s="32">
        <f>Scenarios!G34</f>
        <v/>
      </c>
      <c r="J10" s="32">
        <f>Scenarios!G35</f>
        <v/>
      </c>
      <c r="K10" s="50">
        <f>IF(MAX(ABS(F10-Scenarios!$G$31),ABS(G10-Scenarios!$G$32),ABS(H10-Scenarios!$G$33),ABS(I10-Scenarios!$G$34),ABS(J10-Scenarios!$G$35))&lt;0.5,"OK","CHECK")</f>
        <v/>
      </c>
    </row>
    <row r="11" ht="36" customHeight="1">
      <c r="A11" s="16" t="inlineStr">
        <is>
          <t xml:space="preserve">  D&amp;A % of revenue</t>
        </is>
      </c>
      <c r="B11" s="17" t="inlineStr">
        <is>
          <t>4.5% D&amp;A to revenue near FY22–25 average; reflects store fleet, distribution, and technology amortization load.</t>
        </is>
      </c>
      <c r="C11" s="18" t="inlineStr">
        <is>
          <t>LULU CF statement (10-K)</t>
        </is>
      </c>
      <c r="D11" s="19" t="inlineStr">
        <is>
          <t>"Depreciation and amortization" → FY25 $496,228; ÷ "Net revenue" $11,102,600 = 4.5%</t>
        </is>
      </c>
      <c r="F11" s="20">
        <f>Scenarios!$G$11</f>
        <v/>
      </c>
      <c r="G11" s="20">
        <f>Scenarios!$G$11</f>
        <v/>
      </c>
      <c r="H11" s="20">
        <f>Scenarios!$G$11</f>
        <v/>
      </c>
      <c r="I11" s="20">
        <f>Scenarios!$G$11</f>
        <v/>
      </c>
      <c r="J11" s="20">
        <f>Scenarios!$G$11</f>
        <v/>
      </c>
    </row>
    <row r="12">
      <c r="A12" s="16" t="inlineStr">
        <is>
          <t>Plus: depreciation &amp; amortization</t>
        </is>
      </c>
      <c r="F12" s="45">
        <f>Scenarios!G36</f>
        <v/>
      </c>
      <c r="G12" s="45">
        <f>Scenarios!G37</f>
        <v/>
      </c>
      <c r="H12" s="45">
        <f>Scenarios!G38</f>
        <v/>
      </c>
      <c r="I12" s="45">
        <f>Scenarios!G39</f>
        <v/>
      </c>
      <c r="J12" s="45">
        <f>Scenarios!G40</f>
        <v/>
      </c>
      <c r="K12" s="46">
        <f>IF(MAX(ABS(F12-Scenarios!$G$36),ABS(G12-Scenarios!$G$37),ABS(H12-Scenarios!$G$38),ABS(I12-Scenarios!$G$39),ABS(J12-Scenarios!$G$40))&lt;0.5,"OK","CHECK")</f>
        <v/>
      </c>
    </row>
    <row r="13" ht="36" customHeight="1">
      <c r="A13" s="16" t="inlineStr">
        <is>
          <t xml:space="preserve">  Capex % of revenue</t>
        </is>
      </c>
      <c r="B13" s="17" t="inlineStr">
        <is>
          <t>5.0% capex to revenue aligned with recent investment intensity and continued global store expansion plans.</t>
        </is>
      </c>
      <c r="C13" s="18" t="inlineStr">
        <is>
          <t>LULU CF statement (10-K)</t>
        </is>
      </c>
      <c r="D13" s="19" t="inlineStr">
        <is>
          <t>"Capital expenditures" → FY25 $(680,802); ÷ "Net revenue" = 6.1%; model 5.0%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Less: capital expenditures</t>
        </is>
      </c>
      <c r="F14" s="45">
        <f>-Scenarios!G41</f>
        <v/>
      </c>
      <c r="G14" s="45">
        <f>-Scenarios!G42</f>
        <v/>
      </c>
      <c r="H14" s="45">
        <f>-Scenarios!G43</f>
        <v/>
      </c>
      <c r="I14" s="45">
        <f>-Scenarios!G44</f>
        <v/>
      </c>
      <c r="J14" s="45">
        <f>-Scenarios!G45</f>
        <v/>
      </c>
      <c r="K14" s="46">
        <f>IF(MAX(ABS(F14+Scenarios!$G$41),ABS(G14+Scenarios!$G$42),ABS(H14+Scenarios!$G$43),ABS(I14+Scenarios!$G$44),ABS(J14+Scenarios!$G$45))&lt;0.5,"OK","CHECK")</f>
        <v/>
      </c>
    </row>
    <row r="15" ht="36" customHeight="1">
      <c r="A15" s="16" t="inlineStr">
        <is>
          <t xml:space="preserve">  NWC build % of Δrevenue</t>
        </is>
      </c>
      <c r="B15" s="17" t="inlineStr">
        <is>
          <t>7.5% of revenue change for ΔNWC; ties working-capital swings to sales trajectory per historical sensitivity.</t>
        </is>
      </c>
      <c r="C15" s="18" t="inlineStr">
        <is>
          <t>LULU BS/IS historical (10-K)</t>
        </is>
      </c>
      <c r="D15" s="19" t="inlineStr">
        <is>
          <t>"Inventories" $1,700,753 | "Accounts payable" $331,421 | "Accrued liabilities" $662,982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(Increase)/decrease in net working capital</t>
        </is>
      </c>
      <c r="F16" s="45">
        <f>-Scenarios!G46</f>
        <v/>
      </c>
      <c r="G16" s="45">
        <f>-Scenarios!G47</f>
        <v/>
      </c>
      <c r="H16" s="45">
        <f>-Scenarios!G48</f>
        <v/>
      </c>
      <c r="I16" s="45">
        <f>-Scenarios!G49</f>
        <v/>
      </c>
      <c r="J16" s="45">
        <f>-Scenarios!G50</f>
        <v/>
      </c>
      <c r="K16" s="46">
        <f>IF(MAX(ABS(F16+Scenarios!$G$46),ABS(G16+Scenarios!$G$47),ABS(H16+Scenarios!$G$48),ABS(I16+Scenarios!$G$49),ABS(J16+Scenarios!$G$50))&lt;0.5,"OK","CHECK")</f>
        <v/>
      </c>
    </row>
    <row r="17">
      <c r="A17" s="36" t="inlineStr">
        <is>
          <t xml:space="preserve">  memo: FY26 revenue falls −6.1%; negative ΔNWC releases ~$51M cash (adds to FCF, not a use).</t>
        </is>
      </c>
    </row>
    <row r="18">
      <c r="A18" s="22" t="inlineStr">
        <is>
          <t>Unlevered free cash flow</t>
        </is>
      </c>
      <c r="F18" s="51">
        <f>Scenarios!G51</f>
        <v/>
      </c>
      <c r="G18" s="51">
        <f>Scenarios!G52</f>
        <v/>
      </c>
      <c r="H18" s="51">
        <f>Scenarios!G53</f>
        <v/>
      </c>
      <c r="I18" s="51">
        <f>Scenarios!G54</f>
        <v/>
      </c>
      <c r="J18" s="51">
        <f>Scenarios!G55</f>
        <v/>
      </c>
      <c r="K18" s="50">
        <f>IF(MAX(ABS(F18-Scenarios!$G$51),ABS(G18-Scenarios!$G$52),ABS(H18-Scenarios!$G$53),ABS(I18-Scenarios!$G$54),ABS(J18-Scenarios!$G$55))&lt;0.5,"OK","CHECK")</f>
        <v/>
      </c>
    </row>
    <row r="19">
      <c r="A19" s="16" t="inlineStr">
        <is>
          <t>Discount period (years)</t>
        </is>
      </c>
      <c r="F19" s="52" t="n">
        <v>1</v>
      </c>
      <c r="G19" s="52" t="n">
        <v>2</v>
      </c>
      <c r="H19" s="52" t="n">
        <v>3</v>
      </c>
      <c r="I19" s="52" t="n">
        <v>4</v>
      </c>
      <c r="J19" s="52" t="n">
        <v>5</v>
      </c>
    </row>
    <row r="20">
      <c r="A20" s="16" t="inlineStr">
        <is>
          <t>Discount factor @ WACC</t>
        </is>
      </c>
      <c r="F20" s="53">
        <f>1/(1+Scenarios!$G$8)^F19</f>
        <v/>
      </c>
      <c r="G20" s="53">
        <f>1/(1+Scenarios!$G$8)^G19</f>
        <v/>
      </c>
      <c r="H20" s="53">
        <f>1/(1+Scenarios!$G$8)^H19</f>
        <v/>
      </c>
      <c r="I20" s="53">
        <f>1/(1+Scenarios!$G$8)^I19</f>
        <v/>
      </c>
      <c r="J20" s="53">
        <f>1/(1+Scenarios!$G$8)^J19</f>
        <v/>
      </c>
    </row>
    <row r="21">
      <c r="A21" s="22" t="inlineStr">
        <is>
          <t>PV of unlevered FCF</t>
        </is>
      </c>
      <c r="F21" s="32">
        <f>F18*F20</f>
        <v/>
      </c>
      <c r="G21" s="32">
        <f>G18*G20</f>
        <v/>
      </c>
      <c r="H21" s="32">
        <f>H18*H20</f>
        <v/>
      </c>
      <c r="I21" s="32">
        <f>I18*I20</f>
        <v/>
      </c>
      <c r="J21" s="32">
        <f>J18*J20</f>
        <v/>
      </c>
    </row>
    <row r="23">
      <c r="A23" s="15" t="inlineStr">
        <is>
          <t>Scenarios linkage summary (column K should all read OK)</t>
        </is>
      </c>
      <c r="K23" s="54">
        <f>IF(COUNTIF(K5:K18,"CHECK")=0,"ALL OK","REVIEW")</f>
        <v/>
      </c>
    </row>
    <row r="24">
      <c r="A24" s="55" t="inlineStr">
        <is>
          <t>VALUATION — GORDON GROWTH (PERPETUITY) METHOD</t>
        </is>
      </c>
      <c r="B24" s="13" t="n"/>
      <c r="C24" s="13" t="n"/>
    </row>
    <row r="25">
      <c r="A25" s="22" t="inlineStr">
        <is>
          <t>Sum of PV of explicit FCF (FY26–FY30)</t>
        </is>
      </c>
      <c r="E25" s="56">
        <f>SUM(F21:J21)</f>
        <v/>
      </c>
    </row>
    <row r="26" ht="36" customHeight="1">
      <c r="A26" s="16" t="inlineStr">
        <is>
          <t>Terminal growth rate (g)</t>
        </is>
      </c>
      <c r="B26" s="17" t="inlineStr">
        <is>
          <t>2.25% terminal growth approximates long-run GDP plus inflation; conservative perpetuity rate for mature apparel.</t>
        </is>
      </c>
      <c r="C26" s="18" t="inlineStr">
        <is>
          <t>FRED: Real GDP (GDPC1)</t>
        </is>
      </c>
      <c r="D26" s="19" t="inlineStr">
        <is>
          <t>"GDPC1" → FRED Units: Percent Change from Year Ago; long-run ≈ 2%; model 2.25%</t>
        </is>
      </c>
      <c r="E26" s="48">
        <f>Scenarios!$G$9</f>
        <v/>
      </c>
    </row>
    <row r="27">
      <c r="A27" s="22" t="inlineStr">
        <is>
          <t>Terminal EBITDA (FY2030E EBIT + D&amp;A)</t>
        </is>
      </c>
      <c r="E27" s="32">
        <f>J8+J12</f>
        <v/>
      </c>
    </row>
    <row r="28">
      <c r="A28" s="16" t="inlineStr">
        <is>
          <t>Terminal value = FCF₅×(1+g)/(WACC−g)</t>
        </is>
      </c>
      <c r="E28" s="45">
        <f>J18*(1+Scenarios!$G$9)/(Scenarios!$G$8-Scenarios!$G$9)</f>
        <v/>
      </c>
    </row>
    <row r="29">
      <c r="A29" s="16" t="inlineStr">
        <is>
          <t xml:space="preserve">  Implied exit EV/EBITDA (Gordon Growth)</t>
        </is>
      </c>
      <c r="E29" s="57">
        <f>E28/E27</f>
        <v/>
      </c>
    </row>
    <row r="30">
      <c r="A30" s="22" t="inlineStr">
        <is>
          <t>PV of terminal value</t>
        </is>
      </c>
      <c r="E30" s="56">
        <f>E28/(1+Scenarios!$G$8)^J19</f>
        <v/>
      </c>
    </row>
    <row r="31">
      <c r="A31" s="22" t="inlineStr">
        <is>
          <t>Enterprise value</t>
        </is>
      </c>
      <c r="E31" s="32">
        <f>E25+E30</f>
        <v/>
      </c>
    </row>
    <row r="32" ht="36" customHeight="1">
      <c r="A32" s="16" t="inlineStr">
        <is>
          <t>Plus: cash &amp; equivalents (FY2025)</t>
        </is>
      </c>
      <c r="C32" s="58" t="inlineStr">
        <is>
          <t>10-K</t>
        </is>
      </c>
      <c r="D32" s="19" t="inlineStr">
        <is>
          <t>"Cash and cash equivalents" → FY2025 $1,807,202 ($000)</t>
        </is>
      </c>
      <c r="E32" s="44" t="n">
        <v>1807202</v>
      </c>
    </row>
    <row r="33" ht="36" customHeight="1">
      <c r="A33" s="16" t="inlineStr">
        <is>
          <t>Less: total debt</t>
        </is>
      </c>
      <c r="C33" s="58" t="inlineStr">
        <is>
          <t>10-K</t>
        </is>
      </c>
      <c r="D33" s="19" t="inlineStr">
        <is>
          <t>"Long-term debt" → $0 (no funded debt)</t>
        </is>
      </c>
      <c r="E33" s="44" t="n">
        <v>0</v>
      </c>
    </row>
    <row r="34">
      <c r="A34" s="22" t="inlineStr">
        <is>
          <t>Equity value</t>
        </is>
      </c>
      <c r="E34" s="32">
        <f>E31+E32+E33</f>
        <v/>
      </c>
    </row>
    <row r="35" ht="36" customHeight="1">
      <c r="A35" s="16" t="inlineStr">
        <is>
          <t>Diluted shares outstanding (000)</t>
        </is>
      </c>
      <c r="C35" s="58" t="inlineStr">
        <is>
          <t>10-K</t>
        </is>
      </c>
      <c r="D35" s="19" t="inlineStr">
        <is>
          <t>"Diluted weighted-average number of common shares outstanding" → 119,068 (000)</t>
        </is>
      </c>
      <c r="E35" s="44" t="n">
        <v>111380</v>
      </c>
    </row>
    <row r="36">
      <c r="A36" s="22" t="inlineStr">
        <is>
          <t>Implied value per share</t>
        </is>
      </c>
      <c r="E36" s="59">
        <f>E34/E35</f>
        <v/>
      </c>
      <c r="K36" s="50">
        <f>IF(ABS(E36-Scenarios!$G$58)&lt;0.05,"OK","CHECK")</f>
        <v/>
      </c>
    </row>
    <row r="37" ht="36" customHeight="1">
      <c r="A37" s="16" t="inlineStr">
        <is>
          <t>Current share price</t>
        </is>
      </c>
      <c r="C37" s="58" t="inlineStr">
        <is>
          <t>NASDAQ</t>
        </is>
      </c>
      <c r="D37" s="19" t="inlineStr">
        <is>
          <t>"Last Sale" or "Previous Close" → LULU share price</t>
        </is>
      </c>
      <c r="E37" s="60" t="n">
        <v>100</v>
      </c>
    </row>
    <row r="38">
      <c r="A38" s="22" t="inlineStr">
        <is>
          <t>Implied upside / (downside)</t>
        </is>
      </c>
      <c r="E38" s="61">
        <f>E36/E37-1</f>
        <v/>
      </c>
    </row>
    <row r="39">
      <c r="A39" s="16" t="inlineStr">
        <is>
          <t xml:space="preserve">  memo: % of EV from terminal value</t>
        </is>
      </c>
      <c r="E39" s="48">
        <f>E30/E31</f>
        <v/>
      </c>
    </row>
    <row r="41">
      <c r="A41" s="55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 ht="36" customHeight="1">
      <c r="A43" s="16" t="inlineStr">
        <is>
          <t>Selected exit EV/EBITDA multiple (FY2030E)</t>
        </is>
      </c>
      <c r="B43" s="17" t="inlineStr">
        <is>
          <t>8.0x FY2030E exit EV/EBITDA; mid-point of terminal football field (6.5–9.5x); ~1 turn above Gordon-implied ~7x.</t>
        </is>
      </c>
      <c r="C43" s="18" t="inlineStr">
        <is>
          <t>StockAnalysis: LULU EV/EBITDA</t>
        </is>
      </c>
      <c r="D43" s="19" t="inlineStr">
        <is>
          <t>"Enterprise Value/EBITDA" on StockAnalysis; model terminal exit 8.0x FY2030E EBITDA</t>
        </is>
      </c>
      <c r="E43" s="62" t="n">
        <v>8</v>
      </c>
      <c r="M43" s="58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E44" s="45">
        <f>E27*E43</f>
        <v/>
      </c>
    </row>
    <row r="45">
      <c r="A45" s="16" t="inlineStr">
        <is>
          <t>PV of terminal value</t>
        </is>
      </c>
      <c r="E45" s="45">
        <f>E44/(1+Scenarios!$G$8)^J19</f>
        <v/>
      </c>
    </row>
    <row r="46">
      <c r="A46" s="22" t="inlineStr">
        <is>
          <t>Enterprise value (exit method)</t>
        </is>
      </c>
      <c r="E46" s="32">
        <f>E25+E45</f>
        <v/>
      </c>
    </row>
    <row r="47">
      <c r="A47" s="22" t="inlineStr">
        <is>
          <t>Implied value per share (exit method)</t>
        </is>
      </c>
      <c r="E47" s="63">
        <f>(E46+E32+E33)/E35</f>
        <v/>
      </c>
    </row>
    <row r="49">
      <c r="A49" s="55" t="inlineStr">
        <is>
          <t>TERMINAL VALUE RECONCILIATION (GORDON vs EXIT MULTIPLE)</t>
        </is>
      </c>
      <c r="B49" s="13" t="n"/>
      <c r="C49" s="13" t="n"/>
      <c r="D49" s="13" t="n"/>
    </row>
    <row r="50">
      <c r="A50" s="64" t="inlineStr"/>
      <c r="B50" s="65" t="inlineStr">
        <is>
          <t>Gordon Growth</t>
        </is>
      </c>
      <c r="C50" s="65" t="inlineStr">
        <is>
          <t>Exit Multiple</t>
        </is>
      </c>
      <c r="D50" s="65" t="inlineStr">
        <is>
          <t>Variance</t>
        </is>
      </c>
    </row>
    <row r="51">
      <c r="A51" s="22" t="inlineStr">
        <is>
          <t>Terminal value ($)</t>
        </is>
      </c>
      <c r="B51" s="56">
        <f>E28</f>
        <v/>
      </c>
      <c r="C51" s="56">
        <f>E44</f>
        <v/>
      </c>
      <c r="D51" s="56">
        <f>B51-C51</f>
        <v/>
      </c>
    </row>
    <row r="52">
      <c r="A52" s="22" t="inlineStr">
        <is>
          <t>Exit EV/EBITDA (implied vs selected)</t>
        </is>
      </c>
      <c r="B52" s="66">
        <f>E29</f>
        <v/>
      </c>
      <c r="C52" s="66">
        <f>E43</f>
        <v/>
      </c>
      <c r="D52" s="66">
        <f>B52-C52</f>
        <v/>
      </c>
    </row>
    <row r="53">
      <c r="A53" s="16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2" t="inlineStr">
        <is>
          <t>Implied share price</t>
        </is>
      </c>
      <c r="B54" s="67">
        <f>E36</f>
        <v/>
      </c>
      <c r="C54" s="67">
        <f>E47</f>
        <v/>
      </c>
      <c r="D54" s="67">
        <f>B54-C54</f>
        <v/>
      </c>
    </row>
    <row r="55">
      <c r="A55" s="68" t="inlineStr">
        <is>
          <t>Sanity check: multiples within ±1.5 turns?</t>
        </is>
      </c>
      <c r="B55" s="69">
        <f>IF(ABS(D52)&lt;=1.5,"PASS","REVIEW")</f>
        <v/>
      </c>
      <c r="C55" s="70">
        <f>TEXT(D52,"0.0")&amp;"x spread vs 8.0x exit multiple"</f>
        <v/>
      </c>
      <c r="D55" s="36" t="inlineStr">
        <is>
          <t>Gordon implied should bracket exit assumption</t>
        </is>
      </c>
    </row>
    <row r="58">
      <c r="A58" s="55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 ht="36" customHeight="1">
      <c r="A59" s="71" t="inlineStr">
        <is>
          <t>WACC \ g</t>
        </is>
      </c>
      <c r="B59" s="17" t="inlineStr">
        <is>
          <t>Terminal-g axis 1.5–3.0% brackets 2.25% base; bounded by long-run real GDP and inflation benchmarks.</t>
        </is>
      </c>
      <c r="C59" s="18" t="inlineStr">
        <is>
          <t>FRED: Real GDP (GDPC1)</t>
        </is>
      </c>
      <c r="D59" s="19" t="inlineStr">
        <is>
          <t>"GDPC1" → bounds terminal-g sensitivity 1.5%–3.0%</t>
        </is>
      </c>
      <c r="F59" s="72" t="n">
        <v>0.015</v>
      </c>
      <c r="G59" s="72" t="n">
        <v>0.02</v>
      </c>
      <c r="H59" s="72" t="n">
        <v>0.0225</v>
      </c>
      <c r="I59" s="72" t="n">
        <v>0.025</v>
      </c>
      <c r="J59" s="72" t="n">
        <v>0.03</v>
      </c>
      <c r="L59" s="58" t="inlineStr">
        <is>
          <t>Scenarios: terminal g</t>
        </is>
      </c>
    </row>
    <row r="60" ht="36" customHeight="1">
      <c r="A60" s="72" t="n">
        <v>0.09</v>
      </c>
      <c r="C60" s="58" t="inlineStr">
        <is>
          <t>Damodaran: Historical Implied ERP</t>
        </is>
      </c>
      <c r="D60" s="19" t="inlineStr">
        <is>
          <t>"Implied ERP (FCFE)" → anchors WACC range 9.0%–11.0%</t>
        </is>
      </c>
      <c r="F60" s="73">
        <f>(NPV(0.09,F18:J18)+(J18*(1+0.015)/(0.09-0.015))/(1+0.09)^5+E32+E33)/E35</f>
        <v/>
      </c>
      <c r="G60" s="73">
        <f>(NPV(0.09,F18:J18)+(J18*(1+0.02)/(0.09-0.02))/(1+0.09)^5+E32+E33)/E35</f>
        <v/>
      </c>
      <c r="H60" s="73">
        <f>(NPV(0.09,F18:J18)+(J18*(1+0.0225)/(0.09-0.0225))/(1+0.09)^5+E32+E33)/E35</f>
        <v/>
      </c>
      <c r="I60" s="73">
        <f>(NPV(0.09,F18:J18)+(J18*(1+0.025)/(0.09-0.025))/(1+0.09)^5+E32+E33)/E35</f>
        <v/>
      </c>
      <c r="J60" s="73">
        <f>(NPV(0.09,F18:J18)+(J18*(1+0.03)/(0.09-0.03))/(1+0.09)^5+E32+E33)/E35</f>
        <v/>
      </c>
      <c r="L60" s="58" t="inlineStr">
        <is>
          <t>WACC tab</t>
        </is>
      </c>
    </row>
    <row r="61" ht="36" customHeight="1">
      <c r="A61" s="72" t="n">
        <v>0.095</v>
      </c>
      <c r="D61" s="19" t="inlineStr">
        <is>
          <t>"Implied ERP (FCFE)" → anchors WACC range 9.0%–11.0%</t>
        </is>
      </c>
      <c r="F61" s="73">
        <f>(NPV(0.095,F18:J18)+(J18*(1+0.015)/(0.095-0.015))/(1+0.095)^5+E32+E33)/E35</f>
        <v/>
      </c>
      <c r="G61" s="73">
        <f>(NPV(0.095,F18:J18)+(J18*(1+0.02)/(0.095-0.02))/(1+0.095)^5+E32+E33)/E35</f>
        <v/>
      </c>
      <c r="H61" s="73">
        <f>(NPV(0.095,F18:J18)+(J18*(1+0.0225)/(0.095-0.0225))/(1+0.095)^5+E32+E33)/E35</f>
        <v/>
      </c>
      <c r="I61" s="73">
        <f>(NPV(0.095,F18:J18)+(J18*(1+0.025)/(0.095-0.025))/(1+0.095)^5+E32+E33)/E35</f>
        <v/>
      </c>
      <c r="J61" s="73">
        <f>(NPV(0.095,F18:J18)+(J18*(1+0.03)/(0.095-0.03))/(1+0.095)^5+E32+E33)/E35</f>
        <v/>
      </c>
      <c r="L61" s="58" t="inlineStr">
        <is>
          <t>WACC tab</t>
        </is>
      </c>
    </row>
    <row r="62" ht="36" customHeight="1">
      <c r="A62" s="72" t="n">
        <v>0.1</v>
      </c>
      <c r="D62" s="19" t="inlineStr">
        <is>
          <t>"Implied ERP (FCFE)" → anchors WACC range 9.0%–11.0%</t>
        </is>
      </c>
      <c r="F62" s="73">
        <f>(NPV(0.1,F18:J18)+(J18*(1+0.015)/(0.1-0.015))/(1+0.1)^5+E32+E33)/E35</f>
        <v/>
      </c>
      <c r="G62" s="73">
        <f>(NPV(0.1,F18:J18)+(J18*(1+0.02)/(0.1-0.02))/(1+0.1)^5+E32+E33)/E35</f>
        <v/>
      </c>
      <c r="H62" s="74">
        <f>(NPV(0.1,F18:J18)+(J18*(1+0.0225)/(0.1-0.0225))/(1+0.1)^5+E32+E33)/E35</f>
        <v/>
      </c>
      <c r="I62" s="73">
        <f>(NPV(0.1,F18:J18)+(J18*(1+0.025)/(0.1-0.025))/(1+0.1)^5+E32+E33)/E35</f>
        <v/>
      </c>
      <c r="J62" s="73">
        <f>(NPV(0.1,F18:J18)+(J18*(1+0.03)/(0.1-0.03))/(1+0.1)^5+E32+E33)/E35</f>
        <v/>
      </c>
      <c r="L62" s="58" t="inlineStr">
        <is>
          <t>WACC tab</t>
        </is>
      </c>
    </row>
    <row r="63" ht="36" customHeight="1">
      <c r="A63" s="72" t="n">
        <v>0.105</v>
      </c>
      <c r="D63" s="19" t="inlineStr">
        <is>
          <t>"Implied ERP (FCFE)" → anchors WACC range 9.0%–11.0%</t>
        </is>
      </c>
      <c r="F63" s="73">
        <f>(NPV(0.105,F18:J18)+(J18*(1+0.015)/(0.105-0.015))/(1+0.105)^5+E32+E33)/E35</f>
        <v/>
      </c>
      <c r="G63" s="73">
        <f>(NPV(0.105,F18:J18)+(J18*(1+0.02)/(0.105-0.02))/(1+0.105)^5+E32+E33)/E35</f>
        <v/>
      </c>
      <c r="H63" s="73">
        <f>(NPV(0.105,F18:J18)+(J18*(1+0.0225)/(0.105-0.0225))/(1+0.105)^5+E32+E33)/E35</f>
        <v/>
      </c>
      <c r="I63" s="73">
        <f>(NPV(0.105,F18:J18)+(J18*(1+0.025)/(0.105-0.025))/(1+0.105)^5+E32+E33)/E35</f>
        <v/>
      </c>
      <c r="J63" s="73">
        <f>(NPV(0.105,F18:J18)+(J18*(1+0.03)/(0.105-0.03))/(1+0.105)^5+E32+E33)/E35</f>
        <v/>
      </c>
      <c r="L63" s="58" t="inlineStr">
        <is>
          <t>WACC tab</t>
        </is>
      </c>
    </row>
    <row r="64" ht="36" customHeight="1">
      <c r="A64" s="72" t="n">
        <v>0.11</v>
      </c>
      <c r="D64" s="19" t="inlineStr">
        <is>
          <t>"Implied ERP (FCFE)" → anchors WACC range 9.0%–11.0%</t>
        </is>
      </c>
      <c r="F64" s="73">
        <f>(NPV(0.11,F18:J18)+(J18*(1+0.015)/(0.11-0.015))/(1+0.11)^5+E32+E33)/E35</f>
        <v/>
      </c>
      <c r="G64" s="73">
        <f>(NPV(0.11,F18:J18)+(J18*(1+0.02)/(0.11-0.02))/(1+0.11)^5+E32+E33)/E35</f>
        <v/>
      </c>
      <c r="H64" s="73">
        <f>(NPV(0.11,F18:J18)+(J18*(1+0.0225)/(0.11-0.0225))/(1+0.11)^5+E32+E33)/E35</f>
        <v/>
      </c>
      <c r="I64" s="73">
        <f>(NPV(0.11,F18:J18)+(J18*(1+0.025)/(0.11-0.025))/(1+0.11)^5+E32+E33)/E35</f>
        <v/>
      </c>
      <c r="J64" s="73">
        <f>(NPV(0.11,F18:J18)+(J18*(1+0.03)/(0.11-0.03))/(1+0.11)^5+E32+E33)/E35</f>
        <v/>
      </c>
      <c r="L64" s="58" t="inlineStr">
        <is>
          <t>WACC tab</t>
        </is>
      </c>
    </row>
    <row r="65" ht="36" customHeight="1">
      <c r="B65" s="17" t="inlineStr">
        <is>
          <t>Red WACC and g grid values bracket base case ±100bps discount rate and ±75bps terminal growth for sensitivity.</t>
        </is>
      </c>
      <c r="C65" s="18" t="inlineStr">
        <is>
          <t>Scenarios: WACC &amp; terminal g</t>
        </is>
      </c>
      <c r="D65" s="19" t="inlineStr">
        <is>
          <t>Scenarios tab → "WACC" row &amp; "Terminal growth" row (base inputs)</t>
        </is>
      </c>
      <c r="L65" s="58" t="inlineStr">
        <is>
          <t>FRED: Real GDP (GDPC1)</t>
        </is>
      </c>
      <c r="M65" s="19" t="inlineStr">
        <is>
          <t>"GDPC1" → bounds terminal-g sensitivity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8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5" r:id="rId8"/>
    <hyperlink xmlns:r="http://schemas.openxmlformats.org/officeDocument/2006/relationships" ref="C26" r:id="rId9"/>
    <hyperlink xmlns:r="http://schemas.openxmlformats.org/officeDocument/2006/relationships" ref="C32" r:id="rId10"/>
    <hyperlink xmlns:r="http://schemas.openxmlformats.org/officeDocument/2006/relationships" ref="E32" r:id="rId11"/>
    <hyperlink xmlns:r="http://schemas.openxmlformats.org/officeDocument/2006/relationships" ref="C33" r:id="rId12"/>
    <hyperlink xmlns:r="http://schemas.openxmlformats.org/officeDocument/2006/relationships" ref="E33" r:id="rId13"/>
    <hyperlink xmlns:r="http://schemas.openxmlformats.org/officeDocument/2006/relationships" ref="C35" r:id="rId14"/>
    <hyperlink xmlns:r="http://schemas.openxmlformats.org/officeDocument/2006/relationships" ref="E35" r:id="rId15"/>
    <hyperlink xmlns:r="http://schemas.openxmlformats.org/officeDocument/2006/relationships" ref="C37" r:id="rId16"/>
    <hyperlink xmlns:r="http://schemas.openxmlformats.org/officeDocument/2006/relationships" ref="E37" r:id="rId17"/>
    <hyperlink xmlns:r="http://schemas.openxmlformats.org/officeDocument/2006/relationships" ref="C43" r:id="rId18"/>
    <hyperlink ref="M43" location="'Comps'!A26"/>
    <hyperlink xmlns:r="http://schemas.openxmlformats.org/officeDocument/2006/relationships" ref="C59" r:id="rId19"/>
    <hyperlink ref="L59" location="'Scenarios'!G9"/>
    <hyperlink xmlns:r="http://schemas.openxmlformats.org/officeDocument/2006/relationships" ref="C60" r:id="rId20"/>
    <hyperlink ref="L60" location="'WACC'!E16"/>
    <hyperlink ref="L61" location="'WACC'!E16"/>
    <hyperlink ref="L62" location="'WACC'!E16"/>
    <hyperlink ref="L63" location="'WACC'!E16"/>
    <hyperlink ref="L64" location="'WACC'!E16"/>
    <hyperlink ref="C65" location="'Scenarios'!G8"/>
    <hyperlink xmlns:r="http://schemas.openxmlformats.org/officeDocument/2006/relationships" ref="L65" r:id="rId2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58" t="inlineStr">
        <is>
          <t>10-K</t>
        </is>
      </c>
      <c r="D4" s="19" t="inlineStr">
        <is>
          <t>"Net revenue" → FY2025 $11,102,600 ($000)</t>
        </is>
      </c>
      <c r="E4" s="44" t="n">
        <v>11102600</v>
      </c>
    </row>
    <row r="5">
      <c r="A5" s="16" t="inlineStr">
        <is>
          <t>FY2025A EBITDA (EBIT + D&amp;A)</t>
        </is>
      </c>
      <c r="E5" s="45">
        <f>2210615+496228</f>
        <v/>
      </c>
    </row>
    <row r="6">
      <c r="A6" s="16" t="inlineStr">
        <is>
          <t>FY2030E terminal EBITDA (DCF EBIT + D&amp;A)</t>
        </is>
      </c>
      <c r="C6" s="58" t="inlineStr">
        <is>
          <t>↳ DCF base case</t>
        </is>
      </c>
      <c r="E6" s="45">
        <f>DCF!E27</f>
        <v/>
      </c>
    </row>
    <row r="7" ht="36" customHeight="1">
      <c r="A7" s="16" t="inlineStr">
        <is>
          <t>FY2026E diluted EPS (guidance midpoint)</t>
        </is>
      </c>
      <c r="C7" s="58" t="inlineStr">
        <is>
          <t>Release</t>
        </is>
      </c>
      <c r="D7" s="19" t="inlineStr">
        <is>
          <t>"diluted earnings per share" → "range of $9.48 to $9.73"; model midpoint $9.61</t>
        </is>
      </c>
      <c r="E7" s="60" t="n">
        <v>9.609999999999999</v>
      </c>
    </row>
    <row r="8" ht="36" customHeight="1">
      <c r="A8" s="16" t="inlineStr">
        <is>
          <t>Cash &amp; equivalents</t>
        </is>
      </c>
      <c r="C8" s="58" t="inlineStr">
        <is>
          <t>10-K</t>
        </is>
      </c>
      <c r="D8" s="19" t="inlineStr">
        <is>
          <t>"Cash and cash equivalents" → FY2025 $1,807,202 ($000)</t>
        </is>
      </c>
      <c r="E8" s="44" t="n">
        <v>1807202</v>
      </c>
    </row>
    <row r="9" ht="36" customHeight="1">
      <c r="A9" s="16" t="inlineStr">
        <is>
          <t>Diluted shares (000)</t>
        </is>
      </c>
      <c r="C9" s="58" t="inlineStr">
        <is>
          <t>10-K</t>
        </is>
      </c>
      <c r="D9" s="19" t="inlineStr">
        <is>
          <t>"Diluted weighted-average number of common shares outstanding" → 119,068 (000)</t>
        </is>
      </c>
      <c r="E9" s="44" t="n">
        <v>111380</v>
      </c>
    </row>
    <row r="10" ht="36" customHeight="1">
      <c r="A10" s="16" t="inlineStr">
        <is>
          <t>Current share price</t>
        </is>
      </c>
      <c r="C10" s="58" t="inlineStr">
        <is>
          <t>NASDAQ</t>
        </is>
      </c>
      <c r="D10" s="19" t="inlineStr">
        <is>
          <t>"Last Sale" or "Previous Close" → LULU share price</t>
        </is>
      </c>
      <c r="E10" s="60" t="n">
        <v>100</v>
      </c>
    </row>
    <row r="11">
      <c r="A11" s="70" t="inlineStr">
        <is>
          <t xml:space="preserve">  memo: current EV / EBITDA</t>
        </is>
      </c>
      <c r="E11" s="75">
        <f>(E10*E9-E8)/E5</f>
        <v/>
      </c>
    </row>
    <row r="12">
      <c r="A12" s="70" t="inlineStr">
        <is>
          <t xml:space="preserve">  memo: current P / E (FY2026E)</t>
        </is>
      </c>
      <c r="E12" s="75">
        <f>E10/E7</f>
        <v/>
      </c>
    </row>
    <row r="14">
      <c r="A14" s="14" t="inlineStr">
        <is>
          <t>EXIT MULTIPLE BUILD — FY2030E TERMINAL YEAR</t>
        </is>
      </c>
    </row>
    <row r="15">
      <c r="A15" s="70" t="inlineStr">
        <is>
          <t>Peer / reference EV/EBITDA (forward / illustrative)</t>
        </is>
      </c>
    </row>
    <row r="16">
      <c r="A16" s="76" t="inlineStr">
        <is>
          <t>Company</t>
        </is>
      </c>
      <c r="B16" s="76" t="inlineStr">
        <is>
          <t>Justification</t>
        </is>
      </c>
      <c r="C16" s="76" t="inlineStr">
        <is>
          <t>Source (click)</t>
        </is>
      </c>
      <c r="D16" s="76" t="inlineStr">
        <is>
          <t>Ctrl+F (prove number)</t>
        </is>
      </c>
      <c r="E16" s="77" t="inlineStr">
        <is>
          <t>EV/EBITDA</t>
        </is>
      </c>
    </row>
    <row r="17" ht="36" customHeight="1">
      <c r="A17" s="16" t="inlineStr">
        <is>
          <t>lululemon (LULU) — current</t>
        </is>
      </c>
      <c r="B17" s="36" t="inlineStr">
        <is>
          <t>Distressed trough multiple on FY2025A EBITDA</t>
        </is>
      </c>
      <c r="C17" s="58" t="inlineStr">
        <is>
          <t>LULU FY2025 10-K</t>
        </is>
      </c>
      <c r="D17" s="19" t="inlineStr">
        <is>
          <t>"Income from operations" $2,210,615 + "Depreciation and amortization" $496,228</t>
        </is>
      </c>
      <c r="E17" s="78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~18x forward EV/EBITDA illustrative; mature global athletic benchmark with slower growth than LULU peak.</t>
        </is>
      </c>
      <c r="C18" s="18" t="inlineStr">
        <is>
          <t>Yahoo Finance: NKE statistics</t>
        </is>
      </c>
      <c r="D18" s="19" t="inlineStr">
        <is>
          <t>"Enterprise Value/EBITDA" → NKE forward multiple ≈ 18x (illustrative peer)</t>
        </is>
      </c>
      <c r="E18" s="79" t="n">
        <v>18</v>
      </c>
    </row>
    <row r="19" ht="36" customHeight="1">
      <c r="A19" s="16" t="inlineStr">
        <is>
          <t>Deckers (DECK)</t>
        </is>
      </c>
      <c r="B19" s="17" t="inlineStr">
        <is>
          <t>Deckers ~15x reference; premium footwear peer with HOKA/UGG momentum and strong brand heat.</t>
        </is>
      </c>
      <c r="C19" s="18" t="inlineStr">
        <is>
          <t>Yahoo Finance: DECK statistics</t>
        </is>
      </c>
      <c r="D19" s="19" t="inlineStr">
        <is>
          <t>"Enterprise Value/EBITDA" → DECK forward multiple ≈ 15x</t>
        </is>
      </c>
      <c r="E19" s="79" t="n">
        <v>15</v>
      </c>
    </row>
    <row r="20" ht="36" customHeight="1">
      <c r="A20" s="16" t="inlineStr">
        <is>
          <t>On Holding (ONON)</t>
        </is>
      </c>
      <c r="B20" s="17" t="inlineStr">
        <is>
          <t>On Holding ~25x; high-growth athletic peer setting upper bound for premium positioning and white space.</t>
        </is>
      </c>
      <c r="C20" s="18" t="inlineStr">
        <is>
          <t>Yahoo Finance: ONON statistics</t>
        </is>
      </c>
      <c r="D20" s="19" t="inlineStr">
        <is>
          <t>"Enterprise Value/EBITDA" → ONON forward multiple ≈ 25x</t>
        </is>
      </c>
      <c r="E20" s="79" t="n">
        <v>25</v>
      </c>
    </row>
    <row r="21" ht="36" customHeight="1">
      <c r="A21" s="16" t="inlineStr">
        <is>
          <t>adidas (ADS)</t>
        </is>
      </c>
      <c r="B21" s="17" t="inlineStr">
        <is>
          <t>adidas ~12x; global incumbent in restructuring with moderate growth and complex brand portfolio.</t>
        </is>
      </c>
      <c r="C21" s="18" t="inlineStr">
        <is>
          <t>Yahoo Finance: adidas (ADDYY)</t>
        </is>
      </c>
      <c r="D21" s="19" t="inlineStr">
        <is>
          <t>"Enterprise Value/EBITDA" → ADDYY forward multiple ≈ 12x</t>
        </is>
      </c>
      <c r="E21" s="79" t="n">
        <v>12</v>
      </c>
    </row>
    <row r="22" ht="36" customHeight="1">
      <c r="A22" s="16" t="inlineStr">
        <is>
          <t>V.F. Corp (VFC)</t>
        </is>
      </c>
      <c r="B22" s="17" t="inlineStr">
        <is>
          <t>VFC ~10x; challenged multi-brand apparel operator representing lower bound for scaled apparel peers.</t>
        </is>
      </c>
      <c r="C22" s="18" t="inlineStr">
        <is>
          <t>Yahoo Finance: VFC statistics</t>
        </is>
      </c>
      <c r="D22" s="19" t="inlineStr">
        <is>
          <t>"Enterprise Value/EBITDA" → VFC forward multiple ≈ 10x</t>
        </is>
      </c>
      <c r="E22" s="79" t="n">
        <v>10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57">
        <f>DCF!E29</f>
        <v/>
      </c>
    </row>
    <row r="26">
      <c r="A26" s="68" t="inlineStr">
        <is>
          <t>Selected exit multiple (base case)</t>
        </is>
      </c>
      <c r="E26" s="66">
        <f>DCF!E43</f>
        <v/>
      </c>
    </row>
    <row r="27">
      <c r="A27" s="16" t="inlineStr">
        <is>
          <t>Spread (selected − Gordon implied)</t>
        </is>
      </c>
      <c r="E27" s="57">
        <f>E26-E25</f>
        <v/>
      </c>
    </row>
    <row r="28">
      <c r="A28" s="68" t="inlineStr">
        <is>
          <t>Rationale for 8.0x</t>
        </is>
      </c>
    </row>
    <row r="29">
      <c r="A29" s="29" t="inlineStr">
        <is>
          <t>•  Mid-point of terminal football field (6.5–9.5x on FY2030E EBITDA) — 8.0x sits between bear and bull exit</t>
        </is>
      </c>
    </row>
    <row r="30">
      <c r="A30" s="29" t="inlineStr">
        <is>
          <t>•  Above Gordon-implied exit (~7x) — ~1 turn buffer vs perpetuity math on terminal FCF</t>
        </is>
      </c>
    </row>
    <row r="31">
      <c r="A31" s="29" t="inlineStr">
        <is>
          <t>•  Below premium-growth peers (ONON ~25x, DECK ~15x) — reflects Americas maturity at terminal</t>
        </is>
      </c>
    </row>
    <row r="32">
      <c r="A32" s="29" t="inlineStr">
        <is>
          <t>•  Above current LULU (~3.5x on FY2025A) — assumes partial recovery, not full re-rating to historical peaks</t>
        </is>
      </c>
    </row>
    <row r="33">
      <c r="A33" s="29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6" t="inlineStr">
        <is>
          <t>Method</t>
        </is>
      </c>
      <c r="B36" s="76" t="inlineStr">
        <is>
          <t>Justification</t>
        </is>
      </c>
      <c r="C36" s="76" t="inlineStr">
        <is>
          <t>Source</t>
        </is>
      </c>
      <c r="D36" s="76" t="inlineStr">
        <is>
          <t>Ctrl+F</t>
        </is>
      </c>
      <c r="E36" s="77" t="inlineStr">
        <is>
          <t>Low mult.</t>
        </is>
      </c>
      <c r="F36" s="77" t="inlineStr">
        <is>
          <t>High mult.</t>
        </is>
      </c>
      <c r="G36" s="77" t="inlineStr">
        <is>
          <t>Implied px (low)</t>
        </is>
      </c>
      <c r="H36" s="77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0" t="inlineStr">
        <is>
          <t>Lo: StockAnalysis: LULU EV/EBITDA
Hi: StockAnalysis: LULU valuation</t>
        </is>
      </c>
      <c r="D37" s="19" t="inlineStr">
        <is>
          <t>Lo: "Enterprise Value/EBITDA" → LULU current trough; bear terminal 6.5x
Hi: "Enterprise Value/EBITDA" → bull terminal 9.5x on FY2030E EBITDA</t>
        </is>
      </c>
      <c r="E37" s="79" t="n">
        <v>6.5</v>
      </c>
      <c r="F37" s="79" t="n">
        <v>9.5</v>
      </c>
      <c r="G37" s="81">
        <f>(E6*E37+E8)/E9</f>
        <v/>
      </c>
      <c r="H37" s="81">
        <f>(E6*F37+E8)/E9</f>
        <v/>
      </c>
    </row>
    <row r="38" ht="36" customHeight="1">
      <c r="A38" s="68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"Enterprise Value/EBITDA" on StockAnalysis; model terminal exit 8.0x FY2030E EBITDA</t>
        </is>
      </c>
      <c r="E38" s="82">
        <f>DCF!E43</f>
        <v/>
      </c>
      <c r="G38" s="83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0" t="inlineStr">
        <is>
          <t>Lo: Yahoo Finance: LULU P/E
Hi: Yahoo Finance: NKE P/E (peer)</t>
        </is>
      </c>
      <c r="D39" s="19" t="inlineStr">
        <is>
          <t>Lo: "Forward P/E" → LULU on depressed FY26E EPS; low case 10.0x
Hi: "Forward P/E" → NKE peer benchmark; high case 18.0x on FY26E EPS</t>
        </is>
      </c>
      <c r="E39" s="79" t="n">
        <v>10</v>
      </c>
      <c r="F39" s="79" t="n">
        <v>18</v>
      </c>
      <c r="G39" s="81">
        <f>E7*E39</f>
        <v/>
      </c>
      <c r="H39" s="81">
        <f>E7*F39</f>
        <v/>
      </c>
    </row>
    <row r="40">
      <c r="A40" s="16" t="inlineStr">
        <is>
          <t>DCF (bear – bull)</t>
        </is>
      </c>
      <c r="E40" s="84" t="inlineStr">
        <is>
          <t>—</t>
        </is>
      </c>
      <c r="F40" s="84" t="inlineStr">
        <is>
          <t>—</t>
        </is>
      </c>
      <c r="G40" s="81">
        <f>Scenarios!F58</f>
        <v/>
      </c>
      <c r="H40" s="81">
        <f>Scenarios!H58</f>
        <v/>
      </c>
    </row>
    <row r="42" ht="36" customHeight="1">
      <c r="A42" s="85" t="inlineStr">
        <is>
          <t>Current price</t>
        </is>
      </c>
      <c r="C42" s="58" t="inlineStr">
        <is>
          <t>NASDAQ</t>
        </is>
      </c>
      <c r="D42" s="19" t="inlineStr">
        <is>
          <t>"Last Sale" or "Previous Close" → LULU share price</t>
        </is>
      </c>
      <c r="E42" s="86" t="n">
        <v>100</v>
      </c>
    </row>
    <row r="43">
      <c r="A43" s="36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7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3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2026-09-06T19:41:11Z</dcterms:created>
  <dcterms:modified xmlns:dcterms="http://purl.org/dc/terms/" xmlns:xsi="http://www.w3.org/2001/XMLSchema-instance" xsi:type="dcterms:W3CDTF">2026-09-06T19:41:11Z</dcterms:modified>
</cp:coreProperties>
</file>
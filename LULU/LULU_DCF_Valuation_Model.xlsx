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b val="1"/>
      <color rgb="00C8102E"/>
      <sz val="9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8" fillId="0" borderId="0" pivotButton="0" quotePrefix="0" xfId="0"/>
    <xf numFmtId="2" fontId="15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 indent="1"/>
    </xf>
    <xf numFmtId="164" fontId="2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1" fillId="3" borderId="1" applyAlignment="1" pivotButton="0" quotePrefix="0" xfId="0">
      <alignment horizontal="right" vertical="center"/>
    </xf>
    <xf numFmtId="0" fontId="22" fillId="4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0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1" fillId="3" borderId="2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28" fillId="4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3" fillId="0" borderId="1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5" fontId="20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 wrapText="1"/>
    </xf>
    <xf numFmtId="0" fontId="28" fillId="2" borderId="0" pivotButton="0" quotePrefix="0" xfId="0"/>
    <xf numFmtId="165" fontId="20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20" fillId="0" borderId="0" applyAlignment="1" pivotButton="0" quotePrefix="0" xfId="0">
      <alignment horizontal="right" vertical="center"/>
    </xf>
    <xf numFmtId="166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44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pages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pages.stern.nyu.edu/~adamodar/New_Home_Page/datafile/taxrate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investor.lululemon.com/news-releases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pages.stern.nyu.edu/~adamodar/New_Home_Page/datafile/taxrate.html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investor.lululemon.com/news-releases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macrotrends.net/stocks/charts/LULU/lululemon-athletica/enterprise-value-ebitda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pages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S.DE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finance.yahoo.com/quote/LULU/key-statistics/" TargetMode="External" Id="rId17"/><Relationship Type="http://schemas.openxmlformats.org/officeDocument/2006/relationships/hyperlink" Target="https://www.macrotrends.net/stocks/charts/LULU/lululemon-athletica/enterprise-value-ebitda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 (justification + clickable source link)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8" customWidth="1" min="4" max="4"/>
    <col width="30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</row>
    <row r="3">
      <c r="A3" s="15" t="inlineStr">
        <is>
          <t>Risk-free rate (10-yr UST)</t>
        </is>
      </c>
      <c r="C3" s="16" t="n">
        <v>0.043</v>
      </c>
      <c r="D3" s="17" t="inlineStr">
        <is>
          <t>4.3% risk-free anchored to FRED 10Y Treasury (DGS10); rounded early-Sep-2026 level for DCF stability.</t>
        </is>
      </c>
      <c r="E3" s="18" t="inlineStr">
        <is>
          <t>FRED: 10Y Treasury (DGS10)</t>
        </is>
      </c>
    </row>
    <row r="4">
      <c r="A4" s="15" t="inlineStr">
        <is>
          <t>Equity risk premium</t>
        </is>
      </c>
      <c r="C4" s="16" t="n">
        <v>0.06</v>
      </c>
      <c r="D4" s="17" t="inlineStr">
        <is>
          <t>6.0% additive ERP; conservative vs Damodaran implied ~4.2% (Jan-26); within long-run historical US range.</t>
        </is>
      </c>
      <c r="E4" s="18" t="inlineStr">
        <is>
          <t>Damodaran: Historical Implied ERP</t>
        </is>
      </c>
    </row>
    <row r="5">
      <c r="A5" s="15" t="inlineStr">
        <is>
          <t>Levered beta</t>
        </is>
      </c>
      <c r="C5" s="19" t="n">
        <v>0.95</v>
      </c>
      <c r="D5" s="17" t="inlineStr">
        <is>
          <t>0.95 levered beta vs ~0.86 market; modest uplift for near-term earnings volatility and post-guidance de-rating.</t>
        </is>
      </c>
      <c r="E5" s="18" t="inlineStr">
        <is>
          <t>Yahoo Finance: LULU Beta</t>
        </is>
      </c>
    </row>
    <row r="6">
      <c r="A6" s="20" t="inlineStr">
        <is>
          <t>Cost of equity = rf + β × ERP</t>
        </is>
      </c>
      <c r="C6" s="21">
        <f>C3+C5*C4</f>
        <v/>
      </c>
    </row>
    <row r="8">
      <c r="A8" s="14" t="inlineStr">
        <is>
          <t>Cost of debt</t>
        </is>
      </c>
    </row>
    <row r="9">
      <c r="A9" s="15" t="inlineStr">
        <is>
          <t>Pre-tax cost of debt</t>
        </is>
      </c>
      <c r="C9" s="16" t="n">
        <v>0.05</v>
      </c>
      <c r="D9" s="17" t="inlineStr">
        <is>
          <t>5.0% illustrative pre-tax debt cost; LULU has no funded term debt, only an undrawn revolving credit facility.</t>
        </is>
      </c>
      <c r="E9" s="18" t="inlineStr">
        <is>
          <t>LULU FY2025 10-K (no funded debt)</t>
        </is>
      </c>
    </row>
    <row r="10">
      <c r="A10" s="15" t="inlineStr">
        <is>
          <t>Tax rate</t>
        </is>
      </c>
      <c r="C10" s="16" t="n">
        <v>0.27</v>
      </c>
      <c r="D10" s="17" t="inlineStr">
        <is>
          <t>27% normalized marginal cash tax rate; mid-point between recent effective rates and US federal-plus-state blend.</t>
        </is>
      </c>
      <c r="E10" s="18" t="inlineStr">
        <is>
          <t>Damodaran: US tax rate dataset</t>
        </is>
      </c>
    </row>
    <row r="11">
      <c r="A11" s="15" t="inlineStr">
        <is>
          <t>After-tax cost of debt</t>
        </is>
      </c>
      <c r="C11" s="22">
        <f>C9*(1-C10)</f>
        <v/>
      </c>
    </row>
    <row r="13">
      <c r="A13" s="14" t="inlineStr">
        <is>
          <t>Capital structure (market values)</t>
        </is>
      </c>
    </row>
    <row r="14">
      <c r="A14" s="15" t="inlineStr">
        <is>
          <t>Equity weight</t>
        </is>
      </c>
      <c r="C14" s="16" t="n">
        <v>1</v>
      </c>
      <c r="D14" s="17" t="inlineStr">
        <is>
          <t>100% equity weight; net-cash balance sheet with no material funded debt at market values per FY2025 10-K.</t>
        </is>
      </c>
      <c r="E14" s="18" t="inlineStr">
        <is>
          <t>LULU FY2025 10-K balance sheet</t>
        </is>
      </c>
    </row>
    <row r="15">
      <c r="A15" s="15" t="inlineStr">
        <is>
          <t>Debt weight</t>
        </is>
      </c>
      <c r="C15" s="16" t="n">
        <v>0</v>
      </c>
      <c r="D15" s="17" t="inlineStr">
        <is>
          <t>0% debt weight; no outstanding term loans or bonds, so WACC effectively equals levered cost of equity here.</t>
        </is>
      </c>
      <c r="E15" s="18" t="inlineStr">
        <is>
          <t>LULU FY2025 10-K balance sheet</t>
        </is>
      </c>
    </row>
    <row r="16">
      <c r="A16" s="20" t="inlineStr">
        <is>
          <t>WACC</t>
        </is>
      </c>
      <c r="C16" s="23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  <col width="44" customWidth="1" min="6" max="6"/>
    <col width="28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4" t="inlineStr">
        <is>
          <t>Bear</t>
        </is>
      </c>
      <c r="D2" s="25" t="inlineStr">
        <is>
          <t>Base</t>
        </is>
      </c>
      <c r="E2" s="26" t="inlineStr">
        <is>
          <t>Bull</t>
        </is>
      </c>
    </row>
    <row r="3">
      <c r="A3" s="14" t="inlineStr">
        <is>
          <t>Key assumptions (5-yr forecast)</t>
        </is>
      </c>
      <c r="F3" s="27" t="inlineStr">
        <is>
          <t>Justification (~20 words)</t>
        </is>
      </c>
      <c r="G3" s="27" t="inlineStr">
        <is>
          <t>Source</t>
        </is>
      </c>
    </row>
    <row r="4">
      <c r="A4" s="15" t="inlineStr">
        <is>
          <t>FY2026E revenue growth</t>
        </is>
      </c>
      <c r="C4" s="16" t="n">
        <v>-0.09</v>
      </c>
      <c r="D4" s="16" t="n">
        <v>-0.061</v>
      </c>
      <c r="E4" s="16" t="n">
        <v>-0.04</v>
      </c>
      <c r="F4" s="17" t="inlineStr">
        <is>
          <t>−6.1% FY2026 revenue growth matches company guidance midpoint of −5% to −7% after Q2 FY2026 print.</t>
        </is>
      </c>
      <c r="G4" s="18" t="inlineStr">
        <is>
          <t>LULU Q2 FY2026 earnings release</t>
        </is>
      </c>
    </row>
    <row r="5">
      <c r="A5" s="15" t="inlineStr">
        <is>
          <t>FY2027–FY2030E revenue growth (avg)</t>
        </is>
      </c>
      <c r="C5" s="16" t="n">
        <v>-0.01</v>
      </c>
      <c r="D5" s="16" t="n">
        <v>0.028</v>
      </c>
      <c r="E5" s="16" t="n">
        <v>0.06</v>
      </c>
      <c r="F5" s="17" t="inlineStr">
        <is>
          <t>2.8% avg FY27–30 growth assumes gradual recovery; well below historical double-digit LULU revenue expansion.</t>
        </is>
      </c>
      <c r="G5" s="18" t="inlineStr">
        <is>
          <t>LULU historical revenue (10-K)</t>
        </is>
      </c>
    </row>
    <row r="6">
      <c r="A6" s="15" t="inlineStr">
        <is>
          <t>FY2026E EBIT margin</t>
        </is>
      </c>
      <c r="C6" s="16" t="n">
        <v>0.125</v>
      </c>
      <c r="D6" s="16" t="n">
        <v>0.139</v>
      </c>
      <c r="E6" s="16" t="n">
        <v>0.15</v>
      </c>
      <c r="F6" s="17" t="inlineStr">
        <is>
          <t>13.9% FY2026 EBIT margin reflects Americas weakness and guided compression; above bear, below historical peak.</t>
        </is>
      </c>
      <c r="G6" s="18" t="inlineStr">
        <is>
          <t>LULU Q2 FY2026 guidance / 10-K margins</t>
        </is>
      </c>
    </row>
    <row r="7">
      <c r="A7" s="15" t="inlineStr">
        <is>
          <t>Terminal (FY2030E) EBIT margin</t>
        </is>
      </c>
      <c r="C7" s="16" t="n">
        <v>0.12</v>
      </c>
      <c r="D7" s="16" t="n">
        <v>0.155</v>
      </c>
      <c r="E7" s="16" t="n">
        <v>0.19</v>
      </c>
      <c r="F7" s="17" t="inlineStr">
        <is>
          <t>15.5% FY2030 EBIT margin assumes partial recovery; still materially below ~20–24% peak operating margins.</t>
        </is>
      </c>
      <c r="G7" s="18" t="inlineStr">
        <is>
          <t>LULU historical EBIT margins (10-K)</t>
        </is>
      </c>
    </row>
    <row r="8">
      <c r="A8" s="15" t="inlineStr">
        <is>
          <t>WACC</t>
        </is>
      </c>
      <c r="C8" s="16" t="n">
        <v>0.11</v>
      </c>
      <c r="D8" s="16" t="n">
        <v>0.1</v>
      </c>
      <c r="E8" s="16" t="n">
        <v>0.09</v>
      </c>
      <c r="F8" s="17" t="inlineStr">
        <is>
          <t>10.0% base WACC ties to CAPM build on WACC tab; drives scenario DCFs and base-case valuation.</t>
        </is>
      </c>
      <c r="G8" s="28" t="inlineStr">
        <is>
          <t>WACC tab: CAPM build</t>
        </is>
      </c>
    </row>
    <row r="9">
      <c r="A9" s="15" t="inlineStr">
        <is>
          <t>Terminal growth</t>
        </is>
      </c>
      <c r="C9" s="16" t="n">
        <v>0.015</v>
      </c>
      <c r="D9" s="16" t="n">
        <v>0.0225</v>
      </c>
      <c r="E9" s="16" t="n">
        <v>0.03</v>
      </c>
      <c r="F9" s="17" t="inlineStr">
        <is>
          <t>2.25% terminal growth approximates long-run GDP plus inflation; conservative perpetuity rate for mature apparel.</t>
        </is>
      </c>
      <c r="G9" s="18" t="inlineStr">
        <is>
          <t>BEA: Real GDP (FRED GDPC1)</t>
        </is>
      </c>
    </row>
    <row r="10">
      <c r="A10" s="15" t="inlineStr">
        <is>
          <t>Cash tax rate</t>
        </is>
      </c>
      <c r="C10" s="16" t="n">
        <v>0.3</v>
      </c>
      <c r="D10" s="16" t="n">
        <v>0.27</v>
      </c>
      <c r="E10" s="16" t="n">
        <v>0.25</v>
      </c>
      <c r="F10" s="17" t="inlineStr">
        <is>
          <t>27% cash tax rate for scenario FCF; consistent with WACC normalized rate and DCF unlevered cash conversion.</t>
        </is>
      </c>
      <c r="G10" s="18" t="inlineStr">
        <is>
          <t>Damodaran: US tax rate dataset</t>
        </is>
      </c>
    </row>
    <row r="11">
      <c r="A11" s="15" t="inlineStr">
        <is>
          <t>D&amp;A % of revenue</t>
        </is>
      </c>
      <c r="C11" s="16" t="n">
        <v>0.045</v>
      </c>
      <c r="D11" s="16" t="n">
        <v>0.045</v>
      </c>
      <c r="E11" s="16" t="n">
        <v>0.045</v>
      </c>
      <c r="F11" s="17" t="inlineStr">
        <is>
          <t>4.5% D&amp;A to revenue near FY22–25 average; reflects store fleet, distribution, and technology amortization load.</t>
        </is>
      </c>
      <c r="G11" s="18" t="inlineStr">
        <is>
          <t>LULU CF statement (10-K)</t>
        </is>
      </c>
    </row>
    <row r="12">
      <c r="A12" s="15" t="inlineStr">
        <is>
          <t>Capex % of revenue</t>
        </is>
      </c>
      <c r="C12" s="16" t="n">
        <v>0.055</v>
      </c>
      <c r="D12" s="16" t="n">
        <v>0.05</v>
      </c>
      <c r="E12" s="16" t="n">
        <v>0.045</v>
      </c>
      <c r="F12" s="17" t="inlineStr">
        <is>
          <t>5.0% capex to revenue aligned with recent investment intensity and continued global store expansion plans.</t>
        </is>
      </c>
      <c r="G12" s="18" t="inlineStr">
        <is>
          <t>LULU CF statement (10-K)</t>
        </is>
      </c>
    </row>
    <row r="13">
      <c r="A13" s="15" t="inlineStr">
        <is>
          <t>NWC build % of Δrevenue</t>
        </is>
      </c>
      <c r="C13" s="16" t="n">
        <v>0.08</v>
      </c>
      <c r="D13" s="16" t="n">
        <v>0.075</v>
      </c>
      <c r="E13" s="16" t="n">
        <v>0.07000000000000001</v>
      </c>
      <c r="F13" s="17" t="inlineStr">
        <is>
          <t>7.5% of revenue change for ΔNWC; ties working-capital swings to sales trajectory per historical sensitivity.</t>
        </is>
      </c>
      <c r="G13" s="18" t="inlineStr">
        <is>
          <t>LULU BS/IS historical (10-K)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0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0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40" customWidth="1" min="10" max="10"/>
    <col width="26" customWidth="1" min="11" max="11"/>
    <col width="24" customWidth="1" min="12" max="12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</t>
        </is>
      </c>
      <c r="L2" s="41" t="inlineStr">
        <is>
          <t>Alt. 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5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5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7" t="inlineStr">
        <is>
          <t>−6.1% FY2026 revenue growth matches company guidance midpoint of −5% to −7% after Q2 FY2026 print.</t>
        </is>
      </c>
      <c r="K6" s="18" t="inlineStr">
        <is>
          <t>LULU Q2 FY2026 earnings release</t>
        </is>
      </c>
      <c r="L6" s="18" t="inlineStr">
        <is>
          <t>LULU historical revenue (10-K)</t>
        </is>
      </c>
    </row>
    <row r="7">
      <c r="A7" s="15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7" t="inlineStr">
        <is>
          <t>13.9% FY2026 EBIT margin reflects Americas weakness and guided compression; above bear, below historical peak.</t>
        </is>
      </c>
      <c r="K7" s="18" t="inlineStr">
        <is>
          <t>LULU Q2 FY2026 guidance / 10-K margins</t>
        </is>
      </c>
      <c r="L7" s="18" t="inlineStr">
        <is>
          <t>LULU historical EBIT margins (10-K)</t>
        </is>
      </c>
    </row>
    <row r="8">
      <c r="A8" s="20" t="inlineStr">
        <is>
          <t>EBIT</t>
        </is>
      </c>
      <c r="C8" s="49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0">
        <f>IF(MAX(ABS(D8-Scenarios!$D$26),ABS(E8-Scenarios!$D$27),ABS(F8-Scenarios!$D$28),ABS(G8-Scenarios!$D$29),ABS(H8-Scenarios!$D$30))&lt;0.5,"OK","CHECK")</f>
        <v/>
      </c>
    </row>
    <row r="9">
      <c r="A9" s="15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0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0">
        <f>IF(MAX(ABS(D10-Scenarios!$D$31),ABS(E10-Scenarios!$D$32),ABS(F10-Scenarios!$D$33),ABS(G10-Scenarios!$D$34),ABS(H10-Scenarios!$D$35))&lt;0.5,"OK","CHECK")</f>
        <v/>
      </c>
    </row>
    <row r="11">
      <c r="A11" s="15" t="inlineStr">
        <is>
          <t xml:space="preserve">  D&amp;A % of revenue</t>
        </is>
      </c>
      <c r="D11" s="16">
        <f>Scenarios!$D$11</f>
        <v/>
      </c>
      <c r="E11" s="16">
        <f>Scenarios!$D$11</f>
        <v/>
      </c>
      <c r="F11" s="16">
        <f>Scenarios!$D$11</f>
        <v/>
      </c>
      <c r="G11" s="16">
        <f>Scenarios!$D$11</f>
        <v/>
      </c>
      <c r="H11" s="16">
        <f>Scenarios!$D$11</f>
        <v/>
      </c>
      <c r="J11" s="17" t="inlineStr">
        <is>
          <t>4.5% D&amp;A to revenue near FY22–25 average; reflects store fleet, distribution, and technology amortization load.</t>
        </is>
      </c>
      <c r="K11" s="18" t="inlineStr">
        <is>
          <t>LULU CF statement (10-K)</t>
        </is>
      </c>
    </row>
    <row r="12">
      <c r="A12" s="15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5" t="inlineStr">
        <is>
          <t xml:space="preserve">  Capex % of revenue</t>
        </is>
      </c>
      <c r="D13" s="16">
        <f>Scenarios!$D$12</f>
        <v/>
      </c>
      <c r="E13" s="16">
        <f>Scenarios!$D$12</f>
        <v/>
      </c>
      <c r="F13" s="16">
        <f>Scenarios!$D$12</f>
        <v/>
      </c>
      <c r="G13" s="16">
        <f>Scenarios!$D$12</f>
        <v/>
      </c>
      <c r="H13" s="16">
        <f>Scenarios!$D$12</f>
        <v/>
      </c>
      <c r="J13" s="17" t="inlineStr">
        <is>
          <t>5.0% capex to revenue aligned with recent investment intensity and continued global store expansion plans.</t>
        </is>
      </c>
      <c r="K13" s="18" t="inlineStr">
        <is>
          <t>LULU CF statement (10-K)</t>
        </is>
      </c>
    </row>
    <row r="14">
      <c r="A14" s="15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5" t="inlineStr">
        <is>
          <t xml:space="preserve">  NWC build % of Δrevenue</t>
        </is>
      </c>
      <c r="D15" s="16">
        <f>Scenarios!$D$13</f>
        <v/>
      </c>
      <c r="E15" s="16">
        <f>Scenarios!$D$13</f>
        <v/>
      </c>
      <c r="F15" s="16">
        <f>Scenarios!$D$13</f>
        <v/>
      </c>
      <c r="G15" s="16">
        <f>Scenarios!$D$13</f>
        <v/>
      </c>
      <c r="H15" s="16">
        <f>Scenarios!$D$13</f>
        <v/>
      </c>
      <c r="J15" s="17" t="inlineStr">
        <is>
          <t>7.5% of revenue change for ΔNWC; ties working-capital swings to sales trajectory per historical sensitivity.</t>
        </is>
      </c>
      <c r="K15" s="18" t="inlineStr">
        <is>
          <t>LULU BS/IS historical (10-K)</t>
        </is>
      </c>
    </row>
    <row r="16">
      <c r="A16" s="15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0" t="inlineStr">
        <is>
          <t>Unlevered free cash flow</t>
        </is>
      </c>
      <c r="D18" s="51">
        <f>Scenarios!D51</f>
        <v/>
      </c>
      <c r="E18" s="51">
        <f>Scenarios!D52</f>
        <v/>
      </c>
      <c r="F18" s="51">
        <f>Scenarios!D53</f>
        <v/>
      </c>
      <c r="G18" s="51">
        <f>Scenarios!D54</f>
        <v/>
      </c>
      <c r="H18" s="51">
        <f>Scenarios!D55</f>
        <v/>
      </c>
      <c r="I18" s="50">
        <f>IF(MAX(ABS(D18-Scenarios!$D$51),ABS(E18-Scenarios!$D$52),ABS(F18-Scenarios!$D$53),ABS(G18-Scenarios!$D$54),ABS(H18-Scenarios!$D$55))&lt;0.5,"OK","CHECK")</f>
        <v/>
      </c>
    </row>
    <row r="19">
      <c r="A19" s="15" t="inlineStr">
        <is>
          <t>Discount period (years)</t>
        </is>
      </c>
      <c r="D19" s="52" t="n">
        <v>1</v>
      </c>
      <c r="E19" s="52" t="n">
        <v>2</v>
      </c>
      <c r="F19" s="52" t="n">
        <v>3</v>
      </c>
      <c r="G19" s="52" t="n">
        <v>4</v>
      </c>
      <c r="H19" s="52" t="n">
        <v>5</v>
      </c>
    </row>
    <row r="20">
      <c r="A20" s="15" t="inlineStr">
        <is>
          <t>Discount factor @ WACC</t>
        </is>
      </c>
      <c r="D20" s="53">
        <f>1/(1+Scenarios!$D$8)^D19</f>
        <v/>
      </c>
      <c r="E20" s="53">
        <f>1/(1+Scenarios!$D$8)^E19</f>
        <v/>
      </c>
      <c r="F20" s="53">
        <f>1/(1+Scenarios!$D$8)^F19</f>
        <v/>
      </c>
      <c r="G20" s="53">
        <f>1/(1+Scenarios!$D$8)^G19</f>
        <v/>
      </c>
      <c r="H20" s="53">
        <f>1/(1+Scenarios!$D$8)^H19</f>
        <v/>
      </c>
    </row>
    <row r="21">
      <c r="A21" s="20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27" t="inlineStr">
        <is>
          <t>Scenarios linkage summary (column I should all read OK)</t>
        </is>
      </c>
      <c r="I23" s="54">
        <f>IF(COUNTIF(I5:I18,"CHECK")=0,"ALL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0" t="inlineStr">
        <is>
          <t>Sum of PV of explicit FCF (FY26–FY30)</t>
        </is>
      </c>
      <c r="C25" s="56">
        <f>SUM(D21:H21)</f>
        <v/>
      </c>
    </row>
    <row r="26">
      <c r="A26" s="15" t="inlineStr">
        <is>
          <t>Terminal growth rate (g)</t>
        </is>
      </c>
      <c r="C26" s="48">
        <f>Scenarios!$D$9</f>
        <v/>
      </c>
      <c r="J26" s="17" t="inlineStr">
        <is>
          <t>2.25% terminal growth approximates long-run GDP plus inflation; conservative perpetuity rate for mature apparel.</t>
        </is>
      </c>
      <c r="K26" s="18" t="inlineStr">
        <is>
          <t>BEA: Real GDP (FRED GDPC1)</t>
        </is>
      </c>
    </row>
    <row r="27">
      <c r="A27" s="20" t="inlineStr">
        <is>
          <t>Terminal EBITDA (FY2030E EBIT + D&amp;A)</t>
        </is>
      </c>
      <c r="C27" s="32">
        <f>H8+H12</f>
        <v/>
      </c>
    </row>
    <row r="28">
      <c r="A28" s="15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5" t="inlineStr">
        <is>
          <t xml:space="preserve">  Implied exit EV/EBITDA (Gordon Growth)</t>
        </is>
      </c>
      <c r="C29" s="57">
        <f>C28/C27</f>
        <v/>
      </c>
    </row>
    <row r="30">
      <c r="A30" s="20" t="inlineStr">
        <is>
          <t>PV of terminal value</t>
        </is>
      </c>
      <c r="C30" s="56">
        <f>C28/(1+Scenarios!$D$8)^H19</f>
        <v/>
      </c>
    </row>
    <row r="31">
      <c r="A31" s="20" t="inlineStr">
        <is>
          <t>Enterprise value</t>
        </is>
      </c>
      <c r="C31" s="32">
        <f>C25+C30</f>
        <v/>
      </c>
    </row>
    <row r="32">
      <c r="A32" s="15" t="inlineStr">
        <is>
          <t>Plus: cash &amp; equivalents (FY2025)</t>
        </is>
      </c>
      <c r="C32" s="45" t="n">
        <v>1807202</v>
      </c>
      <c r="D32" s="58" t="inlineStr">
        <is>
          <t>10-K</t>
        </is>
      </c>
    </row>
    <row r="33">
      <c r="A33" s="15" t="inlineStr">
        <is>
          <t>Less: total debt</t>
        </is>
      </c>
      <c r="C33" s="45" t="n">
        <v>0</v>
      </c>
      <c r="D33" s="58" t="inlineStr">
        <is>
          <t>10-K</t>
        </is>
      </c>
    </row>
    <row r="34">
      <c r="A34" s="20" t="inlineStr">
        <is>
          <t>Equity value</t>
        </is>
      </c>
      <c r="C34" s="32">
        <f>C31+C32+C33</f>
        <v/>
      </c>
    </row>
    <row r="35">
      <c r="A35" s="15" t="inlineStr">
        <is>
          <t>Diluted shares outstanding (000)</t>
        </is>
      </c>
      <c r="C35" s="45" t="n">
        <v>111380</v>
      </c>
      <c r="D35" s="58" t="inlineStr">
        <is>
          <t>10-K</t>
        </is>
      </c>
    </row>
    <row r="36">
      <c r="A36" s="20" t="inlineStr">
        <is>
          <t>Implied value per share</t>
        </is>
      </c>
      <c r="C36" s="59">
        <f>C34/C35</f>
        <v/>
      </c>
      <c r="I36" s="50">
        <f>IF(ABS(C36-Scenarios!$D$58)&lt;0.05,"OK","CHECK")</f>
        <v/>
      </c>
    </row>
    <row r="37">
      <c r="A37" s="15" t="inlineStr">
        <is>
          <t>Current share price</t>
        </is>
      </c>
      <c r="C37" s="60" t="n">
        <v>100</v>
      </c>
      <c r="D37" s="58" t="inlineStr">
        <is>
          <t>NASDAQ</t>
        </is>
      </c>
    </row>
    <row r="38">
      <c r="A38" s="20" t="inlineStr">
        <is>
          <t>Implied upside / (downside)</t>
        </is>
      </c>
      <c r="C38" s="61">
        <f>C36/C37-1</f>
        <v/>
      </c>
    </row>
    <row r="39">
      <c r="A39" s="15" t="inlineStr">
        <is>
          <t xml:space="preserve">  memo: % of EV from terminal value</t>
        </is>
      </c>
      <c r="C39" s="48">
        <f>C30/C31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27" t="inlineStr">
        <is>
          <t>Exit multiple selection (see Comps tab for peer build)</t>
        </is>
      </c>
    </row>
    <row r="43">
      <c r="A43" s="15" t="inlineStr">
        <is>
          <t>Selected exit EV/EBITDA multiple (FY2030E)</t>
        </is>
      </c>
      <c r="C43" s="62" t="n">
        <v>8</v>
      </c>
      <c r="J43" s="17" t="inlineStr">
        <is>
          <t>8.0x FY2030E exit EV/EBITDA; above trough, below premium peers, roughly one turn above Gordon-implied multiple.</t>
        </is>
      </c>
      <c r="K43" s="18" t="inlineStr">
        <is>
          <t>Macrotrends: LULU EV/EBITDA history</t>
        </is>
      </c>
      <c r="L43" s="28" t="inlineStr">
        <is>
          <t>Comps: Exit Multiple Build</t>
        </is>
      </c>
    </row>
    <row r="44">
      <c r="A44" s="15" t="inlineStr">
        <is>
          <t>Terminal value = Terminal EBITDA × exit multiple</t>
        </is>
      </c>
      <c r="C44" s="46">
        <f>C27*C43</f>
        <v/>
      </c>
    </row>
    <row r="45">
      <c r="A45" s="15" t="inlineStr">
        <is>
          <t>PV of terminal value</t>
        </is>
      </c>
      <c r="C45" s="46">
        <f>C44/(1+Scenarios!$D$8)^H19</f>
        <v/>
      </c>
    </row>
    <row r="46">
      <c r="A46" s="20" t="inlineStr">
        <is>
          <t>Enterprise value (exit method)</t>
        </is>
      </c>
      <c r="C46" s="32">
        <f>C25+C45</f>
        <v/>
      </c>
    </row>
    <row r="47">
      <c r="A47" s="20" t="inlineStr">
        <is>
          <t>Implied value per share (exit method)</t>
        </is>
      </c>
      <c r="C47" s="63">
        <f>(C46+C32+C33)/C35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0" t="inlineStr">
        <is>
          <t>Terminal value ($)</t>
        </is>
      </c>
      <c r="B51" s="56">
        <f>C28</f>
        <v/>
      </c>
      <c r="C51" s="56">
        <f>C44</f>
        <v/>
      </c>
      <c r="D51" s="56">
        <f>B51-C51</f>
        <v/>
      </c>
    </row>
    <row r="52">
      <c r="A52" s="20" t="inlineStr">
        <is>
          <t>Exit EV/EBITDA (implied vs selected)</t>
        </is>
      </c>
      <c r="B52" s="66">
        <f>C29</f>
        <v/>
      </c>
      <c r="C52" s="66">
        <f>C43</f>
        <v/>
      </c>
      <c r="D52" s="66">
        <f>B52-C52</f>
        <v/>
      </c>
    </row>
    <row r="53">
      <c r="A53" s="15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0" t="inlineStr">
        <is>
          <t>Implied share price</t>
        </is>
      </c>
      <c r="B54" s="67">
        <f>C36</f>
        <v/>
      </c>
      <c r="C54" s="67">
        <f>C47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1" t="inlineStr">
        <is>
          <t>WACC \ g</t>
        </is>
      </c>
      <c r="D59" s="72" t="n">
        <v>0.015</v>
      </c>
      <c r="E59" s="72" t="n">
        <v>0.02</v>
      </c>
      <c r="F59" s="72" t="n">
        <v>0.0225</v>
      </c>
      <c r="G59" s="72" t="n">
        <v>0.025</v>
      </c>
      <c r="H59" s="72" t="n">
        <v>0.03</v>
      </c>
      <c r="I59" s="28" t="inlineStr">
        <is>
          <t>Scenarios: terminal g</t>
        </is>
      </c>
      <c r="J59" s="17" t="inlineStr">
        <is>
          <t>Terminal-g axis 1.5–3.0% brackets 2.25% base; bounded by long-run real GDP and inflation benchmarks.</t>
        </is>
      </c>
      <c r="K59" s="18" t="inlineStr">
        <is>
          <t>FRED: Real GDP (GDPC1)</t>
        </is>
      </c>
    </row>
    <row r="60">
      <c r="A60" s="72" t="n">
        <v>0.09</v>
      </c>
      <c r="D60" s="73">
        <f>(NPV(0.09,D18:H18)+(H18*(1+0.015)/(0.09-0.015))/(1+0.09)^5+C32+C33)/C35</f>
        <v/>
      </c>
      <c r="E60" s="73">
        <f>(NPV(0.09,D18:H18)+(H18*(1+0.02)/(0.09-0.02))/(1+0.09)^5+C32+C33)/C35</f>
        <v/>
      </c>
      <c r="F60" s="73">
        <f>(NPV(0.09,D18:H18)+(H18*(1+0.0225)/(0.09-0.0225))/(1+0.09)^5+C32+C33)/C35</f>
        <v/>
      </c>
      <c r="G60" s="73">
        <f>(NPV(0.09,D18:H18)+(H18*(1+0.025)/(0.09-0.025))/(1+0.09)^5+C32+C33)/C35</f>
        <v/>
      </c>
      <c r="H60" s="73">
        <f>(NPV(0.09,D18:H18)+(H18*(1+0.03)/(0.09-0.03))/(1+0.09)^5+C32+C33)/C35</f>
        <v/>
      </c>
      <c r="I60" s="28" t="inlineStr">
        <is>
          <t>WACC tab</t>
        </is>
      </c>
      <c r="J60" s="18" t="inlineStr">
        <is>
          <t>Damodaran: Historical Implied ERP</t>
        </is>
      </c>
    </row>
    <row r="61">
      <c r="A61" s="72" t="n">
        <v>0.095</v>
      </c>
      <c r="D61" s="73">
        <f>(NPV(0.095,D18:H18)+(H18*(1+0.015)/(0.095-0.015))/(1+0.095)^5+C32+C33)/C35</f>
        <v/>
      </c>
      <c r="E61" s="73">
        <f>(NPV(0.095,D18:H18)+(H18*(1+0.02)/(0.095-0.02))/(1+0.095)^5+C32+C33)/C35</f>
        <v/>
      </c>
      <c r="F61" s="73">
        <f>(NPV(0.095,D18:H18)+(H18*(1+0.0225)/(0.095-0.0225))/(1+0.095)^5+C32+C33)/C35</f>
        <v/>
      </c>
      <c r="G61" s="73">
        <f>(NPV(0.095,D18:H18)+(H18*(1+0.025)/(0.095-0.025))/(1+0.095)^5+C32+C33)/C35</f>
        <v/>
      </c>
      <c r="H61" s="73">
        <f>(NPV(0.095,D18:H18)+(H18*(1+0.03)/(0.095-0.03))/(1+0.095)^5+C32+C33)/C35</f>
        <v/>
      </c>
      <c r="I61" s="28" t="inlineStr">
        <is>
          <t>WACC tab</t>
        </is>
      </c>
    </row>
    <row r="62">
      <c r="A62" s="72" t="n">
        <v>0.1</v>
      </c>
      <c r="D62" s="73">
        <f>(NPV(0.1,D18:H18)+(H18*(1+0.015)/(0.1-0.015))/(1+0.1)^5+C32+C33)/C35</f>
        <v/>
      </c>
      <c r="E62" s="73">
        <f>(NPV(0.1,D18:H18)+(H18*(1+0.02)/(0.1-0.02))/(1+0.1)^5+C32+C33)/C35</f>
        <v/>
      </c>
      <c r="F62" s="74">
        <f>(NPV(0.1,D18:H18)+(H18*(1+0.0225)/(0.1-0.0225))/(1+0.1)^5+C32+C33)/C35</f>
        <v/>
      </c>
      <c r="G62" s="73">
        <f>(NPV(0.1,D18:H18)+(H18*(1+0.025)/(0.1-0.025))/(1+0.1)^5+C32+C33)/C35</f>
        <v/>
      </c>
      <c r="H62" s="73">
        <f>(NPV(0.1,D18:H18)+(H18*(1+0.03)/(0.1-0.03))/(1+0.1)^5+C32+C33)/C35</f>
        <v/>
      </c>
      <c r="I62" s="28" t="inlineStr">
        <is>
          <t>WACC tab</t>
        </is>
      </c>
    </row>
    <row r="63">
      <c r="A63" s="72" t="n">
        <v>0.105</v>
      </c>
      <c r="D63" s="73">
        <f>(NPV(0.105,D18:H18)+(H18*(1+0.015)/(0.105-0.015))/(1+0.105)^5+C32+C33)/C35</f>
        <v/>
      </c>
      <c r="E63" s="73">
        <f>(NPV(0.105,D18:H18)+(H18*(1+0.02)/(0.105-0.02))/(1+0.105)^5+C32+C33)/C35</f>
        <v/>
      </c>
      <c r="F63" s="73">
        <f>(NPV(0.105,D18:H18)+(H18*(1+0.0225)/(0.105-0.0225))/(1+0.105)^5+C32+C33)/C35</f>
        <v/>
      </c>
      <c r="G63" s="73">
        <f>(NPV(0.105,D18:H18)+(H18*(1+0.025)/(0.105-0.025))/(1+0.105)^5+C32+C33)/C35</f>
        <v/>
      </c>
      <c r="H63" s="73">
        <f>(NPV(0.105,D18:H18)+(H18*(1+0.03)/(0.105-0.03))/(1+0.105)^5+C32+C33)/C35</f>
        <v/>
      </c>
      <c r="I63" s="28" t="inlineStr">
        <is>
          <t>WACC tab</t>
        </is>
      </c>
    </row>
    <row r="64">
      <c r="A64" s="72" t="n">
        <v>0.11</v>
      </c>
      <c r="D64" s="73">
        <f>(NPV(0.11,D18:H18)+(H18*(1+0.015)/(0.11-0.015))/(1+0.11)^5+C32+C33)/C35</f>
        <v/>
      </c>
      <c r="E64" s="73">
        <f>(NPV(0.11,D18:H18)+(H18*(1+0.02)/(0.11-0.02))/(1+0.11)^5+C32+C33)/C35</f>
        <v/>
      </c>
      <c r="F64" s="73">
        <f>(NPV(0.11,D18:H18)+(H18*(1+0.0225)/(0.11-0.0225))/(1+0.11)^5+C32+C33)/C35</f>
        <v/>
      </c>
      <c r="G64" s="73">
        <f>(NPV(0.11,D18:H18)+(H18*(1+0.025)/(0.11-0.025))/(1+0.11)^5+C32+C33)/C35</f>
        <v/>
      </c>
      <c r="H64" s="73">
        <f>(NPV(0.11,D18:H18)+(H18*(1+0.03)/(0.11-0.03))/(1+0.11)^5+C32+C33)/C35</f>
        <v/>
      </c>
      <c r="I64" s="28" t="inlineStr">
        <is>
          <t>WACC tab</t>
        </is>
      </c>
    </row>
    <row r="65">
      <c r="J65" s="17" t="inlineStr">
        <is>
          <t>Red WACC and g grid values bracket base case ±100bps discount rate and ±75bps terminal growth for sensitivity.</t>
        </is>
      </c>
      <c r="K65" s="28" t="inlineStr">
        <is>
          <t>Scenarios: WACC &amp; terminal g</t>
        </is>
      </c>
      <c r="L65" s="18" t="inlineStr">
        <is>
          <t>FRED: Real GDP (GDPC1)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5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J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L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  <col width="22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5" t="inlineStr">
        <is>
          <t>FY2025A revenue</t>
        </is>
      </c>
      <c r="C4" s="45" t="n">
        <v>11102600</v>
      </c>
      <c r="D4" s="58" t="inlineStr">
        <is>
          <t>10-K</t>
        </is>
      </c>
    </row>
    <row r="5">
      <c r="A5" s="15" t="inlineStr">
        <is>
          <t>FY2025A EBITDA (EBIT + D&amp;A)</t>
        </is>
      </c>
      <c r="C5" s="46">
        <f>2210615+496228</f>
        <v/>
      </c>
    </row>
    <row r="6">
      <c r="A6" s="15" t="inlineStr">
        <is>
          <t>FY2026E diluted EPS (guidance midpoint)</t>
        </is>
      </c>
      <c r="C6" s="60" t="n">
        <v>9.609999999999999</v>
      </c>
      <c r="D6" s="58" t="inlineStr">
        <is>
          <t>Release</t>
        </is>
      </c>
    </row>
    <row r="7">
      <c r="A7" s="15" t="inlineStr">
        <is>
          <t>Cash &amp; equivalents</t>
        </is>
      </c>
      <c r="C7" s="45" t="n">
        <v>1807202</v>
      </c>
      <c r="D7" s="58" t="inlineStr">
        <is>
          <t>10-K</t>
        </is>
      </c>
    </row>
    <row r="8">
      <c r="A8" s="15" t="inlineStr">
        <is>
          <t>Diluted shares (000)</t>
        </is>
      </c>
      <c r="C8" s="45" t="n">
        <v>111380</v>
      </c>
      <c r="D8" s="58" t="inlineStr">
        <is>
          <t>10-K</t>
        </is>
      </c>
    </row>
    <row r="9">
      <c r="A9" s="15" t="inlineStr">
        <is>
          <t>Current share price</t>
        </is>
      </c>
      <c r="C9" s="60" t="n">
        <v>100</v>
      </c>
      <c r="D9" s="58" t="inlineStr">
        <is>
          <t>NASDAQ</t>
        </is>
      </c>
    </row>
    <row r="10">
      <c r="A10" s="70" t="inlineStr">
        <is>
          <t xml:space="preserve">  memo: current EV / EBITDA</t>
        </is>
      </c>
      <c r="C10" s="75">
        <f>(C9*C8-C7)/C5</f>
        <v/>
      </c>
    </row>
    <row r="11">
      <c r="A11" s="70" t="inlineStr">
        <is>
          <t xml:space="preserve">  memo: current P / E (FY2026E)</t>
        </is>
      </c>
      <c r="C11" s="75">
        <f>C9/C6</f>
        <v/>
      </c>
    </row>
    <row r="13">
      <c r="A13" s="14" t="inlineStr">
        <is>
          <t>EXIT MULTIPLE BUILD — FY2030E TERMINAL YEAR</t>
        </is>
      </c>
    </row>
    <row r="14">
      <c r="A14" s="70" t="inlineStr">
        <is>
          <t>Peer / reference EV/EBITDA (forward / illustrative)</t>
        </is>
      </c>
    </row>
    <row r="15">
      <c r="A15" s="76" t="inlineStr">
        <is>
          <t>Company</t>
        </is>
      </c>
      <c r="C15" s="77" t="inlineStr">
        <is>
          <t>EV/EBITDA</t>
        </is>
      </c>
      <c r="D15" s="76" t="inlineStr">
        <is>
          <t>Justification</t>
        </is>
      </c>
      <c r="E15" s="76" t="inlineStr">
        <is>
          <t>Source</t>
        </is>
      </c>
    </row>
    <row r="16">
      <c r="A16" s="15" t="inlineStr">
        <is>
          <t>lululemon (LULU) — current</t>
        </is>
      </c>
      <c r="C16" s="78">
        <f>(C9*C8-C7)/C5</f>
        <v/>
      </c>
      <c r="D16" s="37" t="inlineStr">
        <is>
          <t>Distressed trough multiple on FY2025A EBITDA</t>
        </is>
      </c>
      <c r="E16" s="18" t="inlineStr">
        <is>
          <t>LULU FY2025 10-K</t>
        </is>
      </c>
    </row>
    <row r="17">
      <c r="A17" s="15" t="inlineStr">
        <is>
          <t>Nike (NKE)</t>
        </is>
      </c>
      <c r="C17" s="79" t="n">
        <v>18</v>
      </c>
      <c r="D17" s="17" t="inlineStr">
        <is>
          <t>Nike ~18x forward EV/EBITDA illustrative; mature global athletic benchmark with slower growth than LULU peak.</t>
        </is>
      </c>
      <c r="E17" s="18" t="inlineStr">
        <is>
          <t>Yahoo Finance: NKE statistics</t>
        </is>
      </c>
    </row>
    <row r="18">
      <c r="A18" s="15" t="inlineStr">
        <is>
          <t>Deckers (DECK)</t>
        </is>
      </c>
      <c r="C18" s="79" t="n">
        <v>15</v>
      </c>
      <c r="D18" s="17" t="inlineStr">
        <is>
          <t>Deckers ~15x reference; premium footwear peer with HOKA/UGG momentum and strong brand heat.</t>
        </is>
      </c>
      <c r="E18" s="18" t="inlineStr">
        <is>
          <t>Yahoo Finance: DECK statistics</t>
        </is>
      </c>
    </row>
    <row r="19">
      <c r="A19" s="15" t="inlineStr">
        <is>
          <t>On Holding (ONON)</t>
        </is>
      </c>
      <c r="C19" s="79" t="n">
        <v>25</v>
      </c>
      <c r="D19" s="17" t="inlineStr">
        <is>
          <t>On Holding ~25x; high-growth athletic peer setting upper bound for premium positioning and white space.</t>
        </is>
      </c>
      <c r="E19" s="18" t="inlineStr">
        <is>
          <t>Yahoo Finance: ONON statistics</t>
        </is>
      </c>
    </row>
    <row r="20">
      <c r="A20" s="15" t="inlineStr">
        <is>
          <t>adidas (ADS)</t>
        </is>
      </c>
      <c r="C20" s="79" t="n">
        <v>12</v>
      </c>
      <c r="D20" s="17" t="inlineStr">
        <is>
          <t>adidas ~12x; global incumbent in restructuring with moderate growth and complex brand portfolio.</t>
        </is>
      </c>
      <c r="E20" s="18" t="inlineStr">
        <is>
          <t>Yahoo Finance: ADS.DE statistics</t>
        </is>
      </c>
    </row>
    <row r="21">
      <c r="A21" s="15" t="inlineStr">
        <is>
          <t>V.F. Corp (VFC)</t>
        </is>
      </c>
      <c r="C21" s="79" t="n">
        <v>10</v>
      </c>
      <c r="D21" s="17" t="inlineStr">
        <is>
          <t>VFC ~10x; challenged multi-brand apparel operator representing lower bound for scaled apparel peers.</t>
        </is>
      </c>
      <c r="E21" s="18" t="inlineStr">
        <is>
          <t>Yahoo Finance: VFC statistics</t>
        </is>
      </c>
    </row>
    <row r="23">
      <c r="A23" s="14" t="inlineStr">
        <is>
          <t>Terminal multiple selection (DCF exit method)</t>
        </is>
      </c>
    </row>
    <row r="24">
      <c r="A24" s="15" t="inlineStr">
        <is>
          <t>Gordon Growth implied exit EV/EBITDA</t>
        </is>
      </c>
      <c r="C24" s="57">
        <f>DCF!C29</f>
        <v/>
      </c>
    </row>
    <row r="25">
      <c r="A25" s="68" t="inlineStr">
        <is>
          <t>Selected exit multiple (base case)</t>
        </is>
      </c>
      <c r="C25" s="66">
        <f>DCF!C43</f>
        <v/>
      </c>
    </row>
    <row r="26">
      <c r="A26" s="15" t="inlineStr">
        <is>
          <t>Spread (selected − Gordon implied)</t>
        </is>
      </c>
      <c r="C26" s="57">
        <f>C25-C24</f>
        <v/>
      </c>
    </row>
    <row r="27">
      <c r="A27" s="68" t="inlineStr">
        <is>
          <t>Rationale for 8.0x</t>
        </is>
      </c>
    </row>
    <row r="28">
      <c r="A28" s="29" t="inlineStr">
        <is>
          <t>•  Above current LULU (~3.5x) — assumes partial recovery from trough, not full re-rating</t>
        </is>
      </c>
    </row>
    <row r="29">
      <c r="A29" s="29" t="inlineStr">
        <is>
          <t>•  Above comps football-field high (7.5x on FY2025A) — terminal year has higher EBITDA &amp; normalized margins</t>
        </is>
      </c>
    </row>
    <row r="30">
      <c r="A30" s="29" t="inlineStr">
        <is>
          <t>•  Below premium-growth peers (ONON ~25x, DECK ~15x) — reflects Americas maturity</t>
        </is>
      </c>
    </row>
    <row r="31">
      <c r="A31" s="29" t="inlineStr">
        <is>
          <t>•  ~1 turn above Gordon-implied exit multiple — conservative buffer vs perpetuity math</t>
        </is>
      </c>
    </row>
    <row r="32">
      <c r="A32" s="29" t="inlineStr">
        <is>
          <t>•  Well below historical LULU peak multiples (20–30x) — avoids heroic assumptions</t>
        </is>
      </c>
    </row>
    <row r="34">
      <c r="A34" s="14" t="inlineStr">
        <is>
          <t>Methodology / multiple ranges (FY2025A — football field)</t>
        </is>
      </c>
    </row>
    <row r="35">
      <c r="A35" s="76" t="inlineStr">
        <is>
          <t>Method</t>
        </is>
      </c>
      <c r="C35" s="77" t="inlineStr">
        <is>
          <t>Low mult.</t>
        </is>
      </c>
      <c r="D35" s="77" t="inlineStr">
        <is>
          <t>High mult.</t>
        </is>
      </c>
      <c r="E35" s="77" t="inlineStr">
        <is>
          <t>Implied px (low)</t>
        </is>
      </c>
      <c r="F35" s="77" t="inlineStr">
        <is>
          <t>Implied px (high)</t>
        </is>
      </c>
    </row>
    <row r="36">
      <c r="A36" s="15" t="inlineStr">
        <is>
          <t>EV / EBITDA (FY2025A)</t>
        </is>
      </c>
      <c r="C36" s="79" t="n">
        <v>4.5</v>
      </c>
      <c r="D36" s="79" t="n">
        <v>7.5</v>
      </c>
      <c r="E36" s="80">
        <f>(C5*C36+C7)/C8</f>
        <v/>
      </c>
      <c r="F36" s="80">
        <f>(C5*D36+C7)/C8</f>
        <v/>
      </c>
      <c r="G36" s="17" t="inlineStr">
        <is>
          <t>4.5x EV/EBITDA low case on FY2025A; distressed trough pricing near current market de-rating.</t>
        </is>
      </c>
      <c r="H36" s="81" t="inlineStr">
        <is>
          <t>7.5x EV/EBITDA high case on FY2025A; partial recovery before terminal year, below historical peaks.</t>
        </is>
      </c>
      <c r="I36" s="18" t="inlineStr">
        <is>
          <t>Yahoo Finance: LULU EV/EBITDA</t>
        </is>
      </c>
      <c r="J36" s="82" t="inlineStr">
        <is>
          <t>Macrotrends: LULU EV/EBITDA history</t>
        </is>
      </c>
    </row>
    <row r="37">
      <c r="A37" s="15" t="inlineStr">
        <is>
          <t>P / E (FY2026E EPS)</t>
        </is>
      </c>
      <c r="C37" s="79" t="n">
        <v>10</v>
      </c>
      <c r="D37" s="79" t="n">
        <v>18</v>
      </c>
      <c r="E37" s="80">
        <f>C6*C37</f>
        <v/>
      </c>
      <c r="F37" s="80">
        <f>C6*D37</f>
        <v/>
      </c>
      <c r="G37" s="17" t="inlineStr">
        <is>
          <t>10x P/E low on FY2026E EPS; trough earnings multiple after guidance reset and sentiment de-rating.</t>
        </is>
      </c>
      <c r="H37" s="81" t="inlineStr">
        <is>
          <t>18x P/E high on FY2026E EPS; modest recovery case still below historical premium LULU multiples.</t>
        </is>
      </c>
      <c r="I37" s="18" t="inlineStr">
        <is>
          <t>Yahoo Finance: LULU P/E (FY26E)</t>
        </is>
      </c>
      <c r="J37" s="82" t="inlineStr">
        <is>
          <t>Yahoo Finance: NKE P/E (peer benchmark)</t>
        </is>
      </c>
    </row>
    <row r="38">
      <c r="A38" s="15" t="inlineStr">
        <is>
          <t>DCF (bear – bull)</t>
        </is>
      </c>
      <c r="C38" s="83" t="inlineStr">
        <is>
          <t>—</t>
        </is>
      </c>
      <c r="D38" s="83" t="inlineStr">
        <is>
          <t>—</t>
        </is>
      </c>
      <c r="E38" s="80">
        <f>Scenarios!C58</f>
        <v/>
      </c>
      <c r="F38" s="80">
        <f>Scenarios!E58</f>
        <v/>
      </c>
    </row>
    <row r="40">
      <c r="A40" s="84" t="inlineStr">
        <is>
          <t>Current price</t>
        </is>
      </c>
      <c r="C40" s="85" t="n">
        <v>100</v>
      </c>
      <c r="D40" s="58" t="inlineStr">
        <is>
          <t>NASDAQ</t>
        </is>
      </c>
    </row>
    <row r="41">
      <c r="A41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6" r:id="rId3"/>
    <hyperlink xmlns:r="http://schemas.openxmlformats.org/officeDocument/2006/relationships" ref="D6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C8" r:id="rId7"/>
    <hyperlink xmlns:r="http://schemas.openxmlformats.org/officeDocument/2006/relationships" ref="D8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I36" r:id="rId17"/>
    <hyperlink xmlns:r="http://schemas.openxmlformats.org/officeDocument/2006/relationships" ref="J36" r:id="rId18"/>
    <hyperlink xmlns:r="http://schemas.openxmlformats.org/officeDocument/2006/relationships" ref="I37" r:id="rId19"/>
    <hyperlink xmlns:r="http://schemas.openxmlformats.org/officeDocument/2006/relationships" ref="J37" r:id="rId20"/>
    <hyperlink xmlns:r="http://schemas.openxmlformats.org/officeDocument/2006/relationships" ref="C40" r:id="rId21"/>
    <hyperlink xmlns:r="http://schemas.openxmlformats.org/officeDocument/2006/relationships" ref="D40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2026-09-06T19:11:15Z</dcterms:created>
  <dcterms:modified xmlns:dcterms="http://purl.org/dc/terms/" xmlns:xsi="http://www.w3.org/2001/XMLSchema-instance" xsi:type="dcterms:W3CDTF">2026-09-06T19:11:15Z</dcterms:modified>
</cp:coreProperties>
</file>
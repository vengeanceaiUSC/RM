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NOPAT Bridge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b val="1"/>
      <color rgb="00C8102E"/>
      <sz val="8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/><Relationship Type="http://schemas.openxmlformats.org/officeDocument/2006/relationships/hyperlink" Target="https://www.sec.gov/edgar/browse/?CIK=1397187&amp;owner=exclude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nasdaq.com/market-activity/stocks/lulu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corporate.lululemon.com/newsroom/press-releases/2026/09-03-2026-210528733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LULU_Assumptions_Memo.pdf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corporate.lululemon.com/newsroom/press-releases/2026/09-03-2026-210528733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fred.stlouisfed.org/series/GDPC1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nasdaq.com/market-activity/stocks/lulu" TargetMode="External" Id="rId44"/><Relationship Type="http://schemas.openxmlformats.org/officeDocument/2006/relationships/hyperlink" Target="https://www.nasdaq.com/market-activity/stocks/lulu" TargetMode="External" Id="rId45"/><Relationship Type="http://schemas.openxmlformats.org/officeDocument/2006/relationships/hyperlink" Target="https://fred.stlouisfed.org/series/GDPC1" TargetMode="External" Id="rId46"/><Relationship Type="http://schemas.openxmlformats.org/officeDocument/2006/relationships/hyperlink" Target="https://www.stern.nyu.edu/~adamodar/New_Home_Page/datafile/histimpl.html" TargetMode="External" Id="rId47"/><Relationship Type="http://schemas.openxmlformats.org/officeDocument/2006/relationships/hyperlink" Target="https://fred.stlouisfed.org/series/GDPC1" TargetMode="External" Id="rId4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nasdaq.com/market-activity/stocks/lulu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hyperlink" Target="https://www.reuters.com/markets/deals/alo-yoga-parent-seeks-investment-10-bln-valuation-sources-2023-10-30/" TargetMode="External" Id="rId11"/><Relationship Type="http://schemas.openxmlformats.org/officeDocument/2006/relationships/hyperlink" Target="https://www.reuters.com/markets/deals/alo-yoga-parent-seeks-investment-10-bln-valuation-sources-2023-10-30/" TargetMode="External" Id="rId12"/><Relationship Type="http://schemas.openxmlformats.org/officeDocument/2006/relationships/hyperlink" Target="https://www.forbes.com/sites/jemimamcevoy/2025/04/01/the-founders-of-this-lululemon-rival-are-worth-nearly-5-billion-each/" TargetMode="External" Id="rId13"/><Relationship Type="http://schemas.openxmlformats.org/officeDocument/2006/relationships/hyperlink" Target="https://www.forbes.com/sites/jemimamcevoy/2025/04/01/the-founders-of-this-lululemon-rival-are-worth-nearly-5-billion-each/" TargetMode="External" Id="rId14"/><Relationship Type="http://schemas.openxmlformats.org/officeDocument/2006/relationships/hyperlink" Target="https://stockanalysis.com/stocks/lulu/statistics/" TargetMode="External" Id="rId15"/><Relationship Type="http://schemas.openxmlformats.org/officeDocument/2006/relationships/hyperlink" Target="https://stockanalysis.com/stocks/lulu/statistics/" TargetMode="External" Id="rId16"/><Relationship Type="http://schemas.openxmlformats.org/officeDocument/2006/relationships/hyperlink" Target="https://www.nasdaq.com/market-activity/stocks/lulu" TargetMode="External" Id="rId17"/><Relationship Type="http://schemas.openxmlformats.org/officeDocument/2006/relationships/hyperlink" Target="https://www.nasdaq.com/market-activity/stocks/lulu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 | 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7">
      <c r="B7" s="4" t="inlineStr">
        <is>
          <t>Recommendation:  LONG / OVERWEIGHT</t>
        </is>
      </c>
    </row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 =  analyst assumptions — cols B/C/D on every tab: Justification | Source | Ctrl+F</t>
        </is>
      </c>
    </row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Ctrl+F: Open for justification, clickable source links, and Ctrl+F proof for every assumption.</t>
        </is>
      </c>
    </row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5">
      <c r="B25" s="11" t="inlineStr">
        <is>
          <t>Built from scratch for the GIS IR selection assignment.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 xml:space="preserve">  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 —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 —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 —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 —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 —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 —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 —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 — βL + debt + equity on ONE page
(No vendor publishes the D/E embedded inside the regression.)
Observed levered βL
  Ctrl+F "Beta (5Y Monthly)"  →  0.86
  ~60 monthly returns vs S&amp;P 500 (Yahoo label)
Paired inputs on same page (mrq = most recent quarter)
  Ctrl+F "Total Debt (mrq)"  →  2.14B
  Ctrl+F "Market Cap"  →  11.14B
  Ctrl+F "Total Debt/Equity (mrq)"  →  44.69%  (book; reference only)
STEP 1 — UNLEVER (market D/E from Yahoo page)
  D/E = Total Debt (mrq) ÷ Market Cap = 2.14 ÷ 11.14 ≈  0.19
  βu = 0.86 ÷ [1 + 0.70 × 0.19] = 0.86 ÷ 1.134  ≈  0.76
  (1−T) = 0.70 at 30% tax on this tab
STEP 2 — RELEVER (WACC: FY25 10-K lease debt / our market cap)
  Ctrl+F "Current lease liabilities"  →  298,724
  Ctrl+F "Non-current lease liabilities"  →  1,499,717
  D/E ≈ 0.16.  β used = 0.76 × 1.113  ≈  0.84
Benchmark (not used): Damodaran Retail βu 0.95</t>
        </is>
      </c>
      <c r="E25" s="29">
        <f>E22*(1+(1-E5)*E23)</f>
        <v/>
      </c>
    </row>
    <row r="26">
      <c r="A26" s="26" t="inlineStr">
        <is>
          <t xml:space="preserve">  β walkthrough (Hamada; Yahoo Key Statistics source):</t>
        </is>
      </c>
    </row>
    <row r="27">
      <c r="A27" s="26" t="inlineStr">
        <is>
          <t xml:space="preserve">  (0) Yahoo βL = 0.86 (Beta 5Y Monthly). No vendor publishes D/E inside the regression.</t>
        </is>
      </c>
    </row>
    <row r="28">
      <c r="A28" s="26" t="inlineStr">
        <is>
          <t xml:space="preserve">  (1) Unlever at Yahoo market D/E = $2.14B debt (mrq) ÷ $11.14B mkt cap ≈ 0.19 → βu ≈ 0.76.</t>
        </is>
      </c>
    </row>
    <row r="29">
      <c r="A29" s="26" t="inlineStr">
        <is>
          <t xml:space="preserve">  (2) Relever at WACC D/E = FY25 10-K leases ÷ our market cap ≈ 0.16 → β used ≈ 0.84.</t>
        </is>
      </c>
    </row>
    <row r="30">
      <c r="A30" s="26" t="inlineStr">
        <is>
          <t xml:space="preserve">  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 —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 —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 — DSO (days), flat ~6.3. Mostly own stores/DTC (cash at register); AR is small wholesale residual — predictable ~6 days FY22–25.</t>
        </is>
      </c>
      <c r="C15" s="18" t="inlineStr">
        <is>
          <t>LULU FY2025 10-K: Accounts receivable, net</t>
        </is>
      </c>
      <c r="D15" s="19" t="inlineStr">
        <is>
          <t>Not % of revenue — DSO (days), flat ~6.3.
Why flat: ~90%+ revenue is company-operated stores + e-commerce (cash/card at sale);
AR is a small, stable wholesale/license residual —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 — DIO (days).
FY25 anchor: DIO = (Inventories ÷ COGS) × 365
 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 — DIO (days).
FY25 anchor formula:
  DIO = (Inventories ÷ COGS) × 365
Ctrl+F "Inventories"
→ 1,700,753 ($000)  |  FY24: 1,442,081
Ctrl+F "Cost of goods sold"
→ 4,818,468 ($000)
 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 —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 —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 —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 —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2">
      <c r="A22" s="14" t="inlineStr">
        <is>
          <t>5-year forecast paths (by scenario)</t>
        </is>
      </c>
    </row>
    <row r="23">
      <c r="A23" s="41" t="inlineStr">
        <is>
          <t xml:space="preserve">  Revenue – year 1</t>
        </is>
      </c>
      <c r="F23" s="42">
        <f>11102600*(1+F4)</f>
        <v/>
      </c>
      <c r="G23" s="42">
        <f>11102600*(1+G4)</f>
        <v/>
      </c>
      <c r="H23" s="42">
        <f>11102600*(1+H4)</f>
        <v/>
      </c>
    </row>
    <row r="24">
      <c r="A24" s="41" t="inlineStr">
        <is>
          <t xml:space="preserve">  Revenue – year 2</t>
        </is>
      </c>
      <c r="F24" s="42">
        <f>F23*(1+F5)</f>
        <v/>
      </c>
      <c r="G24" s="42">
        <f>G23*(1+G5)</f>
        <v/>
      </c>
      <c r="H24" s="42">
        <f>H23*(1+H5)</f>
        <v/>
      </c>
    </row>
    <row r="25">
      <c r="A25" s="41" t="inlineStr">
        <is>
          <t xml:space="preserve">  Revenue – year 3</t>
        </is>
      </c>
      <c r="F25" s="42">
        <f>F24*(1+F5)</f>
        <v/>
      </c>
      <c r="G25" s="42">
        <f>G24*(1+G5)</f>
        <v/>
      </c>
      <c r="H25" s="42">
        <f>H24*(1+H5)</f>
        <v/>
      </c>
    </row>
    <row r="26">
      <c r="A26" s="41" t="inlineStr">
        <is>
          <t xml:space="preserve">  Revenue – year 4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 xml:space="preserve">  Revenue – year 5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 xml:space="preserve">  Gross margin % – year 1</t>
        </is>
      </c>
      <c r="F28" s="43">
        <f>F14</f>
        <v/>
      </c>
      <c r="G28" s="43">
        <f>G14</f>
        <v/>
      </c>
      <c r="H28" s="43">
        <f>H14</f>
        <v/>
      </c>
    </row>
    <row r="29">
      <c r="A29" s="41" t="inlineStr">
        <is>
          <t xml:space="preserve">  Gross margin % – year 2</t>
        </is>
      </c>
      <c r="F29" s="43">
        <f>F14</f>
        <v/>
      </c>
      <c r="G29" s="43">
        <f>G14</f>
        <v/>
      </c>
      <c r="H29" s="43">
        <f>H14</f>
        <v/>
      </c>
    </row>
    <row r="30">
      <c r="A30" s="41" t="inlineStr">
        <is>
          <t xml:space="preserve">  Gross margin % – year 3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 xml:space="preserve">  Gross margin % – year 4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 xml:space="preserve">  Gross margin % – year 5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 xml:space="preserve">  Cost of goods sold (COGS) – year 1</t>
        </is>
      </c>
      <c r="F33" s="42">
        <f>F23*(1-F28)</f>
        <v/>
      </c>
      <c r="G33" s="42">
        <f>G23*(1-G28)</f>
        <v/>
      </c>
      <c r="H33" s="42">
        <f>H23*(1-H28)</f>
        <v/>
      </c>
    </row>
    <row r="34">
      <c r="A34" s="41" t="inlineStr">
        <is>
          <t xml:space="preserve">  Cost of goods sold (COGS) – year 2</t>
        </is>
      </c>
      <c r="F34" s="42">
        <f>F24*(1-F29)</f>
        <v/>
      </c>
      <c r="G34" s="42">
        <f>G24*(1-G29)</f>
        <v/>
      </c>
      <c r="H34" s="42">
        <f>H24*(1-H29)</f>
        <v/>
      </c>
    </row>
    <row r="35">
      <c r="A35" s="41" t="inlineStr">
        <is>
          <t xml:space="preserve">  Cost of goods sold (COGS) – year 3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 xml:space="preserve">  Cost of goods sold (COGS) – year 4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 xml:space="preserve">  Cost of goods sold (COGS) – year 5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 xml:space="preserve">  Clean EBIT margin – year 1</t>
        </is>
      </c>
      <c r="F38" s="43">
        <f>F6+(F8-F6)*0/4</f>
        <v/>
      </c>
      <c r="G38" s="43">
        <f>G6+(G8-G6)*0/4</f>
        <v/>
      </c>
      <c r="H38" s="43">
        <f>H6+(H8-H6)*0/4</f>
        <v/>
      </c>
    </row>
    <row r="39">
      <c r="A39" s="41" t="inlineStr">
        <is>
          <t xml:space="preserve">  Clean EBIT margin – year 2</t>
        </is>
      </c>
      <c r="F39" s="43">
        <f>F6+(F8-F6)*1/4</f>
        <v/>
      </c>
      <c r="G39" s="43">
        <f>G6+(G8-G6)*1/4</f>
        <v/>
      </c>
      <c r="H39" s="43">
        <f>H6+(H8-H6)*1/4</f>
        <v/>
      </c>
    </row>
    <row r="40">
      <c r="A40" s="41" t="inlineStr">
        <is>
          <t xml:space="preserve">  Clean EBIT margin – year 3</t>
        </is>
      </c>
      <c r="F40" s="43">
        <f>F6+(F8-F6)*2/4</f>
        <v/>
      </c>
      <c r="G40" s="43">
        <f>G6+(G8-G6)*2/4</f>
        <v/>
      </c>
      <c r="H40" s="43">
        <f>H6+(H8-H6)*2/4</f>
        <v/>
      </c>
    </row>
    <row r="41">
      <c r="A41" s="41" t="inlineStr">
        <is>
          <t xml:space="preserve">  Clean EBIT margin – year 4</t>
        </is>
      </c>
      <c r="F41" s="43">
        <f>F6+(F8-F6)*3/4</f>
        <v/>
      </c>
      <c r="G41" s="43">
        <f>G6+(G8-G6)*3/4</f>
        <v/>
      </c>
      <c r="H41" s="43">
        <f>H6+(H8-H6)*3/4</f>
        <v/>
      </c>
    </row>
    <row r="42">
      <c r="A42" s="41" t="inlineStr">
        <is>
          <t xml:space="preserve">  Clean EBIT margin – year 5</t>
        </is>
      </c>
      <c r="F42" s="43">
        <f>F6+(F8-F6)*4/4</f>
        <v/>
      </c>
      <c r="G42" s="43">
        <f>G6+(G8-G6)*4/4</f>
        <v/>
      </c>
      <c r="H42" s="43">
        <f>H6+(H8-H6)*4/4</f>
        <v/>
      </c>
    </row>
    <row r="43">
      <c r="A43" s="41" t="inlineStr">
        <is>
          <t xml:space="preserve">  EBIT – year 1</t>
        </is>
      </c>
      <c r="F43" s="42">
        <f>F23*F38+F7</f>
        <v/>
      </c>
      <c r="G43" s="42">
        <f>G23*G38+G7</f>
        <v/>
      </c>
      <c r="H43" s="42">
        <f>H23*H38+H7</f>
        <v/>
      </c>
    </row>
    <row r="44">
      <c r="A44" s="41" t="inlineStr">
        <is>
          <t xml:space="preserve">  EBIT – year 2</t>
        </is>
      </c>
      <c r="F44" s="42">
        <f>F24*F39</f>
        <v/>
      </c>
      <c r="G44" s="42">
        <f>G24*G39</f>
        <v/>
      </c>
      <c r="H44" s="42">
        <f>H24*H39</f>
        <v/>
      </c>
    </row>
    <row r="45">
      <c r="A45" s="41" t="inlineStr">
        <is>
          <t xml:space="preserve">  EBIT – year 3</t>
        </is>
      </c>
      <c r="F45" s="42">
        <f>F25*F40</f>
        <v/>
      </c>
      <c r="G45" s="42">
        <f>G25*G40</f>
        <v/>
      </c>
      <c r="H45" s="42">
        <f>H25*H40</f>
        <v/>
      </c>
    </row>
    <row r="46">
      <c r="A46" s="41" t="inlineStr">
        <is>
          <t xml:space="preserve">  EBIT – year 4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 xml:space="preserve">  EBIT – year 5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 xml:space="preserve">  NOPAT – year 1</t>
        </is>
      </c>
      <c r="F48" s="42">
        <f>F43*(1-'NOPAT Bridge'!F$38)</f>
        <v/>
      </c>
      <c r="G48" s="42">
        <f>'NOPAT Bridge'!F40</f>
        <v/>
      </c>
      <c r="H48" s="42">
        <f>H43*(1-'NOPAT Bridge'!F$38)</f>
        <v/>
      </c>
    </row>
    <row r="49">
      <c r="A49" s="41" t="inlineStr">
        <is>
          <t xml:space="preserve">  NOPAT – year 2</t>
        </is>
      </c>
      <c r="F49" s="42">
        <f>F44*(1-'NOPAT Bridge'!G$38)</f>
        <v/>
      </c>
      <c r="G49" s="42">
        <f>'NOPAT Bridge'!G40</f>
        <v/>
      </c>
      <c r="H49" s="42">
        <f>H44*(1-'NOPAT Bridge'!G$38)</f>
        <v/>
      </c>
    </row>
    <row r="50">
      <c r="A50" s="41" t="inlineStr">
        <is>
          <t xml:space="preserve">  NOPAT – year 3</t>
        </is>
      </c>
      <c r="F50" s="42">
        <f>F45*(1-'NOPAT Bridge'!H$38)</f>
        <v/>
      </c>
      <c r="G50" s="42">
        <f>'NOPAT Bridge'!H40</f>
        <v/>
      </c>
      <c r="H50" s="42">
        <f>H45*(1-'NOPAT Bridge'!H$38)</f>
        <v/>
      </c>
    </row>
    <row r="51">
      <c r="A51" s="41" t="inlineStr">
        <is>
          <t xml:space="preserve">  NOPAT – year 4</t>
        </is>
      </c>
      <c r="F51" s="42">
        <f>F46*(1-'NOPAT Bridge'!I$38)</f>
        <v/>
      </c>
      <c r="G51" s="42">
        <f>'NOPAT Bridge'!I40</f>
        <v/>
      </c>
      <c r="H51" s="42">
        <f>H46*(1-'NOPAT Bridge'!I$38)</f>
        <v/>
      </c>
    </row>
    <row r="52">
      <c r="A52" s="41" t="inlineStr">
        <is>
          <t xml:space="preserve">  NOPAT – year 5</t>
        </is>
      </c>
      <c r="F52" s="42">
        <f>F47*(1-'NOPAT Bridge'!J$38)</f>
        <v/>
      </c>
      <c r="G52" s="42">
        <f>'NOPAT Bridge'!J40</f>
        <v/>
      </c>
      <c r="H52" s="42">
        <f>H47*(1-'NOPAT Bridge'!J$38)</f>
        <v/>
      </c>
    </row>
    <row r="53">
      <c r="A53" s="41" t="inlineStr">
        <is>
          <t xml:space="preserve">  D&amp;A – year 1</t>
        </is>
      </c>
      <c r="F53" s="42">
        <f>F23*F12</f>
        <v/>
      </c>
      <c r="G53" s="42">
        <f>G23*G12</f>
        <v/>
      </c>
      <c r="H53" s="42">
        <f>H23*H12</f>
        <v/>
      </c>
    </row>
    <row r="54">
      <c r="A54" s="41" t="inlineStr">
        <is>
          <t xml:space="preserve">  D&amp;A – year 2</t>
        </is>
      </c>
      <c r="F54" s="42">
        <f>F24*F12</f>
        <v/>
      </c>
      <c r="G54" s="42">
        <f>G24*G12</f>
        <v/>
      </c>
      <c r="H54" s="42">
        <f>H24*H12</f>
        <v/>
      </c>
    </row>
    <row r="55">
      <c r="A55" s="41" t="inlineStr">
        <is>
          <t xml:space="preserve">  D&amp;A – year 3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 xml:space="preserve">  D&amp;A – year 4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 xml:space="preserve">  D&amp;A – year 5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 xml:space="preserve">  Capex – year 1</t>
        </is>
      </c>
      <c r="F58" s="42">
        <f>F23*F13</f>
        <v/>
      </c>
      <c r="G58" s="42">
        <f>G23*G13</f>
        <v/>
      </c>
      <c r="H58" s="42">
        <f>H23*H13</f>
        <v/>
      </c>
    </row>
    <row r="59">
      <c r="A59" s="41" t="inlineStr">
        <is>
          <t xml:space="preserve">  Capex – year 2</t>
        </is>
      </c>
      <c r="F59" s="42">
        <f>F24*F13</f>
        <v/>
      </c>
      <c r="G59" s="42">
        <f>G24*G13</f>
        <v/>
      </c>
      <c r="H59" s="42">
        <f>H24*H13</f>
        <v/>
      </c>
    </row>
    <row r="60">
      <c r="A60" s="41" t="inlineStr">
        <is>
          <t xml:space="preserve">  Capex – year 3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 xml:space="preserve">  Capex – year 4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 xml:space="preserve">  Capex – year 5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 xml:space="preserve">  DSO (days) – year 1</t>
        </is>
      </c>
      <c r="F63" s="44">
        <f>F15</f>
        <v/>
      </c>
      <c r="G63" s="44">
        <f>G15</f>
        <v/>
      </c>
      <c r="H63" s="44">
        <f>H15</f>
        <v/>
      </c>
    </row>
    <row r="64">
      <c r="A64" s="41" t="inlineStr">
        <is>
          <t xml:space="preserve">  DSO (days) – year 2</t>
        </is>
      </c>
      <c r="F64" s="44">
        <f>F15</f>
        <v/>
      </c>
      <c r="G64" s="44">
        <f>G15</f>
        <v/>
      </c>
      <c r="H64" s="44">
        <f>H15</f>
        <v/>
      </c>
    </row>
    <row r="65">
      <c r="A65" s="41" t="inlineStr">
        <is>
          <t xml:space="preserve">  DSO (days) – year 3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 xml:space="preserve">  DSO (days) – year 4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 xml:space="preserve">  DSO (days) – year 5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 xml:space="preserve">  Accounts receivable – year 1</t>
        </is>
      </c>
      <c r="F68" s="42">
        <f>(F63/365)*F23</f>
        <v/>
      </c>
      <c r="G68" s="42">
        <f>(G63/365)*G23</f>
        <v/>
      </c>
      <c r="H68" s="42">
        <f>(H63/365)*H23</f>
        <v/>
      </c>
    </row>
    <row r="69">
      <c r="A69" s="41" t="inlineStr">
        <is>
          <t xml:space="preserve">  Accounts receivable – year 2</t>
        </is>
      </c>
      <c r="F69" s="42">
        <f>(F64/365)*F24</f>
        <v/>
      </c>
      <c r="G69" s="42">
        <f>(G64/365)*G24</f>
        <v/>
      </c>
      <c r="H69" s="42">
        <f>(H64/365)*H24</f>
        <v/>
      </c>
    </row>
    <row r="70">
      <c r="A70" s="41" t="inlineStr">
        <is>
          <t xml:space="preserve">  Accounts receivable – year 3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 xml:space="preserve">  Accounts receivable – year 4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 xml:space="preserve">  Accounts receivable – year 5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 xml:space="preserve">  DIO (days) – year 1</t>
        </is>
      </c>
      <c r="F73" s="44">
        <f>F16-F17*1</f>
        <v/>
      </c>
      <c r="G73" s="44">
        <f>G16-G17*1</f>
        <v/>
      </c>
      <c r="H73" s="44">
        <f>H16-H17*1</f>
        <v/>
      </c>
    </row>
    <row r="74">
      <c r="A74" s="41" t="inlineStr">
        <is>
          <t xml:space="preserve">  DIO (days) – year 2</t>
        </is>
      </c>
      <c r="F74" s="44">
        <f>F16-F17*2</f>
        <v/>
      </c>
      <c r="G74" s="44">
        <f>G16-G17*2</f>
        <v/>
      </c>
      <c r="H74" s="44">
        <f>H16-H17*2</f>
        <v/>
      </c>
    </row>
    <row r="75">
      <c r="A75" s="41" t="inlineStr">
        <is>
          <t xml:space="preserve">  DIO (days) – year 3</t>
        </is>
      </c>
      <c r="F75" s="44">
        <f>F16-F17*3</f>
        <v/>
      </c>
      <c r="G75" s="44">
        <f>G16-G17*3</f>
        <v/>
      </c>
      <c r="H75" s="44">
        <f>H16-H17*3</f>
        <v/>
      </c>
    </row>
    <row r="76">
      <c r="A76" s="41" t="inlineStr">
        <is>
          <t xml:space="preserve">  DIO (days) – year 4</t>
        </is>
      </c>
      <c r="F76" s="44">
        <f>F16-F17*4</f>
        <v/>
      </c>
      <c r="G76" s="44">
        <f>G16-G17*4</f>
        <v/>
      </c>
      <c r="H76" s="44">
        <f>H16-H17*4</f>
        <v/>
      </c>
    </row>
    <row r="77">
      <c r="A77" s="41" t="inlineStr">
        <is>
          <t xml:space="preserve">  DIO (days) – year 5</t>
        </is>
      </c>
      <c r="F77" s="44">
        <f>F16-F17*5</f>
        <v/>
      </c>
      <c r="G77" s="44">
        <f>G16-G17*5</f>
        <v/>
      </c>
      <c r="H77" s="44">
        <f>H16-H17*5</f>
        <v/>
      </c>
    </row>
    <row r="78">
      <c r="A78" s="41" t="inlineStr">
        <is>
          <t xml:space="preserve">  Inventories – year 1</t>
        </is>
      </c>
      <c r="F78" s="42">
        <f>(F73/365)*F33</f>
        <v/>
      </c>
      <c r="G78" s="42">
        <f>(G73/365)*G33</f>
        <v/>
      </c>
      <c r="H78" s="42">
        <f>(H73/365)*H33</f>
        <v/>
      </c>
    </row>
    <row r="79">
      <c r="A79" s="41" t="inlineStr">
        <is>
          <t xml:space="preserve">  Inventories – year 2</t>
        </is>
      </c>
      <c r="F79" s="42">
        <f>(F74/365)*F34</f>
        <v/>
      </c>
      <c r="G79" s="42">
        <f>(G74/365)*G34</f>
        <v/>
      </c>
      <c r="H79" s="42">
        <f>(H74/365)*H34</f>
        <v/>
      </c>
    </row>
    <row r="80">
      <c r="A80" s="41" t="inlineStr">
        <is>
          <t xml:space="preserve">  Inventories – year 3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 xml:space="preserve">  Inventories – year 4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 xml:space="preserve">  Inventories – year 5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 xml:space="preserve">  DPO (days) – year 1</t>
        </is>
      </c>
      <c r="F83" s="44">
        <f>F18</f>
        <v/>
      </c>
      <c r="G83" s="44">
        <f>G18</f>
        <v/>
      </c>
      <c r="H83" s="44">
        <f>H18</f>
        <v/>
      </c>
    </row>
    <row r="84">
      <c r="A84" s="41" t="inlineStr">
        <is>
          <t xml:space="preserve">  DPO (days) – year 2</t>
        </is>
      </c>
      <c r="F84" s="44">
        <f>F18</f>
        <v/>
      </c>
      <c r="G84" s="44">
        <f>G18</f>
        <v/>
      </c>
      <c r="H84" s="44">
        <f>H18</f>
        <v/>
      </c>
    </row>
    <row r="85">
      <c r="A85" s="41" t="inlineStr">
        <is>
          <t xml:space="preserve">  DPO (days) – year 3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 xml:space="preserve">  DPO (days) – year 4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 xml:space="preserve">  DPO (days) – year 5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 xml:space="preserve">  Accounts payable – year 1</t>
        </is>
      </c>
      <c r="F88" s="42">
        <f>(F83/365)*F33</f>
        <v/>
      </c>
      <c r="G88" s="42">
        <f>(G83/365)*G33</f>
        <v/>
      </c>
      <c r="H88" s="42">
        <f>(H83/365)*H33</f>
        <v/>
      </c>
    </row>
    <row r="89">
      <c r="A89" s="41" t="inlineStr">
        <is>
          <t xml:space="preserve">  Accounts payable – year 2</t>
        </is>
      </c>
      <c r="F89" s="42">
        <f>(F84/365)*F34</f>
        <v/>
      </c>
      <c r="G89" s="42">
        <f>(G84/365)*G34</f>
        <v/>
      </c>
      <c r="H89" s="42">
        <f>(H84/365)*H34</f>
        <v/>
      </c>
    </row>
    <row r="90">
      <c r="A90" s="41" t="inlineStr">
        <is>
          <t xml:space="preserve">  Accounts payable – year 3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 xml:space="preserve">  Accounts payable – year 4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 xml:space="preserve">  Accounts payable – year 5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 xml:space="preserve">  Prepaid expenses (other current assets) – year 1</t>
        </is>
      </c>
      <c r="F93" s="42">
        <f>F23*F19</f>
        <v/>
      </c>
      <c r="G93" s="42">
        <f>G23*G19</f>
        <v/>
      </c>
      <c r="H93" s="42">
        <f>H23*H19</f>
        <v/>
      </c>
    </row>
    <row r="94">
      <c r="A94" s="41" t="inlineStr">
        <is>
          <t xml:space="preserve">  Prepaid expenses (other current assets) – year 2</t>
        </is>
      </c>
      <c r="F94" s="42">
        <f>F24*F19</f>
        <v/>
      </c>
      <c r="G94" s="42">
        <f>G24*G19</f>
        <v/>
      </c>
      <c r="H94" s="42">
        <f>H24*H19</f>
        <v/>
      </c>
    </row>
    <row r="95">
      <c r="A95" s="41" t="inlineStr">
        <is>
          <t xml:space="preserve">  Prepaid expenses (other current assets) – year 3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 xml:space="preserve">  Prepaid expenses (other current assets) – year 4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 xml:space="preserve">  Prepaid expenses (other current assets) – year 5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 xml:space="preserve">  Accrued liabilities – year 1</t>
        </is>
      </c>
      <c r="F98" s="42">
        <f>F23*F20</f>
        <v/>
      </c>
      <c r="G98" s="42">
        <f>G23*G20</f>
        <v/>
      </c>
      <c r="H98" s="42">
        <f>H23*H20</f>
        <v/>
      </c>
    </row>
    <row r="99">
      <c r="A99" s="41" t="inlineStr">
        <is>
          <t xml:space="preserve">  Accrued liabilities – year 2</t>
        </is>
      </c>
      <c r="F99" s="42">
        <f>F24*F20</f>
        <v/>
      </c>
      <c r="G99" s="42">
        <f>G24*G20</f>
        <v/>
      </c>
      <c r="H99" s="42">
        <f>H24*H20</f>
        <v/>
      </c>
    </row>
    <row r="100">
      <c r="A100" s="41" t="inlineStr">
        <is>
          <t xml:space="preserve">  Accrued liabilities – year 3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 xml:space="preserve">  Accrued liabilities – year 4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 xml:space="preserve">  Accrued liabilities – year 5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 xml:space="preserve">  Current operating assets (AR + inv + prepaids) – year 1</t>
        </is>
      </c>
      <c r="F103" s="42">
        <f>F68+F78+F93</f>
        <v/>
      </c>
      <c r="G103" s="42">
        <f>G68+G78+G93</f>
        <v/>
      </c>
      <c r="H103" s="42">
        <f>H68+H78+H93</f>
        <v/>
      </c>
    </row>
    <row r="104">
      <c r="A104" s="41" t="inlineStr">
        <is>
          <t xml:space="preserve">  Current operating assets (AR + inv + prepaids) – year 2</t>
        </is>
      </c>
      <c r="F104" s="42">
        <f>F69+F79+F94</f>
        <v/>
      </c>
      <c r="G104" s="42">
        <f>G69+G79+G94</f>
        <v/>
      </c>
      <c r="H104" s="42">
        <f>H69+H79+H94</f>
        <v/>
      </c>
    </row>
    <row r="105">
      <c r="A105" s="41" t="inlineStr">
        <is>
          <t xml:space="preserve">  Current operating assets (AR + inv + prepaids) – year 3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 xml:space="preserve">  Current operating assets (AR + inv + prepaids) – year 4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 xml:space="preserve">  Current operating assets (AR + inv + prepaids) – year 5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 xml:space="preserve">  Current operating liabilities (AP + accruals) – year 1</t>
        </is>
      </c>
      <c r="F108" s="42">
        <f>F88+F98</f>
        <v/>
      </c>
      <c r="G108" s="42">
        <f>G88+G98</f>
        <v/>
      </c>
      <c r="H108" s="42">
        <f>H88+H98</f>
        <v/>
      </c>
    </row>
    <row r="109">
      <c r="A109" s="41" t="inlineStr">
        <is>
          <t xml:space="preserve">  Current operating liabilities (AP + accruals) – year 2</t>
        </is>
      </c>
      <c r="F109" s="42">
        <f>F89+F99</f>
        <v/>
      </c>
      <c r="G109" s="42">
        <f>G89+G99</f>
        <v/>
      </c>
      <c r="H109" s="42">
        <f>H89+H99</f>
        <v/>
      </c>
    </row>
    <row r="110">
      <c r="A110" s="41" t="inlineStr">
        <is>
          <t xml:space="preserve">  Current operating liabilities (AP + accruals) – year 3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 xml:space="preserve">  Current operating liabilities (AP + accruals) – year 4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 xml:space="preserve">  Current operating liabilities (AP + accruals) – year 5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 xml:space="preserve">  Net working capital – year 1</t>
        </is>
      </c>
      <c r="F113" s="42">
        <f>F103-F108</f>
        <v/>
      </c>
      <c r="G113" s="42">
        <f>G103-G108</f>
        <v/>
      </c>
      <c r="H113" s="42">
        <f>H103-H108</f>
        <v/>
      </c>
    </row>
    <row r="114">
      <c r="A114" s="41" t="inlineStr">
        <is>
          <t xml:space="preserve">  Net working capital – year 2</t>
        </is>
      </c>
      <c r="F114" s="42">
        <f>F104-F109</f>
        <v/>
      </c>
      <c r="G114" s="42">
        <f>G104-G109</f>
        <v/>
      </c>
      <c r="H114" s="42">
        <f>H104-H109</f>
        <v/>
      </c>
    </row>
    <row r="115">
      <c r="A115" s="41" t="inlineStr">
        <is>
          <t xml:space="preserve">  Net working capital – year 3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 xml:space="preserve">  Net working capital – year 4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 xml:space="preserve">  Net working capital – year 5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 xml:space="preserve">  ΔNWC (prior yr − current yr) – year 1</t>
        </is>
      </c>
      <c r="F118" s="42">
        <f>1461096-F113</f>
        <v/>
      </c>
      <c r="G118" s="42">
        <f>1461096-G113</f>
        <v/>
      </c>
      <c r="H118" s="42">
        <f>1461096-H113</f>
        <v/>
      </c>
    </row>
    <row r="119">
      <c r="A119" s="41" t="inlineStr">
        <is>
          <t xml:space="preserve">  ΔNWC (prior yr − current yr) – year 2</t>
        </is>
      </c>
      <c r="F119" s="42">
        <f>F113-F114</f>
        <v/>
      </c>
      <c r="G119" s="42">
        <f>G113-G114</f>
        <v/>
      </c>
      <c r="H119" s="42">
        <f>H113-H114</f>
        <v/>
      </c>
    </row>
    <row r="120">
      <c r="A120" s="41" t="inlineStr">
        <is>
          <t xml:space="preserve">  ΔNWC (prior yr − current yr) – year 3</t>
        </is>
      </c>
      <c r="F120" s="42">
        <f>F114-F115</f>
        <v/>
      </c>
      <c r="G120" s="42">
        <f>G114-G115</f>
        <v/>
      </c>
      <c r="H120" s="42">
        <f>H114-H115</f>
        <v/>
      </c>
    </row>
    <row r="121">
      <c r="A121" s="41" t="inlineStr">
        <is>
          <t xml:space="preserve">  ΔNWC (prior yr − current yr) – year 4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 xml:space="preserve">  ΔNWC (prior yr − current yr) – year 5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 xml:space="preserve">  Unlevered FCF – year 1</t>
        </is>
      </c>
      <c r="F123" s="42">
        <f>F48+F53-F58+F118</f>
        <v/>
      </c>
      <c r="G123" s="42">
        <f>G48+G53-G58+G118</f>
        <v/>
      </c>
      <c r="H123" s="42">
        <f>H48+H53-H58+H118</f>
        <v/>
      </c>
    </row>
    <row r="124">
      <c r="A124" s="41" t="inlineStr">
        <is>
          <t xml:space="preserve">  Unlevered FCF – year 2</t>
        </is>
      </c>
      <c r="F124" s="42">
        <f>F49+F54-F59+F119</f>
        <v/>
      </c>
      <c r="G124" s="42">
        <f>G49+G54-G59+G119</f>
        <v/>
      </c>
      <c r="H124" s="42">
        <f>H49+H54-H59+H119</f>
        <v/>
      </c>
    </row>
    <row r="125">
      <c r="A125" s="41" t="inlineStr">
        <is>
          <t xml:space="preserve">  Unlevered FCF – year 3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 xml:space="preserve">  Unlevered FCF – year 4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 xml:space="preserve">  Unlevered FCF – year 5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9">
      <c r="A129" s="23" t="inlineStr">
        <is>
          <t>Enterprise value (DCF)</t>
        </is>
      </c>
      <c r="F129" s="25">
        <f>NPV(F9,F123,F124,F125,F126,F127)+(F127*(1+F10)/(F9-F10))/(1+F9)^5</f>
        <v/>
      </c>
      <c r="G129" s="25">
        <f>NPV(G9,G123,G124,G125,G126,G127)+(G127*(1+G10)/(G9-G10))/(1+G9)^5</f>
        <v/>
      </c>
      <c r="H129" s="25">
        <f>NPV(H9,H123,H124,H125,H126,H127)+(H127*(1+H10)/(H9-H10))/(1+H9)^5</f>
        <v/>
      </c>
    </row>
    <row r="130">
      <c r="A130" s="45" t="inlineStr">
        <is>
          <t>Implied share price</t>
        </is>
      </c>
      <c r="F130" s="46">
        <f>(F129+1807202-1798441)/111380</f>
        <v/>
      </c>
      <c r="G130" s="47">
        <f>(G129+1807202-1798441)/111380</f>
        <v/>
      </c>
      <c r="H130" s="46">
        <f>(H129+1807202-1798441)/111380</f>
        <v/>
      </c>
    </row>
    <row r="131">
      <c r="A131" s="23" t="inlineStr">
        <is>
          <t>Upside / (downside) vs current</t>
        </is>
      </c>
      <c r="F131" s="48">
        <f>F130/100.0-1</f>
        <v/>
      </c>
      <c r="G131" s="48">
        <f>G130/100.0-1</f>
        <v/>
      </c>
      <c r="H131" s="48">
        <f>H130/100.0-1</f>
        <v/>
      </c>
    </row>
    <row r="133">
      <c r="A133" s="26" t="inlineStr">
        <is>
          <t>Current price $100.00; cash $1,807,202 k; lease debt $1,798,441 k; funded debt $0; net cash $8,761 k.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49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Firecrawl-ingested 10-K anchors (blue). FY26–30 = red operational assumptions. Consolidated revenue cross-checks to Scenarios base case.</t>
        </is>
      </c>
    </row>
    <row r="3">
      <c r="I3" s="50" t="inlineStr">
        <is>
          <t>Equation (every formula row)</t>
        </is>
      </c>
      <c r="J3" s="50" t="inlineStr">
        <is>
          <t>Justification (~20 words)</t>
        </is>
      </c>
      <c r="K3" s="50" t="inlineStr">
        <is>
          <t>Source (click)</t>
        </is>
      </c>
      <c r="L3" s="50" t="inlineStr">
        <is>
          <t>Ctrl+F (prove number)</t>
        </is>
      </c>
    </row>
    <row r="4">
      <c r="A4" s="51" t="inlineStr">
        <is>
          <t>I. STORE FLEET &amp; SQUARE FOOTAGE (company-operated)</t>
        </is>
      </c>
    </row>
    <row r="5">
      <c r="A5" s="52" t="inlineStr">
        <is>
          <t>Driver</t>
        </is>
      </c>
      <c r="B5" s="53" t="inlineStr">
        <is>
          <t>FY2025A</t>
        </is>
      </c>
      <c r="C5" s="54" t="inlineStr">
        <is>
          <t>FY2026E</t>
        </is>
      </c>
      <c r="D5" s="53" t="inlineStr">
        <is>
          <t>FY2027E</t>
        </is>
      </c>
      <c r="E5" s="53" t="inlineStr">
        <is>
          <t>FY2028E</t>
        </is>
      </c>
      <c r="F5" s="53" t="inlineStr">
        <is>
          <t>FY2029E</t>
        </is>
      </c>
      <c r="G5" s="53" t="inlineStr">
        <is>
          <t>FY2030E</t>
        </is>
      </c>
      <c r="H5" s="53" t="inlineStr">
        <is>
          <t>Units</t>
        </is>
      </c>
      <c r="I5" s="54" t="inlineStr">
        <is>
          <t>Equation</t>
        </is>
      </c>
      <c r="J5" s="55" t="inlineStr">
        <is>
          <t>Justification  [cols I–L: click + to expand]</t>
        </is>
      </c>
      <c r="K5" s="55" t="inlineStr">
        <is>
          <t>Source</t>
        </is>
      </c>
      <c r="L5" s="55" t="inlineStr">
        <is>
          <t>Ctrl+F</t>
        </is>
      </c>
    </row>
    <row r="6" ht="28" customHeight="1">
      <c r="A6" s="41" t="inlineStr">
        <is>
          <t xml:space="preserve">  Americas — beginning stores</t>
        </is>
      </c>
      <c r="B6" s="56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7" t="inlineStr">
        <is>
          <t>stores</t>
        </is>
      </c>
      <c r="I6" s="58" t="inlineStr">
        <is>
          <t>prior-year ending stores. Same count, new column —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 xml:space="preserve">  Americas — openings</t>
        </is>
      </c>
      <c r="C7" s="59" t="n">
        <v>8</v>
      </c>
      <c r="D7" s="59" t="n">
        <v>7</v>
      </c>
      <c r="E7" s="59" t="n">
        <v>6</v>
      </c>
      <c r="F7" s="59" t="n">
        <v>5</v>
      </c>
      <c r="G7" s="59" t="n">
        <v>4</v>
      </c>
      <c r="H7" s="57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 xml:space="preserve">  Americas — closures</t>
        </is>
      </c>
      <c r="C8" s="59" t="n">
        <v>3</v>
      </c>
      <c r="D8" s="59" t="n">
        <v>3</v>
      </c>
      <c r="E8" s="59" t="n">
        <v>2</v>
      </c>
      <c r="F8" s="59" t="n">
        <v>2</v>
      </c>
      <c r="G8" s="59" t="n">
        <v>2</v>
      </c>
      <c r="H8" s="57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 — immaterial closures vs expansion; 2–3 per mature region.</t>
        </is>
      </c>
    </row>
    <row r="9" ht="28" customHeight="1">
      <c r="A9" s="60" t="inlineStr">
        <is>
          <t xml:space="preserve">  Americas — ending stores</t>
        </is>
      </c>
      <c r="B9" s="56" t="n">
        <v>476</v>
      </c>
      <c r="C9" s="61">
        <f>C6+C7-C8</f>
        <v/>
      </c>
      <c r="D9" s="61">
        <f>D6+D7-D8</f>
        <v/>
      </c>
      <c r="E9" s="61">
        <f>E6+E7-E8</f>
        <v/>
      </c>
      <c r="F9" s="61">
        <f>F6+F7-F8</f>
        <v/>
      </c>
      <c r="G9" s="61">
        <f>G6+G7-G8</f>
        <v/>
      </c>
      <c r="H9" s="57" t="inlineStr">
        <is>
          <t>stores</t>
        </is>
      </c>
      <c r="I9" s="58" t="inlineStr">
        <is>
          <t>beginning stores + openings − closures. Roll-forward —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 xml:space="preserve">  China Mainland — beginning stores</t>
        </is>
      </c>
      <c r="B10" s="56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7" t="inlineStr">
        <is>
          <t>stores</t>
        </is>
      </c>
      <c r="I10" s="58" t="inlineStr">
        <is>
          <t>prior-year ending stores. Same count, new column —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 xml:space="preserve">  China Mainland — openings</t>
        </is>
      </c>
      <c r="C11" s="59" t="n">
        <v>20</v>
      </c>
      <c r="D11" s="59" t="n">
        <v>18</v>
      </c>
      <c r="E11" s="59" t="n">
        <v>16</v>
      </c>
      <c r="F11" s="59" t="n">
        <v>14</v>
      </c>
      <c r="G11" s="59" t="n">
        <v>12</v>
      </c>
      <c r="H11" s="57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 xml:space="preserve">  China Mainland — closures</t>
        </is>
      </c>
      <c r="C12" s="59" t="n">
        <v>1</v>
      </c>
      <c r="D12" s="59" t="n">
        <v>1</v>
      </c>
      <c r="E12" s="59" t="n">
        <v>1</v>
      </c>
      <c r="F12" s="59" t="n">
        <v>1</v>
      </c>
      <c r="G12" s="59" t="n">
        <v>1</v>
      </c>
      <c r="H12" s="57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 — immaterial closures vs expansion; 2–3 per mature region.</t>
        </is>
      </c>
    </row>
    <row r="13" ht="28" customHeight="1">
      <c r="A13" s="60" t="inlineStr">
        <is>
          <t xml:space="preserve">  China Mainland — ending stores</t>
        </is>
      </c>
      <c r="B13" s="56" t="n">
        <v>172</v>
      </c>
      <c r="C13" s="61">
        <f>C10+C11-C12</f>
        <v/>
      </c>
      <c r="D13" s="61">
        <f>D10+D11-D12</f>
        <v/>
      </c>
      <c r="E13" s="61">
        <f>E10+E11-E12</f>
        <v/>
      </c>
      <c r="F13" s="61">
        <f>F10+F11-F12</f>
        <v/>
      </c>
      <c r="G13" s="61">
        <f>G10+G11-G12</f>
        <v/>
      </c>
      <c r="H13" s="57" t="inlineStr">
        <is>
          <t>stores</t>
        </is>
      </c>
      <c r="I13" s="58" t="inlineStr">
        <is>
          <t>beginning stores + openings − closures. Roll-forward —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 xml:space="preserve">  Rest of World — beginning stores</t>
        </is>
      </c>
      <c r="B14" s="56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7" t="inlineStr">
        <is>
          <t>stores</t>
        </is>
      </c>
      <c r="I14" s="58" t="inlineStr">
        <is>
          <t>prior-year ending stores. Same count, new column —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 xml:space="preserve">  Rest of World — openings</t>
        </is>
      </c>
      <c r="C15" s="59" t="n">
        <v>7</v>
      </c>
      <c r="D15" s="59" t="n">
        <v>6</v>
      </c>
      <c r="E15" s="59" t="n">
        <v>5</v>
      </c>
      <c r="F15" s="59" t="n">
        <v>5</v>
      </c>
      <c r="G15" s="59" t="n">
        <v>4</v>
      </c>
      <c r="H15" s="57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 xml:space="preserve">  Rest of World — closures</t>
        </is>
      </c>
      <c r="C16" s="59" t="n">
        <v>2</v>
      </c>
      <c r="D16" s="59" t="n">
        <v>2</v>
      </c>
      <c r="E16" s="59" t="n">
        <v>2</v>
      </c>
      <c r="F16" s="59" t="n">
        <v>2</v>
      </c>
      <c r="G16" s="59" t="n">
        <v>2</v>
      </c>
      <c r="H16" s="57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 — immaterial closures vs expansion; 2–3 per mature region.</t>
        </is>
      </c>
    </row>
    <row r="17" ht="28" customHeight="1">
      <c r="A17" s="60" t="inlineStr">
        <is>
          <t xml:space="preserve">  Rest of World — ending stores</t>
        </is>
      </c>
      <c r="B17" s="56" t="n">
        <v>163</v>
      </c>
      <c r="C17" s="61">
        <f>C14+C15-C16</f>
        <v/>
      </c>
      <c r="D17" s="61">
        <f>D14+D15-D16</f>
        <v/>
      </c>
      <c r="E17" s="61">
        <f>E14+E15-E16</f>
        <v/>
      </c>
      <c r="F17" s="61">
        <f>F14+F15-F16</f>
        <v/>
      </c>
      <c r="G17" s="61">
        <f>G14+G15-G16</f>
        <v/>
      </c>
      <c r="H17" s="57" t="inlineStr">
        <is>
          <t>stores</t>
        </is>
      </c>
      <c r="I17" s="58" t="inlineStr">
        <is>
          <t>beginning stores + openings − closures. Roll-forward —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0" t="inlineStr">
        <is>
          <t>Total ending stores</t>
        </is>
      </c>
      <c r="B18" s="62" t="n">
        <v>811</v>
      </c>
      <c r="C18" s="61">
        <f>C9+C13+C17</f>
        <v/>
      </c>
      <c r="D18" s="61">
        <f>D9+D13+D17</f>
        <v/>
      </c>
      <c r="E18" s="61">
        <f>E9+E13+E17</f>
        <v/>
      </c>
      <c r="F18" s="61">
        <f>F9+F13+F17</f>
        <v/>
      </c>
      <c r="G18" s="61">
        <f>G9+G13+G17</f>
        <v/>
      </c>
      <c r="I18" s="58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59" t="n">
        <v>4366</v>
      </c>
      <c r="C19" s="59" t="n">
        <v>4400</v>
      </c>
      <c r="D19" s="59" t="n">
        <v>4425</v>
      </c>
      <c r="E19" s="59" t="n">
        <v>4450</v>
      </c>
      <c r="F19" s="59" t="n">
        <v>4475</v>
      </c>
      <c r="G19" s="59" t="n">
        <v>4500</v>
      </c>
      <c r="H19" s="57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7" t="inlineStr">
        <is>
          <t>sq ft</t>
        </is>
      </c>
      <c r="I20" s="58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2">
      <c r="A22" s="51" t="inlineStr">
        <is>
          <t>II. STORE PRODUCTIVITY (brick &amp; mortar channel)</t>
        </is>
      </c>
    </row>
    <row r="23">
      <c r="A23" s="52" t="inlineStr">
        <is>
          <t>Driver</t>
        </is>
      </c>
      <c r="B23" s="53" t="inlineStr">
        <is>
          <t>FY2025A</t>
        </is>
      </c>
      <c r="C23" s="54" t="inlineStr">
        <is>
          <t>FY2026E</t>
        </is>
      </c>
      <c r="D23" s="53" t="inlineStr">
        <is>
          <t>FY2027E</t>
        </is>
      </c>
      <c r="E23" s="53" t="inlineStr">
        <is>
          <t>FY2028E</t>
        </is>
      </c>
      <c r="F23" s="53" t="inlineStr">
        <is>
          <t>FY2029E</t>
        </is>
      </c>
      <c r="G23" s="53" t="inlineStr">
        <is>
          <t>FY2030E</t>
        </is>
      </c>
      <c r="H23" s="53" t="inlineStr">
        <is>
          <t>Units</t>
        </is>
      </c>
      <c r="I23" s="54" t="inlineStr">
        <is>
          <t>Equation</t>
        </is>
      </c>
      <c r="J23" s="55" t="inlineStr">
        <is>
          <t>Justification  [cols I–L: click + to expand]</t>
        </is>
      </c>
      <c r="K23" s="55" t="inlineStr">
        <is>
          <t>Source</t>
        </is>
      </c>
      <c r="L23" s="55" t="inlineStr">
        <is>
          <t>Ctrl+F</t>
        </is>
      </c>
    </row>
    <row r="24" ht="28" customHeight="1">
      <c r="A24" s="41" t="inlineStr">
        <is>
          <t>Sales per square foot ($)</t>
        </is>
      </c>
      <c r="B24" s="59" t="n">
        <v>1426</v>
      </c>
      <c r="C24" s="59" t="n">
        <v>1360</v>
      </c>
      <c r="D24" s="59" t="n">
        <v>1380</v>
      </c>
      <c r="E24" s="59" t="n">
        <v>1400</v>
      </c>
      <c r="F24" s="59" t="n">
        <v>1420</v>
      </c>
      <c r="G24" s="59" t="n">
        <v>1440</v>
      </c>
      <c r="H24" s="57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 xml:space="preserve">  Americas — comparable sales growth</t>
        </is>
      </c>
      <c r="B25" s="63" t="n">
        <v>-0.03</v>
      </c>
      <c r="C25" s="63" t="n">
        <v>-0.04</v>
      </c>
      <c r="D25" s="63" t="n">
        <v>0</v>
      </c>
      <c r="E25" s="63" t="n">
        <v>0.01</v>
      </c>
      <c r="F25" s="63" t="n">
        <v>0.02</v>
      </c>
      <c r="G25" s="63" t="n">
        <v>0.02</v>
      </c>
      <c r="H25" s="57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 xml:space="preserve">  China Mainland — comparable sales growth</t>
        </is>
      </c>
      <c r="B26" s="63" t="n">
        <v>0.2</v>
      </c>
      <c r="C26" s="63" t="n">
        <v>0.14</v>
      </c>
      <c r="D26" s="63" t="n">
        <v>0.12</v>
      </c>
      <c r="E26" s="63" t="n">
        <v>0.1</v>
      </c>
      <c r="F26" s="63" t="n">
        <v>0.08</v>
      </c>
      <c r="G26" s="63" t="n">
        <v>0.07000000000000001</v>
      </c>
      <c r="H26" s="57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 xml:space="preserve">  Rest of World — comparable sales growth</t>
        </is>
      </c>
      <c r="B27" s="63" t="n">
        <v>0.09</v>
      </c>
      <c r="C27" s="63" t="n">
        <v>0.07000000000000001</v>
      </c>
      <c r="D27" s="63" t="n">
        <v>0.06</v>
      </c>
      <c r="E27" s="63" t="n">
        <v>0.05</v>
      </c>
      <c r="F27" s="63" t="n">
        <v>0.04</v>
      </c>
      <c r="G27" s="63" t="n">
        <v>0.04</v>
      </c>
      <c r="H27" s="57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4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7" t="inlineStr">
        <is>
          <t>$000</t>
        </is>
      </c>
      <c r="I28" s="58" t="inlineStr">
        <is>
          <t>prior column's total store-channel revenue. Base you're applying comps to — not new-store contribution.</t>
        </is>
      </c>
      <c r="J28" s="17" t="inlineStr">
        <is>
          <t>Last year's total store-channel revenue —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6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8" t="inlineStr">
        <is>
          <t>prior store rev×(71%×(1+Am comp)+16%×(1+China)+13%×(1+RoW)). Existing base only — new stores are on the next row.</t>
        </is>
      </c>
      <c r="J29" s="17" t="inlineStr">
        <is>
          <t>Existing-store sales only —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8" t="inlineStr">
        <is>
          <t>(open−close each geo)×sq ft×$/sq ft → raw annual $. /1000 flips that to $000 (this whole tab is thousands). ×0.55 = year-one haircut —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0" t="inlineStr">
        <is>
          <t>Store channel revenue ($000)</t>
        </is>
      </c>
      <c r="B31" s="62" t="n">
        <v>5049744</v>
      </c>
      <c r="C31" s="61">
        <f>C29+C30</f>
        <v/>
      </c>
      <c r="D31" s="61">
        <f>D29+D30</f>
        <v/>
      </c>
      <c r="E31" s="61">
        <f>E29+E30</f>
        <v/>
      </c>
      <c r="F31" s="61">
        <f>F29+F30</f>
        <v/>
      </c>
      <c r="G31" s="61">
        <f>G29+G30</f>
        <v/>
      </c>
      <c r="I31" s="58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 xml:space="preserve">  memo: fleet traffic (millions of visits)</t>
        </is>
      </c>
      <c r="B32" s="65" t="n">
        <v>42.5</v>
      </c>
      <c r="C32" s="65" t="n">
        <v>40</v>
      </c>
      <c r="D32" s="65" t="n">
        <v>41</v>
      </c>
      <c r="E32" s="65" t="n">
        <v>42</v>
      </c>
      <c r="F32" s="65" t="n">
        <v>43</v>
      </c>
      <c r="G32" s="65" t="n">
        <v>44</v>
      </c>
      <c r="H32" s="57" t="inlineStr">
        <is>
          <t>M visits</t>
        </is>
      </c>
      <c r="J32" s="17" t="inlineStr">
        <is>
          <t>Fleet traffic memo line —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 xml:space="preserve">  memo: in-store conversion rate</t>
        </is>
      </c>
      <c r="B33" s="63" t="n">
        <v>0.28</v>
      </c>
      <c r="C33" s="63" t="n">
        <v>0.27</v>
      </c>
      <c r="D33" s="63" t="n">
        <v>0.275</v>
      </c>
      <c r="E33" s="63" t="n">
        <v>0.28</v>
      </c>
      <c r="F33" s="63" t="n">
        <v>0.285</v>
      </c>
      <c r="G33" s="63" t="n">
        <v>0.29</v>
      </c>
      <c r="J33" s="17" t="inlineStr">
        <is>
          <t>In-store conversion memo —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 xml:space="preserve">  memo: in-store average transaction ($)</t>
        </is>
      </c>
      <c r="B34" s="66" t="n">
        <v>118</v>
      </c>
      <c r="C34" s="66" t="n">
        <v>115</v>
      </c>
      <c r="D34" s="66" t="n">
        <v>116</v>
      </c>
      <c r="E34" s="66" t="n">
        <v>118</v>
      </c>
      <c r="F34" s="66" t="n">
        <v>120</v>
      </c>
      <c r="G34" s="66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6">
      <c r="A36" s="51" t="inlineStr">
        <is>
          <t>III. DIRECT-TO-CONSUMER (e-commerce / digital)</t>
        </is>
      </c>
    </row>
    <row r="37">
      <c r="A37" s="52" t="inlineStr">
        <is>
          <t>Driver</t>
        </is>
      </c>
      <c r="B37" s="53" t="inlineStr">
        <is>
          <t>FY2025A</t>
        </is>
      </c>
      <c r="C37" s="54" t="inlineStr">
        <is>
          <t>FY2026E</t>
        </is>
      </c>
      <c r="D37" s="53" t="inlineStr">
        <is>
          <t>FY2027E</t>
        </is>
      </c>
      <c r="E37" s="53" t="inlineStr">
        <is>
          <t>FY2028E</t>
        </is>
      </c>
      <c r="F37" s="53" t="inlineStr">
        <is>
          <t>FY2029E</t>
        </is>
      </c>
      <c r="G37" s="53" t="inlineStr">
        <is>
          <t>FY2030E</t>
        </is>
      </c>
      <c r="H37" s="53" t="inlineStr">
        <is>
          <t>Units</t>
        </is>
      </c>
      <c r="I37" s="54" t="inlineStr">
        <is>
          <t>Equation</t>
        </is>
      </c>
      <c r="J37" s="55" t="inlineStr">
        <is>
          <t>Justification  [cols I–L: click + to expand]</t>
        </is>
      </c>
      <c r="K37" s="55" t="inlineStr">
        <is>
          <t>Source</t>
        </is>
      </c>
      <c r="L37" s="55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59" t="n">
        <v>485</v>
      </c>
      <c r="C38" s="59" t="n">
        <v>485</v>
      </c>
      <c r="D38" s="59" t="n">
        <v>505</v>
      </c>
      <c r="E38" s="59" t="n">
        <v>525</v>
      </c>
      <c r="F38" s="59" t="n">
        <v>545</v>
      </c>
      <c r="G38" s="59" t="n">
        <v>560</v>
      </c>
      <c r="H38" s="57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3" t="n">
        <v>0.033</v>
      </c>
      <c r="C39" s="63" t="n">
        <v>0.033</v>
      </c>
      <c r="D39" s="63" t="n">
        <v>0.034</v>
      </c>
      <c r="E39" s="63" t="n">
        <v>0.035</v>
      </c>
      <c r="F39" s="63" t="n">
        <v>0.035</v>
      </c>
      <c r="G39" s="63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6" t="n">
        <v>307</v>
      </c>
      <c r="C40" s="66" t="n">
        <v>305</v>
      </c>
      <c r="D40" s="66" t="n">
        <v>308</v>
      </c>
      <c r="E40" s="66" t="n">
        <v>310</v>
      </c>
      <c r="F40" s="66" t="n">
        <v>312</v>
      </c>
      <c r="G40" s="66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0" t="inlineStr">
        <is>
          <t>E-commerce revenue ($000)</t>
        </is>
      </c>
      <c r="B41" s="62" t="n">
        <v>4918697</v>
      </c>
      <c r="C41" s="61">
        <f>C38*1000000*C39*C40/1000</f>
        <v/>
      </c>
      <c r="D41" s="61">
        <f>D38*1000000*D39*D40/1000</f>
        <v/>
      </c>
      <c r="E41" s="61">
        <f>E38*1000000*E39*E40/1000</f>
        <v/>
      </c>
      <c r="F41" s="61">
        <f>F38*1000000*F39*F40/1000</f>
        <v/>
      </c>
      <c r="G41" s="61">
        <f>G38*1000000*G39*G40/1000</f>
        <v/>
      </c>
      <c r="I41" s="58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3">
      <c r="A43" s="51" t="inlineStr">
        <is>
          <t>IV. OTHER CHANNELS, GEOGRAPHY &amp; PRODUCT MIX</t>
        </is>
      </c>
    </row>
    <row r="44">
      <c r="A44" s="52" t="inlineStr">
        <is>
          <t>Driver</t>
        </is>
      </c>
      <c r="B44" s="53" t="inlineStr">
        <is>
          <t>FY2025A</t>
        </is>
      </c>
      <c r="C44" s="54" t="inlineStr">
        <is>
          <t>FY2026E</t>
        </is>
      </c>
      <c r="D44" s="53" t="inlineStr">
        <is>
          <t>FY2027E</t>
        </is>
      </c>
      <c r="E44" s="53" t="inlineStr">
        <is>
          <t>FY2028E</t>
        </is>
      </c>
      <c r="F44" s="53" t="inlineStr">
        <is>
          <t>FY2029E</t>
        </is>
      </c>
      <c r="G44" s="53" t="inlineStr">
        <is>
          <t>FY2030E</t>
        </is>
      </c>
      <c r="H44" s="53" t="inlineStr">
        <is>
          <t>Units</t>
        </is>
      </c>
      <c r="I44" s="54" t="inlineStr">
        <is>
          <t>Equation</t>
        </is>
      </c>
      <c r="J44" s="55" t="inlineStr">
        <is>
          <t>Justification  [cols I–L: click + to expand]</t>
        </is>
      </c>
      <c r="K44" s="55" t="inlineStr">
        <is>
          <t>Source</t>
        </is>
      </c>
      <c r="L44" s="55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4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7" t="inlineStr">
        <is>
          <t>$000</t>
        </is>
      </c>
      <c r="I45" s="58" t="inlineStr">
        <is>
          <t>prior other-channel rev × (1 + growth %). Wholesale/license/outlets —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 xml:space="preserve">  Americas net revenue ($000)</t>
        </is>
      </c>
      <c r="B46" s="64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7" t="inlineStr">
        <is>
          <t>$000</t>
        </is>
      </c>
      <c r="I46" s="58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 xml:space="preserve">  China Mainland net revenue ($000)</t>
        </is>
      </c>
      <c r="B47" s="64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7" t="inlineStr">
        <is>
          <t>$000</t>
        </is>
      </c>
      <c r="I47" s="58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inlineStr">
        <is>
          <t>China 15.8% of FY25 revenue; fastest comp and store growth —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 xml:space="preserve">  Rest of World net revenue ($000)</t>
        </is>
      </c>
      <c r="B48" s="64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7" t="inlineStr">
        <is>
          <t>$000</t>
        </is>
      </c>
      <c r="I48" s="58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3" t="n">
        <v>0.63</v>
      </c>
      <c r="C49" s="63" t="n">
        <v>0.62</v>
      </c>
      <c r="D49" s="63" t="n">
        <v>0.615</v>
      </c>
      <c r="E49" s="63" t="n">
        <v>0.61</v>
      </c>
      <c r="F49" s="63" t="n">
        <v>0.605</v>
      </c>
      <c r="G49" s="63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3" t="n">
        <v>0.24</v>
      </c>
      <c r="C50" s="63" t="n">
        <v>0.25</v>
      </c>
      <c r="D50" s="63" t="n">
        <v>0.255</v>
      </c>
      <c r="E50" s="63" t="n">
        <v>0.26</v>
      </c>
      <c r="F50" s="63" t="n">
        <v>0.265</v>
      </c>
      <c r="G50" s="63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3" t="n">
        <v>0.13</v>
      </c>
      <c r="C51" s="63" t="n">
        <v>0.13</v>
      </c>
      <c r="D51" s="63" t="n">
        <v>0.13</v>
      </c>
      <c r="E51" s="63" t="n">
        <v>0.13</v>
      </c>
      <c r="F51" s="63" t="n">
        <v>0.13</v>
      </c>
      <c r="G51" s="63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3">
      <c r="A53" s="51" t="inlineStr">
        <is>
          <t>V. CONSOLIDATED REVENUE &amp; RECONCILIATION</t>
        </is>
      </c>
    </row>
    <row r="54">
      <c r="A54" s="52" t="inlineStr">
        <is>
          <t>Driver</t>
        </is>
      </c>
      <c r="B54" s="53" t="inlineStr">
        <is>
          <t>FY2025A</t>
        </is>
      </c>
      <c r="C54" s="54" t="inlineStr">
        <is>
          <t>FY2026E</t>
        </is>
      </c>
      <c r="D54" s="53" t="inlineStr">
        <is>
          <t>FY2027E</t>
        </is>
      </c>
      <c r="E54" s="53" t="inlineStr">
        <is>
          <t>FY2028E</t>
        </is>
      </c>
      <c r="F54" s="53" t="inlineStr">
        <is>
          <t>FY2029E</t>
        </is>
      </c>
      <c r="G54" s="53" t="inlineStr">
        <is>
          <t>FY2030E</t>
        </is>
      </c>
      <c r="H54" s="53" t="inlineStr">
        <is>
          <t>Units</t>
        </is>
      </c>
      <c r="I54" s="54" t="inlineStr">
        <is>
          <t>Equation</t>
        </is>
      </c>
      <c r="J54" s="55" t="inlineStr">
        <is>
          <t>Justification  [cols I–L: click + to expand]</t>
        </is>
      </c>
      <c r="K54" s="55" t="inlineStr">
        <is>
          <t>Source</t>
        </is>
      </c>
      <c r="L54" s="55" t="inlineStr">
        <is>
          <t>Ctrl+F</t>
        </is>
      </c>
    </row>
    <row r="55" ht="28" customHeight="1">
      <c r="A55" s="67" t="inlineStr">
        <is>
          <t>Bottom-up total revenue ($000)</t>
        </is>
      </c>
      <c r="B55" s="68" t="n">
        <v>11102600</v>
      </c>
      <c r="C55" s="69">
        <f>C31+C41+C45</f>
        <v/>
      </c>
      <c r="D55" s="69">
        <f>D31+D41+D45</f>
        <v/>
      </c>
      <c r="E55" s="69">
        <f>E31+E41+E45</f>
        <v/>
      </c>
      <c r="F55" s="69">
        <f>F31+F41+F45</f>
        <v/>
      </c>
      <c r="G55" s="69">
        <f>G31+G41+G45</f>
        <v/>
      </c>
      <c r="I55" s="58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4" t="n">
        <v>11102600</v>
      </c>
      <c r="C56" s="42">
        <f>Scenarios!G23</f>
        <v/>
      </c>
      <c r="D56" s="42">
        <f>Scenarios!G24</f>
        <v/>
      </c>
      <c r="E56" s="42">
        <f>Scenarios!G25</f>
        <v/>
      </c>
      <c r="F56" s="42">
        <f>Scenarios!G26</f>
        <v/>
      </c>
      <c r="G56" s="42">
        <f>Scenarios!G27</f>
        <v/>
      </c>
      <c r="I56" s="58" t="inlineStr">
        <is>
          <t>Scenarios! base-case revenue. DCF still runs off this path — not the driver total.</t>
        </is>
      </c>
      <c r="J56" s="17" t="inlineStr">
        <is>
          <t>Pulls the Scenarios base-case revenue path —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8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8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48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0" t="inlineStr">
        <is>
          <t>Justification  [cols B–D: click + to expand]</t>
        </is>
      </c>
      <c r="C2" s="50" t="inlineStr">
        <is>
          <t>Source (click)</t>
        </is>
      </c>
      <c r="D2" s="50" t="inlineStr">
        <is>
          <t>Ctrl+F (prove number)</t>
        </is>
      </c>
      <c r="E2" s="70" t="inlineStr">
        <is>
          <t>FY2025A</t>
        </is>
      </c>
      <c r="F2" s="71" t="inlineStr">
        <is>
          <t>FY2026E</t>
        </is>
      </c>
      <c r="G2" s="71" t="inlineStr">
        <is>
          <t>FY2027E</t>
        </is>
      </c>
      <c r="H2" s="71" t="inlineStr">
        <is>
          <t>FY2028E</t>
        </is>
      </c>
      <c r="I2" s="71" t="inlineStr">
        <is>
          <t>FY2029E</t>
        </is>
      </c>
      <c r="J2" s="71" t="inlineStr">
        <is>
          <t>FY2030E</t>
        </is>
      </c>
    </row>
    <row r="3">
      <c r="A3" s="51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agent workflow summary below.</t>
        </is>
      </c>
    </row>
    <row r="6">
      <c r="A6" s="51" t="inlineStr">
        <is>
          <t>Driver assumptions</t>
        </is>
      </c>
    </row>
    <row r="7" ht="42" customHeight="1">
      <c r="A7" s="16" t="inlineStr">
        <is>
          <t>Phase 1: Add back SBC? (1 = yes; diluted-shares / UFCF convention)</t>
        </is>
      </c>
      <c r="B7" s="17" t="inlineStr">
        <is>
          <t>Not % of revenue — SBC add-back flag (1 = yes). UFCF uses diluted shares; add back non-cash SBC to EBIT. FY25 SBC $62,203k scaled with revenue in forecast.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($000). Flag = 1 adds back to EBIT (diluted-shares UFCF convention).</t>
        </is>
      </c>
      <c r="E7" s="40" t="n">
        <v>1</v>
      </c>
      <c r="F7" s="40" t="n">
        <v>1</v>
      </c>
      <c r="G7" s="40" t="n">
        <v>1</v>
      </c>
      <c r="H7" s="40" t="n">
        <v>1</v>
      </c>
      <c r="I7" s="40" t="n">
        <v>1</v>
      </c>
      <c r="J7" s="40" t="n">
        <v>1</v>
      </c>
    </row>
    <row r="8" ht="56" customHeight="1">
      <c r="A8" s="16" t="inlineStr">
        <is>
          <t>Phase 3: Store-channel EBIT margin %</t>
        </is>
      </c>
      <c r="B8" s="17" t="inlineStr">
        <is>
          <t>Not % of consolidated revenue —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8" s="18" t="inlineStr">
        <is>
          <t>FY2025 10-K: company-operated stores net revenue</t>
        </is>
      </c>
      <c r="D8" s="19" t="inlineStr">
        <is>
          <t>Ctrl+F "Company-operated stores"
→ 5,049,744 ($000) net revenue
× 18.6% margin assumption → store EBIT ≈ 939,252 ($000)</t>
        </is>
      </c>
      <c r="E8" s="20" t="n">
        <v>0.186</v>
      </c>
      <c r="F8" s="20" t="n">
        <v>0.186</v>
      </c>
      <c r="G8" s="20" t="n">
        <v>0.186</v>
      </c>
      <c r="H8" s="20" t="n">
        <v>0.186</v>
      </c>
      <c r="I8" s="20" t="n">
        <v>0.186</v>
      </c>
      <c r="J8" s="20" t="n">
        <v>0.186</v>
      </c>
    </row>
    <row r="9" ht="56" customHeight="1">
      <c r="A9" s="16" t="inlineStr">
        <is>
          <t>Phase 3: E-commerce EBIT margin %</t>
        </is>
      </c>
      <c r="B9" s="17" t="inlineStr">
        <is>
          <t>Not % of consolidated revenue — EBIT as % of e-commerce revenue only (not the Scenarios 13.2%–15.5% consolidated margin).
23.6% margin assumption.
EBIT_e-comm = Rev_e-comm × Margin_e-comm
FY25 check: 4,918,697 × 23.6% ≈ 1,160,812 ($000).
Higher than stores — no occupancy; fulfillment + digital marketing only.</t>
        </is>
      </c>
      <c r="C9" s="18" t="inlineStr">
        <is>
          <t>FY2025 10-K: e-commerce net revenue</t>
        </is>
      </c>
      <c r="D9" s="19" t="inlineStr">
        <is>
          <t>Ctrl+F "E-commerce"
→ 4,918,697 ($000) net revenue
× 23.6% margin assumption → e-comm EBIT ≈ 1,160,812 ($000)</t>
        </is>
      </c>
      <c r="E9" s="20" t="n">
        <v>0.236</v>
      </c>
      <c r="F9" s="20" t="n">
        <v>0.236</v>
      </c>
      <c r="G9" s="20" t="n">
        <v>0.236</v>
      </c>
      <c r="H9" s="20" t="n">
        <v>0.236</v>
      </c>
      <c r="I9" s="20" t="n">
        <v>0.236</v>
      </c>
      <c r="J9" s="20" t="n">
        <v>0.236</v>
      </c>
    </row>
    <row r="10" ht="56" customHeight="1">
      <c r="A10" s="16" t="inlineStr">
        <is>
          <t>Phase 3: Other-channels EBIT margin %</t>
        </is>
      </c>
      <c r="B10" s="17" t="inlineStr">
        <is>
          <t>Not % of consolidated revenue — EBIT as % of other-channel revenue only (not the Scenarios 13.2%–15.5% consolidated margin).
9.1% margin assumption.
EBIT_other = Rev_other × Margin_other
FY25 check: 1,134,159 × 9.1% ≈ 103,209 ($000).
Wholesale/license/outlets — lower-margin residual channel.</t>
        </is>
      </c>
      <c r="C10" s="18" t="inlineStr">
        <is>
          <t>FY2025 10-K: other channels (residual)</t>
        </is>
      </c>
      <c r="D10" s="19" t="inlineStr">
        <is>
          <t>Ctrl+F "Net revenue" → 11,102,600
Minus stores + e-comm → other channels ≈ 1,134,159 ($000)
× 9.1% margin assumption → other EBIT ≈ 103,209 ($000)</t>
        </is>
      </c>
      <c r="E10" s="20" t="n">
        <v>0.091</v>
      </c>
      <c r="F10" s="20" t="n">
        <v>0.091</v>
      </c>
      <c r="G10" s="20" t="n">
        <v>0.091</v>
      </c>
      <c r="H10" s="20" t="n">
        <v>0.091</v>
      </c>
      <c r="I10" s="20" t="n">
        <v>0.091</v>
      </c>
      <c r="J10" s="20" t="n">
        <v>0.091</v>
      </c>
    </row>
    <row r="11" ht="28" customHeight="1">
      <c r="A11" s="16" t="inlineStr">
        <is>
          <t>Phase 4: Terminal marginal tax rate</t>
        </is>
      </c>
      <c r="B11" s="17" t="inlineStr">
        <is>
          <t>30% statutory marginal rate. t_operating transitions here over the 5-year forecast.</t>
        </is>
      </c>
      <c r="C11" s="18" t="inlineStr">
        <is>
          <t>Q2 FY2026 outlook: tax rate ≈ 30%</t>
        </is>
      </c>
      <c r="D11" s="19" t="inlineStr">
        <is>
          <t>Ctrl+F "a tax rate of approximately 30%" → terminal marginal rate for t_operating glide path.</t>
        </is>
      </c>
      <c r="E11" s="20" t="n">
        <v>0.3</v>
      </c>
      <c r="F11" s="20" t="n">
        <v>0.3</v>
      </c>
      <c r="G11" s="20" t="n">
        <v>0.3</v>
      </c>
      <c r="H11" s="20" t="n">
        <v>0.3</v>
      </c>
      <c r="I11" s="20" t="n">
        <v>0.3</v>
      </c>
      <c r="J11" s="20" t="n">
        <v>0.3</v>
      </c>
    </row>
    <row r="12" ht="28" customHeight="1">
      <c r="A12" s="16" t="inlineStr">
        <is>
          <t>Phase 2: R&amp;D / software amortization period (years)</t>
        </is>
      </c>
      <c r="B12" s="17" t="inlineStr">
        <is>
          <t>Not % of revenue — amortization period (years) if R&amp;D/software is capitalized. LULU: no separate R&amp;D cap.</t>
        </is>
      </c>
      <c r="C12" s="24" t="inlineStr">
        <is>
          <t>NOPAT Bridge: capitalization convention</t>
        </is>
      </c>
      <c r="D12" s="19" t="inlineStr">
        <is>
          <t>Amortization period if R&amp;D capitalized (3–5 yr convention). LULU: no separate R&amp;D capitalization.</t>
        </is>
      </c>
      <c r="E12" s="40" t="n">
        <v>4</v>
      </c>
      <c r="F12" s="40" t="n">
        <v>4</v>
      </c>
      <c r="G12" s="40" t="n">
        <v>4</v>
      </c>
      <c r="H12" s="40" t="n">
        <v>4</v>
      </c>
      <c r="I12" s="40" t="n">
        <v>4</v>
      </c>
      <c r="J12" s="40" t="n">
        <v>4</v>
      </c>
    </row>
    <row r="14" hidden="1" outlineLevel="1">
      <c r="A14" s="72" t="inlineStr">
        <is>
          <t>Phase 1 — Operating normalization</t>
        </is>
      </c>
    </row>
    <row r="15" hidden="1" outlineLevel="1" ht="28" customHeight="1">
      <c r="A15" s="16" t="inlineStr">
        <is>
          <t>Reported operating income (EBIT)</t>
        </is>
      </c>
      <c r="B15" s="17" t="inlineStr">
        <is>
          <t>FY25: reported operating income from 10-K. Forecast: Scenarios base-case EBIT (margin path).</t>
        </is>
      </c>
      <c r="C15" s="18" t="inlineStr">
        <is>
          <t>LULU FY2025 10-K: Income from operations</t>
        </is>
      </c>
      <c r="D15" s="19" t="inlineStr">
        <is>
          <t>Ctrl+F "Income from operations" → 2,210,615 ($000). Forecast links to Scenarios EBIT.</t>
        </is>
      </c>
      <c r="E15" s="73" t="n">
        <v>2210615</v>
      </c>
      <c r="F15" s="74">
        <f>Scenarios!G43</f>
        <v/>
      </c>
      <c r="G15" s="74">
        <f>Scenarios!G44</f>
        <v/>
      </c>
      <c r="H15" s="74">
        <f>Scenarios!G45</f>
        <v/>
      </c>
      <c r="I15" s="74">
        <f>Scenarios!G46</f>
        <v/>
      </c>
      <c r="J15" s="74">
        <f>Scenarios!G47</f>
        <v/>
      </c>
    </row>
    <row r="16" hidden="1" outlineLevel="1" ht="28" customHeight="1">
      <c r="A16" s="16" t="inlineStr">
        <is>
          <t>+ Impairment / intangible amortization (add-back)</t>
        </is>
      </c>
      <c r="B16" s="17" t="inlineStr">
        <is>
          <t>Add back intangible amortization / impairments. FY25 = other operating expense amortization run-rate.</t>
        </is>
      </c>
      <c r="C16" s="18" t="inlineStr">
        <is>
          <t>LULU FY2025 10-K: amortization of intangible assets</t>
        </is>
      </c>
      <c r="D16" s="19" t="inlineStr">
        <is>
          <t>Ctrl+F "Amortization of intangible assets" → other operating expense run-rate (add-back).</t>
        </is>
      </c>
      <c r="E16" s="73" t="n">
        <v>6961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</row>
    <row r="17" hidden="1" outlineLevel="1" ht="28" customHeight="1">
      <c r="A17" s="16" t="inlineStr">
        <is>
          <t>+ Restructuring costs (add-back)</t>
        </is>
      </c>
      <c r="B17" s="17" t="inlineStr">
        <is>
          <t>Add back restructuring (severance, store closures). LULU FY25: none identified.</t>
        </is>
      </c>
      <c r="C17" s="18" t="inlineStr">
        <is>
          <t>LULU FY2025 10-K: restructuring charges</t>
        </is>
      </c>
      <c r="D17" s="19" t="inlineStr">
        <is>
          <t>Ctrl+F "restructuring" → none material in FY25 10-K.</t>
        </is>
      </c>
      <c r="E17" s="73" t="n">
        <v>0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</row>
    <row r="18" hidden="1" outlineLevel="1" ht="28" customHeight="1">
      <c r="A18" s="16" t="inlineStr">
        <is>
          <t>+ Legal / M&amp;A one-offs (add-back)</t>
        </is>
      </c>
      <c r="B18" s="17" t="inlineStr">
        <is>
          <t>Strip one-off legal / M&amp;A advisory fees. LULU FY25: none identified.</t>
        </is>
      </c>
      <c r="C18" s="18" t="inlineStr">
        <is>
          <t>LULU FY2025 10-K: SG&amp;A one-offs</t>
        </is>
      </c>
      <c r="D18" s="19" t="inlineStr">
        <is>
          <t>One-off legal/M&amp;A fees in SG&amp;A — none identified FY25.</t>
        </is>
      </c>
      <c r="E18" s="73" t="n">
        <v>0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</row>
    <row r="19" hidden="1" outlineLevel="1" ht="42" customHeight="1">
      <c r="A19" s="16" t="inlineStr">
        <is>
          <t>+ Stock-based compensation (add-back if flag = 1)</t>
        </is>
      </c>
      <c r="B19" s="17" t="inlineStr">
        <is>
          <t>Not % of revenue — SBC add-back flag (1 = yes). UFCF uses diluted shares; add back non-cash SBC to EBIT. FY25 SBC $62,203k scaled with revenue in forecast.</t>
        </is>
      </c>
      <c r="C19" s="18" t="inlineStr">
        <is>
          <t>LULU CF statement (10-K): stock-based compensation</t>
        </is>
      </c>
      <c r="D19" s="19" t="inlineStr">
        <is>
          <t>Ctrl+F "Stock-based compensation expense"
→ 62,203 ($000). Flag = 1 adds back to EBIT (diluted-shares UFCF convention).</t>
        </is>
      </c>
      <c r="E19" s="73" t="n">
        <v>62203</v>
      </c>
      <c r="F19" s="74">
        <f>Scenarios!G23/11102600*62203*$E$7</f>
        <v/>
      </c>
      <c r="G19" s="74">
        <f>Scenarios!G24/11102600*62203*$E$7</f>
        <v/>
      </c>
      <c r="H19" s="74">
        <f>Scenarios!G25/11102600*62203*$E$7</f>
        <v/>
      </c>
      <c r="I19" s="74">
        <f>Scenarios!G26/11102600*62203*$E$7</f>
        <v/>
      </c>
      <c r="J19" s="74">
        <f>Scenarios!G27/11102600*62203*$E$7</f>
        <v/>
      </c>
    </row>
    <row r="20" hidden="1" outlineLevel="1" ht="28" customHeight="1">
      <c r="A20" s="23">
        <f> Adjusted EBIT (Phase 1)</f>
        <v/>
      </c>
      <c r="B20" s="17" t="inlineStr">
        <is>
          <t>Phase 1 adjusted EBIT = reported + non-recurring add-backs + optional SBC.</t>
        </is>
      </c>
      <c r="C20" s="24" t="inlineStr">
        <is>
          <t>NOPAT Bridge tab: Phase 1 subtotal</t>
        </is>
      </c>
      <c r="D20" s="19" t="inlineStr">
        <is>
          <t>Sum of reported EBIT + Phase 1 add-backs on this tab.</t>
        </is>
      </c>
      <c r="F20" s="25">
        <f>F15+F16+F17+F18+F19</f>
        <v/>
      </c>
      <c r="G20" s="25">
        <f>G15+G16+G17+G18+G19</f>
        <v/>
      </c>
      <c r="H20" s="25">
        <f>H15+H16+H17+H18+H19</f>
        <v/>
      </c>
      <c r="I20" s="25">
        <f>I15+I16+I17+I18+I19</f>
        <v/>
      </c>
      <c r="J20" s="25">
        <f>J15+J16+J17+J18+J19</f>
        <v/>
      </c>
    </row>
    <row r="21" hidden="1" outlineLevel="1">
      <c r="A21" s="72" t="inlineStr">
        <is>
          <t>Phase 2 — Lease &amp; capitalization (ASC 842 / IFRS 16)</t>
        </is>
      </c>
    </row>
    <row r="22" hidden="1" outlineLevel="1" ht="42" customHeight="1">
      <c r="A22" s="16" t="inlineStr">
        <is>
          <t>+ Implied lease interest expense (reclass from rent)</t>
        </is>
      </c>
      <c r="B22" s="17" t="inlineStr">
        <is>
          <t>Not % of revenue — implied lease interest ($1,028k FY25). Reclass from rent to unlevered EBIT; scales with revenue in forecast.</t>
        </is>
      </c>
      <c r="C22" s="18" t="inlineStr">
        <is>
          <t>LULU FY2025 10-K: interest on lease liabilities (supplemental)</t>
        </is>
      </c>
      <c r="D22" s="19" t="inlineStr">
        <is>
          <t>Ctrl+F "Interest paid on lease liabilities"
→ 1,028 ($000) supplemental cash-flow disclosure. Reclass to unlevered EBIT.</t>
        </is>
      </c>
      <c r="E22" s="73" t="n">
        <v>1028</v>
      </c>
      <c r="F22" s="74">
        <f>1028*(Scenarios!G23/11102600)</f>
        <v/>
      </c>
      <c r="G22" s="74">
        <f>1028*(Scenarios!G24/11102600)</f>
        <v/>
      </c>
      <c r="H22" s="74">
        <f>1028*(Scenarios!G25/11102600)</f>
        <v/>
      </c>
      <c r="I22" s="74">
        <f>1028*(Scenarios!G26/11102600)</f>
        <v/>
      </c>
      <c r="J22" s="74">
        <f>1028*(Scenarios!G27/11102600)</f>
        <v/>
      </c>
    </row>
    <row r="23" hidden="1" outlineLevel="1" ht="28" customHeight="1">
      <c r="A23" s="16" t="inlineStr">
        <is>
          <t>+ Capitalize R&amp;D / software (current-year expense)</t>
        </is>
      </c>
      <c r="B23" s="17" t="inlineStr">
        <is>
          <t>Capitalize multi-year software/R&amp;D. LULU: immaterial separate R&amp;D line — held at $0.</t>
        </is>
      </c>
      <c r="C23" s="18" t="inlineStr">
        <is>
          <t>LULU FY2025 10-K: R&amp;D / software expense</t>
        </is>
      </c>
      <c r="D23" s="19" t="inlineStr">
        <is>
          <t>R&amp;D / software capitalization — LULU immaterial; held at $0.</t>
        </is>
      </c>
      <c r="E23" s="73" t="n">
        <v>0</v>
      </c>
      <c r="F23" s="74" t="n">
        <v>0</v>
      </c>
      <c r="G23" s="74" t="n">
        <v>0</v>
      </c>
      <c r="H23" s="74" t="n">
        <v>0</v>
      </c>
      <c r="I23" s="74" t="n">
        <v>0</v>
      </c>
      <c r="J23" s="74" t="n">
        <v>0</v>
      </c>
    </row>
    <row r="24" hidden="1" outlineLevel="1" ht="28" customHeight="1">
      <c r="A24" s="16" t="inlineStr">
        <is>
          <t>− Amortization of prior capitalized intangibles</t>
        </is>
      </c>
      <c r="B24" s="17" t="inlineStr">
        <is>
          <t>Amortization of prior capitalized intangibles. LULU: flows through existing D&amp;A.</t>
        </is>
      </c>
      <c r="C24" s="18" t="inlineStr">
        <is>
          <t>LULU FY2025 10-K: intangible amortization</t>
        </is>
      </c>
      <c r="D24" s="19" t="inlineStr">
        <is>
          <t>Amortization of prior capitalized intangibles — netted in D&amp;A line.</t>
        </is>
      </c>
      <c r="E24" s="73" t="n">
        <v>6961</v>
      </c>
      <c r="F24" s="74" t="n">
        <v>0</v>
      </c>
      <c r="G24" s="74" t="n">
        <v>0</v>
      </c>
      <c r="H24" s="74" t="n">
        <v>0</v>
      </c>
      <c r="I24" s="74" t="n">
        <v>0</v>
      </c>
      <c r="J24" s="74" t="n">
        <v>0</v>
      </c>
    </row>
    <row r="25" hidden="1" outlineLevel="1" ht="28" customHeight="1">
      <c r="A25" s="23">
        <f> EBIT after lease &amp; capitalization (Phase 2)</f>
        <v/>
      </c>
      <c r="B25" s="17" t="inlineStr">
        <is>
          <t>Phase 2 EBIT = Phase 1 + lease interest reclass + R&amp;D cap − amortization.</t>
        </is>
      </c>
      <c r="C25" s="24" t="inlineStr">
        <is>
          <t>NOPAT Bridge tab: Phase 2 subtotal</t>
        </is>
      </c>
      <c r="D25" s="19" t="inlineStr">
        <is>
          <t>Phase 1 + lease interest + R&amp;D cap − amortization.</t>
        </is>
      </c>
      <c r="F25" s="25">
        <f>F20+F22+F23-F24</f>
        <v/>
      </c>
      <c r="G25" s="25">
        <f>G20+G22+G23-G24</f>
        <v/>
      </c>
      <c r="H25" s="25">
        <f>H20+H22+H23-H24</f>
        <v/>
      </c>
      <c r="I25" s="25">
        <f>I20+I22+I23-I24</f>
        <v/>
      </c>
      <c r="J25" s="25">
        <f>J20+J22+J23-J24</f>
        <v/>
      </c>
    </row>
    <row r="26" hidden="1" outlineLevel="1">
      <c r="A26" s="72" t="inlineStr">
        <is>
          <t>Phase 3 — Segment / channel EBIT (driver-based)</t>
        </is>
      </c>
    </row>
    <row r="27" hidden="1" outlineLevel="1" ht="28" customHeight="1">
      <c r="A27" s="16" t="inlineStr">
        <is>
          <t xml:space="preserve">  Store-channel revenue</t>
        </is>
      </c>
      <c r="B27" s="17" t="inlineStr">
        <is>
          <t>Not % of revenue — store-channel revenue from Revenue Drivers tab.</t>
        </is>
      </c>
      <c r="C27" s="18" t="inlineStr">
        <is>
          <t>Revenue Drivers tab: store-channel revenue</t>
        </is>
      </c>
      <c r="D27" s="19" t="inlineStr">
        <is>
          <t>Revenue Drivers tab → store-channel revenue row.</t>
        </is>
      </c>
      <c r="E27" s="73" t="n">
        <v>5049744</v>
      </c>
      <c r="F27" s="74">
        <f>'Revenue Drivers'!F31</f>
        <v/>
      </c>
      <c r="G27" s="74">
        <f>'Revenue Drivers'!G31</f>
        <v/>
      </c>
      <c r="H27" s="74">
        <f>'Revenue Drivers'!H31</f>
        <v/>
      </c>
      <c r="I27" s="74">
        <f>'Revenue Drivers'!I31</f>
        <v/>
      </c>
      <c r="J27" s="74">
        <f>'Revenue Drivers'!J31</f>
        <v/>
      </c>
    </row>
    <row r="28" hidden="1" outlineLevel="1" ht="28" customHeight="1">
      <c r="A28" s="16" t="inlineStr">
        <is>
          <t xml:space="preserve">  E-commerce revenue</t>
        </is>
      </c>
      <c r="B28" s="17" t="inlineStr">
        <is>
          <t>Not % of revenue — e-commerce revenue from Revenue Drivers tab.</t>
        </is>
      </c>
      <c r="C28" s="18" t="inlineStr">
        <is>
          <t>Revenue Drivers tab: e-commerce revenue</t>
        </is>
      </c>
      <c r="D28" s="19" t="inlineStr">
        <is>
          <t>Revenue Drivers tab → e-commerce revenue row.</t>
        </is>
      </c>
      <c r="E28" s="73" t="n">
        <v>4918697</v>
      </c>
      <c r="F28" s="74">
        <f>'Revenue Drivers'!F41</f>
        <v/>
      </c>
      <c r="G28" s="74">
        <f>'Revenue Drivers'!G41</f>
        <v/>
      </c>
      <c r="H28" s="74">
        <f>'Revenue Drivers'!H41</f>
        <v/>
      </c>
      <c r="I28" s="74">
        <f>'Revenue Drivers'!I41</f>
        <v/>
      </c>
      <c r="J28" s="74">
        <f>'Revenue Drivers'!J41</f>
        <v/>
      </c>
    </row>
    <row r="29" hidden="1" outlineLevel="1" ht="28" customHeight="1">
      <c r="A29" s="16" t="inlineStr">
        <is>
          <t xml:space="preserve">  Other channels revenue</t>
        </is>
      </c>
      <c r="B29" s="17" t="inlineStr">
        <is>
          <t>Not % of revenue — wholesale/license/outlet revenue from Revenue Drivers tab.</t>
        </is>
      </c>
      <c r="C29" s="18" t="inlineStr">
        <is>
          <t>Revenue Drivers tab: other channels revenue</t>
        </is>
      </c>
      <c r="D29" s="19" t="inlineStr">
        <is>
          <t>Revenue Drivers tab → other channels revenue row.</t>
        </is>
      </c>
      <c r="E29" s="73" t="n">
        <v>1134159</v>
      </c>
      <c r="F29" s="74">
        <f>'Revenue Drivers'!F45</f>
        <v/>
      </c>
      <c r="G29" s="74">
        <f>'Revenue Drivers'!G45</f>
        <v/>
      </c>
      <c r="H29" s="74">
        <f>'Revenue Drivers'!H45</f>
        <v/>
      </c>
      <c r="I29" s="74">
        <f>'Revenue Drivers'!I45</f>
        <v/>
      </c>
      <c r="J29" s="74">
        <f>'Revenue Drivers'!J45</f>
        <v/>
      </c>
    </row>
    <row r="30" hidden="1" outlineLevel="1" ht="56" customHeight="1">
      <c r="A30" s="16" t="inlineStr">
        <is>
          <t xml:space="preserve">  Store-channel EBIT (= Rev × store margin)</t>
        </is>
      </c>
      <c r="B30" s="17" t="inlineStr">
        <is>
          <t>18.6% of store-channel revenue.
EBIT_store,t = Rev_store,t × Margin_store
FY25: 5,049,744 × 18.6% ≈ 939,252 ($000).
Margin from driver assumptions row above; ties to 10-K store revenue.</t>
        </is>
      </c>
      <c r="C30" s="18" t="inlineStr">
        <is>
          <t>FY2025 10-K: company-operated stores net revenue</t>
        </is>
      </c>
      <c r="D30" s="19" t="inlineStr">
        <is>
          <t>Ctrl+F "Company-operated stores"
→ 5,049,744 ($000)
EBIT = Rev × 18.6% → ≈ 939,252 ($000)</t>
        </is>
      </c>
      <c r="E30" s="74" t="n">
        <v>939252.384</v>
      </c>
      <c r="F30" s="74">
        <f>F27*E$8</f>
        <v/>
      </c>
      <c r="G30" s="74">
        <f>G27*E$8</f>
        <v/>
      </c>
      <c r="H30" s="74">
        <f>H27*E$8</f>
        <v/>
      </c>
      <c r="I30" s="74">
        <f>I27*E$8</f>
        <v/>
      </c>
      <c r="J30" s="74">
        <f>J27*E$8</f>
        <v/>
      </c>
    </row>
    <row r="31" hidden="1" outlineLevel="1" ht="56" customHeight="1">
      <c r="A31" s="16" t="inlineStr">
        <is>
          <t xml:space="preserve">  E-commerce EBIT (= Rev × e-comm margin)</t>
        </is>
      </c>
      <c r="B31" s="17" t="inlineStr">
        <is>
          <t>23.6% of e-commerce revenue.
EBIT_e-comm,t = Rev_e-comm,t × Margin_e-comm
FY25: 4,918,697 × 23.6% ≈ 1,160,812 ($000).
Higher than stores — no brick-and-mortar occupancy drag.</t>
        </is>
      </c>
      <c r="C31" s="18" t="inlineStr">
        <is>
          <t>FY2025 10-K: e-commerce net revenue</t>
        </is>
      </c>
      <c r="D31" s="19" t="inlineStr">
        <is>
          <t>Ctrl+F "E-commerce"
→ 4,918,697 ($000)
EBIT = Rev × 23.6% → ≈ 1,160,812 ($000)</t>
        </is>
      </c>
      <c r="E31" s="74" t="n">
        <v>1160812.492</v>
      </c>
      <c r="F31" s="74">
        <f>F28*E$9</f>
        <v/>
      </c>
      <c r="G31" s="74">
        <f>G28*E$9</f>
        <v/>
      </c>
      <c r="H31" s="74">
        <f>H28*E$9</f>
        <v/>
      </c>
      <c r="I31" s="74">
        <f>I28*E$9</f>
        <v/>
      </c>
      <c r="J31" s="74">
        <f>J28*E$9</f>
        <v/>
      </c>
    </row>
    <row r="32" hidden="1" outlineLevel="1" ht="42" customHeight="1">
      <c r="A32" s="16" t="inlineStr">
        <is>
          <t xml:space="preserve">  Other-channels EBIT (= Rev × other margin)</t>
        </is>
      </c>
      <c r="B32" s="17" t="inlineStr">
        <is>
          <t>9.1% of other-channel revenue.
EBIT_other,t = Rev_other,t × Margin_other
FY25: 1,134,159 × 9.1% ≈ 103,209 ($000).
Wholesale/license/outlets — lowest channel margin.</t>
        </is>
      </c>
      <c r="C32" s="18" t="inlineStr">
        <is>
          <t>FY2025 10-K: other channels (residual)</t>
        </is>
      </c>
      <c r="D32" s="19" t="inlineStr">
        <is>
          <t>Other rev = 11,102,600 − 5,049,744 − 4,918,697 ≈ 1,134,159 ($000)
EBIT = Rev × 9.1% → ≈ 103,209 ($000)</t>
        </is>
      </c>
      <c r="E32" s="74" t="n">
        <v>103208.469</v>
      </c>
      <c r="F32" s="74">
        <f>F29*E$10</f>
        <v/>
      </c>
      <c r="G32" s="74">
        <f>G29*E$10</f>
        <v/>
      </c>
      <c r="H32" s="74">
        <f>H29*E$10</f>
        <v/>
      </c>
      <c r="I32" s="74">
        <f>I29*E$10</f>
        <v/>
      </c>
      <c r="J32" s="74">
        <f>J29*E$10</f>
        <v/>
      </c>
    </row>
    <row r="33" hidden="1" outlineLevel="1" ht="28" customHeight="1">
      <c r="A33" s="23" t="inlineStr">
        <is>
          <t xml:space="preserve">  Channel EBIT (sum of sector EBIT)</t>
        </is>
      </c>
      <c r="B33" s="17" t="inlineStr">
        <is>
          <t>Phase 3 channel EBIT = Σ sector EBIT_i. FY26 adds Scenarios tariff refund.</t>
        </is>
      </c>
      <c r="C33" s="24" t="inlineStr">
        <is>
          <t>NOPAT Bridge tab: sector EBIT subtotal</t>
        </is>
      </c>
      <c r="D33" s="19" t="inlineStr">
        <is>
          <t>Sum of sector EBIT rows. FY26 adds Scenarios tariff refund cell.</t>
        </is>
      </c>
      <c r="F33" s="69">
        <f>F30+F31+F32+Scenarios!G7</f>
        <v/>
      </c>
      <c r="G33" s="69">
        <f>G30+G31+G32</f>
        <v/>
      </c>
      <c r="H33" s="69">
        <f>H30+H31+H32</f>
        <v/>
      </c>
      <c r="I33" s="69">
        <f>I30+I31+I32</f>
        <v/>
      </c>
      <c r="J33" s="69">
        <f>J30+J31+J32</f>
        <v/>
      </c>
    </row>
    <row r="34" hidden="1" outlineLevel="1" ht="28" customHeight="1">
      <c r="A34" s="23">
        <f> EBIT after channel mix (Phase 3)</f>
        <v/>
      </c>
      <c r="B34" s="17" t="inlineStr">
        <is>
          <t>Channel-mix EBIT output (Phase 3). Check row vs Scenarios shows channel vs margin-path gap.</t>
        </is>
      </c>
      <c r="C34" s="24" t="inlineStr">
        <is>
          <t>NOPAT Bridge tab: Phase 3 subtotal</t>
        </is>
      </c>
      <c r="D34" s="19" t="inlineStr">
        <is>
          <t>Channel EBIT subtotal (Phase 3). Compare Check row vs Scenarios.</t>
        </is>
      </c>
      <c r="E34" s="75" t="n">
        <v>2203273.345</v>
      </c>
      <c r="F34" s="25">
        <f>F33</f>
        <v/>
      </c>
      <c r="G34" s="25">
        <f>G33</f>
        <v/>
      </c>
      <c r="H34" s="25">
        <f>H33</f>
        <v/>
      </c>
      <c r="I34" s="25">
        <f>I33</f>
        <v/>
      </c>
      <c r="J34" s="25">
        <f>J33</f>
        <v/>
      </c>
    </row>
    <row r="35" hidden="1" outlineLevel="1" ht="28" customHeight="1">
      <c r="A35" s="23">
        <f> Normalized EBIT (tax base for NOPAT)</f>
        <v/>
      </c>
      <c r="B35" s="17" t="inlineStr">
        <is>
          <t>FY25: Phases 1–2 walk-through. Forecast: Scenarios base EBIT — tax base for NOPAT.</t>
        </is>
      </c>
      <c r="C35" s="24" t="inlineStr">
        <is>
          <t>Scenarios tab: base-case EBIT (forecast)</t>
        </is>
      </c>
      <c r="D35" s="19" t="inlineStr">
        <is>
          <t>FY25: Phase 1–2 formula. Forecast: Scenarios base EBIT (tax base).</t>
        </is>
      </c>
      <c r="E35" s="25">
        <f>E20+E22+E23-E24</f>
        <v/>
      </c>
      <c r="F35" s="25">
        <f>Scenarios!G43</f>
        <v/>
      </c>
      <c r="G35" s="25">
        <f>Scenarios!G44</f>
        <v/>
      </c>
      <c r="H35" s="25">
        <f>Scenarios!G45</f>
        <v/>
      </c>
      <c r="I35" s="25">
        <f>Scenarios!G46</f>
        <v/>
      </c>
      <c r="J35" s="25">
        <f>Scenarios!G47</f>
        <v/>
      </c>
    </row>
    <row r="36" hidden="1" outlineLevel="1">
      <c r="A36" s="16" t="inlineStr">
        <is>
          <t xml:space="preserve">  Check vs Scenarios EBIT (base case)</t>
        </is>
      </c>
      <c r="F36" s="74">
        <f>F35-Scenarios!G43</f>
        <v/>
      </c>
      <c r="G36" s="74">
        <f>G35-Scenarios!G44</f>
        <v/>
      </c>
      <c r="H36" s="74">
        <f>H35-Scenarios!G45</f>
        <v/>
      </c>
      <c r="I36" s="74">
        <f>I35-Scenarios!G46</f>
        <v/>
      </c>
      <c r="J36" s="74">
        <f>J35-Scenarios!G47</f>
        <v/>
      </c>
    </row>
    <row r="37" hidden="1" outlineLevel="1">
      <c r="A37" s="72" t="inlineStr">
        <is>
          <t>Phase 4 — Tax normalization to NOPAT</t>
        </is>
      </c>
    </row>
    <row r="38" hidden="1" outlineLevel="1" ht="70" customHeight="1">
      <c r="A38" s="16" t="inlineStr">
        <is>
          <t>Operating effective tax rate (t_operating)</t>
        </is>
      </c>
      <c r="B38" s="17" t="inlineStr">
        <is>
          <t>Operating effective tax rate: (tax + interest shield) ÷ (EBT + interest). Transitions from FY25 t_operating toward 30% marginal over 5 years.</t>
        </is>
      </c>
      <c r="C38" s="18" t="inlineStr">
        <is>
          <t>LULU FY2025 10-K: income tax &amp; interest expense</t>
        </is>
      </c>
      <c r="D38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8" s="76" t="n">
        <v>0.2946847649213503</v>
      </c>
      <c r="F38" s="32">
        <f>0.29468476492135026+(F$11-0.29468476492135026)*1/5</f>
        <v/>
      </c>
      <c r="G38" s="32">
        <f>0.29468476492135026+(G$11-0.29468476492135026)*2/5</f>
        <v/>
      </c>
      <c r="H38" s="32">
        <f>0.29468476492135026+(H$11-0.29468476492135026)*3/5</f>
        <v/>
      </c>
      <c r="I38" s="32">
        <f>0.29468476492135026+(I$11-0.29468476492135026)*4/5</f>
        <v/>
      </c>
      <c r="J38" s="32">
        <f>0.29468476492135026+(J$11-0.29468476492135026)*5/5</f>
        <v/>
      </c>
    </row>
    <row r="39" hidden="1" outlineLevel="1" ht="28" customHeight="1">
      <c r="A39" s="16" t="inlineStr">
        <is>
          <t>Unlevered tax on normalized EBIT</t>
        </is>
      </c>
      <c r="B39" s="17" t="inlineStr">
        <is>
          <t>Unlevered tax = normalized EBIT × t_operating. Strips debt-interest tax shield from GAAP rate.</t>
        </is>
      </c>
      <c r="C39" s="24" t="inlineStr">
        <is>
          <t>NOPAT Bridge tab: unlevered tax expense</t>
        </is>
      </c>
      <c r="D39" s="19" t="inlineStr">
        <is>
          <t>Normalized EBIT × t_operating — unlevered tax (no debt shield).</t>
        </is>
      </c>
      <c r="F39" s="74">
        <f>F35*F38</f>
        <v/>
      </c>
      <c r="G39" s="74">
        <f>G35*G38</f>
        <v/>
      </c>
      <c r="H39" s="74">
        <f>H35*H38</f>
        <v/>
      </c>
      <c r="I39" s="74">
        <f>I35*I38</f>
        <v/>
      </c>
      <c r="J39" s="74">
        <f>J35*J38</f>
        <v/>
      </c>
    </row>
    <row r="40" hidden="1" outlineLevel="1" ht="28" customHeight="1">
      <c r="A40" s="23" t="inlineStr">
        <is>
          <t>NORMALIZED NOPAT</t>
        </is>
      </c>
      <c r="B40" s="17" t="inlineStr">
        <is>
          <t>NORMALIZED NOPAT = EBIT_norm × (1 − t_operating). Scenarios base case links here.</t>
        </is>
      </c>
      <c r="C40" s="24" t="inlineStr">
        <is>
          <t>NOPAT Bridge tab: normalized NOPAT</t>
        </is>
      </c>
      <c r="D40" s="19" t="inlineStr">
        <is>
          <t>EBIT_norm − unlevered tax. Scenarios base-case NOPAT links to this row.</t>
        </is>
      </c>
      <c r="F40" s="25">
        <f>F35-F39</f>
        <v/>
      </c>
      <c r="G40" s="25">
        <f>G35-G39</f>
        <v/>
      </c>
      <c r="H40" s="25">
        <f>H35-H39</f>
        <v/>
      </c>
      <c r="I40" s="25">
        <f>I35-I39</f>
        <v/>
      </c>
      <c r="J40" s="25">
        <f>J35-J39</f>
        <v/>
      </c>
    </row>
    <row r="42">
      <c r="A42" s="72" t="inlineStr">
        <is>
          <t>Phase 5 — Agent workflow (execution steps)</t>
        </is>
      </c>
    </row>
    <row r="43">
      <c r="A43" s="60" t="inlineStr">
        <is>
          <t>1. Clean base</t>
        </is>
      </c>
      <c r="B43" s="77" t="inlineStr">
        <is>
          <t>SEC 10-K income statement</t>
        </is>
      </c>
      <c r="D43" s="26" t="inlineStr">
        <is>
          <t>Add back impairments, restructuring, M&amp;A; optional SBC add-back.</t>
        </is>
      </c>
      <c r="F43" s="78" t="inlineStr">
        <is>
          <t>EBIT_adj (Phase 1)</t>
        </is>
      </c>
    </row>
    <row r="44">
      <c r="A44" s="60" t="inlineStr">
        <is>
          <t>2. Capitalize R&amp;D</t>
        </is>
      </c>
      <c r="B44" s="77" t="inlineStr">
        <is>
          <t>SG&amp;A footnotes</t>
        </is>
      </c>
      <c r="D44" s="26" t="inlineStr">
        <is>
          <t>Capitalize multi-year software/R&amp;D; amortize over N years.</t>
        </is>
      </c>
      <c r="F44" s="78" t="inlineStr">
        <is>
          <t>EBIT_lease-adj (Phase 2)</t>
        </is>
      </c>
    </row>
    <row r="45">
      <c r="A45" s="60" t="inlineStr">
        <is>
          <t>3. Lease shift</t>
        </is>
      </c>
      <c r="B45" s="77" t="inlineStr">
        <is>
          <t>ASC 842 lease footnote</t>
        </is>
      </c>
      <c r="D45" s="26" t="inlineStr">
        <is>
          <t>Add implied lease interest; standardize to unlevered EBIT.</t>
        </is>
      </c>
      <c r="F45" s="78" t="inlineStr">
        <is>
          <t>EBIT_capitalized</t>
        </is>
      </c>
    </row>
    <row r="46">
      <c r="A46" s="60" t="inlineStr">
        <is>
          <t>4. Segment mix</t>
        </is>
      </c>
      <c r="B46" s="77" t="inlineStr">
        <is>
          <t>Revenue Drivers tab</t>
        </is>
      </c>
      <c r="D46" s="26" t="inlineStr">
        <is>
          <t>Blend store / e-comm / other EBIT margins by channel revenue share.</t>
        </is>
      </c>
      <c r="F46" s="78" t="inlineStr">
        <is>
          <t>Forecast EBIT</t>
        </is>
      </c>
    </row>
    <row r="47">
      <c r="A47" s="60" t="inlineStr">
        <is>
          <t>5. NOPAT bridge</t>
        </is>
      </c>
      <c r="B47" s="77" t="inlineStr">
        <is>
          <t>Normalized EBIT &amp; t_operating</t>
        </is>
      </c>
      <c r="D47" s="26" t="inlineStr">
        <is>
          <t>NOPAT = EBIT x (1 - t); transition t toward marginal rate.</t>
        </is>
      </c>
      <c r="F47" s="78" t="inlineStr">
        <is>
          <t>Normalized NOPAT</t>
        </is>
      </c>
    </row>
    <row r="48">
      <c r="A48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5" r:id="rId6"/>
    <hyperlink xmlns:r="http://schemas.openxmlformats.org/officeDocument/2006/relationships" ref="E15" r:id="rId7"/>
    <hyperlink xmlns:r="http://schemas.openxmlformats.org/officeDocument/2006/relationships" ref="C16" r:id="rId8"/>
    <hyperlink xmlns:r="http://schemas.openxmlformats.org/officeDocument/2006/relationships" ref="E16" r:id="rId9"/>
    <hyperlink xmlns:r="http://schemas.openxmlformats.org/officeDocument/2006/relationships" ref="C17" r:id="rId10"/>
    <hyperlink xmlns:r="http://schemas.openxmlformats.org/officeDocument/2006/relationships" ref="E17" r:id="rId11"/>
    <hyperlink xmlns:r="http://schemas.openxmlformats.org/officeDocument/2006/relationships" ref="C18" r:id="rId12"/>
    <hyperlink xmlns:r="http://schemas.openxmlformats.org/officeDocument/2006/relationships" ref="E18" r:id="rId13"/>
    <hyperlink xmlns:r="http://schemas.openxmlformats.org/officeDocument/2006/relationships" ref="C19" r:id="rId14"/>
    <hyperlink xmlns:r="http://schemas.openxmlformats.org/officeDocument/2006/relationships" ref="E19" r:id="rId15"/>
    <hyperlink xmlns:r="http://schemas.openxmlformats.org/officeDocument/2006/relationships" ref="C22" r:id="rId16"/>
    <hyperlink xmlns:r="http://schemas.openxmlformats.org/officeDocument/2006/relationships" ref="E22" r:id="rId17"/>
    <hyperlink xmlns:r="http://schemas.openxmlformats.org/officeDocument/2006/relationships" ref="C23" r:id="rId18"/>
    <hyperlink xmlns:r="http://schemas.openxmlformats.org/officeDocument/2006/relationships" ref="E23" r:id="rId19"/>
    <hyperlink xmlns:r="http://schemas.openxmlformats.org/officeDocument/2006/relationships" ref="C24" r:id="rId20"/>
    <hyperlink xmlns:r="http://schemas.openxmlformats.org/officeDocument/2006/relationships" ref="E24" r:id="rId21"/>
    <hyperlink ref="C27" location="'Revenue Drivers'!B31"/>
    <hyperlink xmlns:r="http://schemas.openxmlformats.org/officeDocument/2006/relationships" ref="E27" r:id="rId22"/>
    <hyperlink ref="C28" location="'Revenue Drivers'!B41"/>
    <hyperlink xmlns:r="http://schemas.openxmlformats.org/officeDocument/2006/relationships" ref="E28" r:id="rId23"/>
    <hyperlink ref="C29" location="'Revenue Drivers'!B45"/>
    <hyperlink xmlns:r="http://schemas.openxmlformats.org/officeDocument/2006/relationships" ref="E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E34" r:id="rId28"/>
    <hyperlink xmlns:r="http://schemas.openxmlformats.org/officeDocument/2006/relationships" ref="C38" r:id="rId29"/>
    <hyperlink xmlns:r="http://schemas.openxmlformats.org/officeDocument/2006/relationships" ref="E38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85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9" t="inlineStr">
        <is>
          <t>Justification (~20 words)  [cols B–D: click + to expand]</t>
        </is>
      </c>
      <c r="C2" s="79" t="inlineStr">
        <is>
          <t>Source (click)</t>
        </is>
      </c>
      <c r="D2" s="79" t="inlineStr">
        <is>
          <t>Ctrl+F (prove number)</t>
        </is>
      </c>
      <c r="E2" s="70" t="inlineStr">
        <is>
          <t>FY2025A</t>
        </is>
      </c>
      <c r="F2" s="71" t="inlineStr">
        <is>
          <t>FY2026E</t>
        </is>
      </c>
      <c r="G2" s="71" t="inlineStr">
        <is>
          <t>FY2027E</t>
        </is>
      </c>
      <c r="H2" s="71" t="inlineStr">
        <is>
          <t>FY2028E</t>
        </is>
      </c>
      <c r="I2" s="71" t="inlineStr">
        <is>
          <t>FY2029E</t>
        </is>
      </c>
      <c r="J2" s="71" t="inlineStr">
        <is>
          <t>FY2030E</t>
        </is>
      </c>
      <c r="K2" s="80" t="inlineStr">
        <is>
          <t>Δ vs Scenarios</t>
        </is>
      </c>
      <c r="L2" s="79" t="inlineStr">
        <is>
          <t>Alt. source  [cols L–M: click + to expand]</t>
        </is>
      </c>
      <c r="M2" s="79" t="inlineStr">
        <is>
          <t>Alt. Ctrl+F</t>
        </is>
      </c>
    </row>
    <row r="3" ht="28" customHeight="1">
      <c r="A3" s="81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2" t="inlineStr">
        <is>
          <t>10-K</t>
        </is>
      </c>
      <c r="K3" s="83" t="inlineStr">
        <is>
          <t>(should be 0)</t>
        </is>
      </c>
    </row>
    <row r="4" ht="36" customHeight="1">
      <c r="A4" s="38" t="inlineStr">
        <is>
          <t>Full Assumptions Guide (PDF)
Ctrl+F: Every red assumption on every tab — justification, source link, Ctrl+F proof.</t>
        </is>
      </c>
      <c r="C4" s="84" t="inlineStr">
        <is>
          <t>NOPAT Bridge tab
Ctrl+F: 5-phase EBIT normalization → normalized NOPAT (base case).</t>
        </is>
      </c>
      <c r="D4" s="84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73" t="n">
        <v>11102600</v>
      </c>
      <c r="F5" s="74">
        <f>Scenarios!G23</f>
        <v/>
      </c>
      <c r="G5" s="74">
        <f>Scenarios!G24</f>
        <v/>
      </c>
      <c r="H5" s="74">
        <f>Scenarios!G25</f>
        <v/>
      </c>
      <c r="I5" s="74">
        <f>Scenarios!G26</f>
        <v/>
      </c>
      <c r="J5" s="74">
        <f>Scenarios!G27</f>
        <v/>
      </c>
      <c r="K5" s="85">
        <f>IF(MAX(ABS(F5-Scenarios!$G$23),ABS(G5-Scenarios!$G$24),ABS(H5-Scenarios!$G$25),ABS(I5-Scenarios!$G$26),ABS(J5-Scenarios!$G$27))&lt;0.5,"OK","CHECK")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"decline of 5% to 7%"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76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3" t="n">
        <v>4818468</v>
      </c>
      <c r="F8" s="74">
        <f>Scenarios!G33</f>
        <v/>
      </c>
      <c r="G8" s="74">
        <f>Scenarios!G34</f>
        <v/>
      </c>
      <c r="H8" s="74">
        <f>Scenarios!G35</f>
        <v/>
      </c>
      <c r="I8" s="74">
        <f>Scenarios!G36</f>
        <v/>
      </c>
      <c r="J8" s="74">
        <f>Scenarios!G37</f>
        <v/>
      </c>
      <c r="K8" s="85">
        <f>IF(MAX(ABS(F8-Scenarios!$G$33),ABS(G8-Scenarios!$G$34),ABS(H8-Scenarios!$G$35),ABS(I8-Scenarios!$G$36),ABS(J8-Scenarios!$G$37))&lt;0.5,"OK","CHECK")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"18.8%" (Q2 OM) and "560 basis points"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Scenarios!G38</f>
        <v/>
      </c>
      <c r="G9" s="32">
        <f>Scenarios!G39</f>
        <v/>
      </c>
      <c r="H9" s="32">
        <f>Scenarios!G40</f>
        <v/>
      </c>
      <c r="I9" s="32">
        <f>Scenarios!G41</f>
        <v/>
      </c>
      <c r="J9" s="32">
        <f>Scenarios!G42</f>
        <v/>
      </c>
      <c r="K9" s="85">
        <f>IF(MAX(ABS(F9-Scenarios!$G$38),ABS(G9-Scenarios!$G$39),ABS(H9-Scenarios!$G$40),ABS(I9-Scenarios!$G$41),ABS(J9-Scenarios!$G$42))&lt;0.0001,"OK","CHECK")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 —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3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5" t="n">
        <v>2210615</v>
      </c>
      <c r="F11" s="25">
        <f>Scenarios!G43</f>
        <v/>
      </c>
      <c r="G11" s="25">
        <f>Scenarios!G44</f>
        <v/>
      </c>
      <c r="H11" s="25">
        <f>Scenarios!G45</f>
        <v/>
      </c>
      <c r="I11" s="25">
        <f>Scenarios!G46</f>
        <v/>
      </c>
      <c r="J11" s="25">
        <f>Scenarios!G47</f>
        <v/>
      </c>
      <c r="K11" s="86">
        <f>IF(MAX(ABS(F11-Scenarios!$G$43),ABS(G11-Scenarios!$G$44),ABS(H11-Scenarios!$G$45),ABS(I11-Scenarios!$G$46),ABS(J11-Scenarios!$G$47))&lt;0.5,"OK","CHECK")</f>
        <v/>
      </c>
    </row>
    <row r="12">
      <c r="A12" s="16" t="inlineStr">
        <is>
          <t>Reported EBIT margin % (incl. FY26 refund)</t>
        </is>
      </c>
      <c r="E12" s="76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4">
        <f>-'NOPAT Bridge'!F39</f>
        <v/>
      </c>
      <c r="G13" s="74">
        <f>-'NOPAT Bridge'!G39</f>
        <v/>
      </c>
      <c r="H13" s="74">
        <f>-'NOPAT Bridge'!H39</f>
        <v/>
      </c>
      <c r="I13" s="74">
        <f>-'NOPAT Bridge'!I39</f>
        <v/>
      </c>
      <c r="J13" s="74">
        <f>-'NOPAT Bridge'!J39</f>
        <v/>
      </c>
    </row>
    <row r="14">
      <c r="A14" s="23" t="inlineStr">
        <is>
          <t>NOPAT</t>
        </is>
      </c>
      <c r="F14" s="25">
        <f>Scenarios!G48</f>
        <v/>
      </c>
      <c r="G14" s="25">
        <f>Scenarios!G49</f>
        <v/>
      </c>
      <c r="H14" s="25">
        <f>Scenarios!G50</f>
        <v/>
      </c>
      <c r="I14" s="25">
        <f>Scenarios!G51</f>
        <v/>
      </c>
      <c r="J14" s="25">
        <f>Scenarios!G52</f>
        <v/>
      </c>
      <c r="K14" s="86">
        <f>IF(MAX(ABS(F14-Scenarios!$G$48),ABS(G14-Scenarios!$G$49),ABS(H14-Scenarios!$G$50),ABS(I14-Scenarios!$G$51),ABS(J14-Scenarios!$G$52))&lt;0.5,"OK","CHECK")</f>
        <v/>
      </c>
    </row>
    <row r="15" ht="28" customHeight="1">
      <c r="A15" s="16" t="inlineStr">
        <is>
          <t xml:space="preserve">  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4">
        <f>Scenarios!G53</f>
        <v/>
      </c>
      <c r="G16" s="74">
        <f>Scenarios!G54</f>
        <v/>
      </c>
      <c r="H16" s="74">
        <f>Scenarios!G55</f>
        <v/>
      </c>
      <c r="I16" s="74">
        <f>Scenarios!G56</f>
        <v/>
      </c>
      <c r="J16" s="74">
        <f>Scenarios!G57</f>
        <v/>
      </c>
      <c r="K16" s="85">
        <f>IF(MAX(ABS(F16-Scenarios!$G$53),ABS(G16-Scenarios!$G$54),ABS(H16-Scenarios!$G$55),ABS(I16-Scenarios!$G$56),ABS(J16-Scenarios!$G$57))&lt;0.5,"OK","CHECK")</f>
        <v/>
      </c>
    </row>
    <row r="17" ht="150" customHeight="1">
      <c r="A17" s="16" t="inlineStr">
        <is>
          <t xml:space="preserve">  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4">
        <f>-Scenarios!G58</f>
        <v/>
      </c>
      <c r="G18" s="74">
        <f>-Scenarios!G59</f>
        <v/>
      </c>
      <c r="H18" s="74">
        <f>-Scenarios!G60</f>
        <v/>
      </c>
      <c r="I18" s="74">
        <f>-Scenarios!G61</f>
        <v/>
      </c>
      <c r="J18" s="74">
        <f>-Scenarios!G62</f>
        <v/>
      </c>
      <c r="K18" s="85">
        <f>IF(MAX(ABS(F18+Scenarios!$G$58),ABS(G18+Scenarios!$G$59),ABS(H18+Scenarios!$G$60),ABS(I18+Scenarios!$G$61),ABS(J18+Scenarios!$G$62))&lt;0.5,"OK","CHECK")</f>
        <v/>
      </c>
    </row>
    <row r="19">
      <c r="A19" s="51" t="inlineStr">
        <is>
          <t>Working capital schedule (driver-based)  [click − to collapse detail]</t>
        </is>
      </c>
    </row>
    <row r="20" hidden="1" outlineLevel="1" ht="150" customHeight="1">
      <c r="A20" s="16" t="inlineStr">
        <is>
          <t xml:space="preserve">  DSO (days) — flat vs FY25</t>
        </is>
      </c>
      <c r="B20" s="17" t="inlineStr">
        <is>
          <t>Not % of revenue — DSO (days), flat ~6.3. Mostly own stores/DTC (cash at register); AR is small wholesale residual — predictable ~6 days FY22–25.</t>
        </is>
      </c>
      <c r="C20" s="18" t="inlineStr">
        <is>
          <t>LULU FY2025 10-K: Accounts receivable, net</t>
        </is>
      </c>
      <c r="D20" s="19" t="inlineStr">
        <is>
          <t>Not % of revenue — DSO (days), flat ~6.3.
Why flat: ~90%+ revenue is company-operated stores + e-commerce (cash/card at sale);
AR is a small, stable wholesale/license residual —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87" t="n">
        <v>6.267883648875038</v>
      </c>
      <c r="F20" s="28">
        <f>Scenarios!G63</f>
        <v/>
      </c>
      <c r="G20" s="28">
        <f>Scenarios!G64</f>
        <v/>
      </c>
      <c r="H20" s="28">
        <f>Scenarios!G65</f>
        <v/>
      </c>
      <c r="I20" s="28">
        <f>Scenarios!G66</f>
        <v/>
      </c>
      <c r="J20" s="28">
        <f>Scenarios!G67</f>
        <v/>
      </c>
      <c r="K20" s="85">
        <f>IF(MAX(ABS(F20-Scenarios!$G$63),ABS(G20-Scenarios!$G$64),ABS(H20-Scenarios!$G$65),ABS(I20-Scenarios!$G$66),ABS(J20-Scenarios!$G$67))&lt;0.5,"OK","CHECK")</f>
        <v/>
      </c>
    </row>
    <row r="21" hidden="1" outlineLevel="1" ht="98" customHeight="1">
      <c r="A21" s="16" t="inlineStr">
        <is>
          <t xml:space="preserve">  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 — AR scales predictably with sales.
Ctrl+F "Accounts receivable, net"
→ 190,657 ($000)
Ctrl+F "Net revenue"
→ 11,102,600 ($000)</t>
        </is>
      </c>
      <c r="E21" s="73" t="n">
        <v>190657</v>
      </c>
      <c r="F21" s="74">
        <f>Scenarios!G68</f>
        <v/>
      </c>
      <c r="G21" s="74">
        <f>Scenarios!G69</f>
        <v/>
      </c>
      <c r="H21" s="74">
        <f>Scenarios!G70</f>
        <v/>
      </c>
      <c r="I21" s="74">
        <f>Scenarios!G71</f>
        <v/>
      </c>
      <c r="J21" s="74">
        <f>Scenarios!G72</f>
        <v/>
      </c>
      <c r="K21" s="85">
        <f>IF(MAX(ABS(F21-Scenarios!$G$68),ABS(G21-Scenarios!$G$69),ABS(H21-Scenarios!$G$70),ABS(I21-Scenarios!$G$71),ABS(J21-Scenarios!$G$72))&lt;0.5,"OK","CHECK")</f>
        <v/>
      </c>
    </row>
    <row r="22" hidden="1" outlineLevel="1" ht="150" customHeight="1">
      <c r="A22" s="16" t="inlineStr">
        <is>
          <t xml:space="preserve">  DIO (days) — FY25 anchor, −1 day/yr</t>
        </is>
      </c>
      <c r="B22" s="19" t="inlineStr">
        <is>
          <t>Not % of revenue — DIO (days).
FY25 anchor: DIO = (Inventories ÷ COGS) × 365
  = (1,700,753 ÷ 4,818,468) × 365 ≈ 129 days (FY24 inv: 1,442,081).
Forecast path: DIO_t = FY25 DIO − (1 day × year t); flat across scenarios.
Also: Not % of revenue —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 — DIO (days).
FY25 anchor formula:
  DIO = (Inventories ÷ COGS) × 365
Ctrl+F "Inventories"
→ 1,700,753 ($000)  |  FY24: 1,442,081
Ctrl+F "Cost of goods sold"
→ 4,818,468 ($000)
  = (1,700,753 ÷ 4,818,468) × 365 ≈ 129 days
Forecast: DIO_t = FY25 DIO − (1 × year t)
Also: Not % of revenue — DIO −1 day/yr (−5 days FY26–30).
Feeds Inventories_t = (DIO_t ÷ 365) × COGS_t.
Ctrl+F "reduce the percentage of markdowns"
Ctrl+F "On a unit basis, we expect inventories to slightly decrease"</t>
        </is>
      </c>
      <c r="E22" s="87" t="n">
        <v>128.8324100108167</v>
      </c>
      <c r="F22" s="28">
        <f>Scenarios!G73</f>
        <v/>
      </c>
      <c r="G22" s="28">
        <f>Scenarios!G74</f>
        <v/>
      </c>
      <c r="H22" s="28">
        <f>Scenarios!G75</f>
        <v/>
      </c>
      <c r="I22" s="28">
        <f>Scenarios!G76</f>
        <v/>
      </c>
      <c r="J22" s="28">
        <f>Scenarios!G77</f>
        <v/>
      </c>
      <c r="K22" s="85">
        <f>IF(MAX(ABS(F22-Scenarios!$G$73),ABS(G22-Scenarios!$G$74),ABS(H22-Scenarios!$G$75),ABS(I22-Scenarios!$G$76),ABS(J22-Scenarios!$G$77))&lt;0.5,"OK","CHECK")</f>
        <v/>
      </c>
    </row>
    <row r="23" hidden="1" outlineLevel="1" ht="112" customHeight="1">
      <c r="A23" s="16" t="inlineStr">
        <is>
          <t xml:space="preserve">  Inventories</t>
        </is>
      </c>
      <c r="B23" s="17" t="inlineStr">
        <is>
          <t>Not % of revenue —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 — Inventories_t = (DIO_t ÷ 365) × COGS_t.
COGS_t = Revenue_t × (1 − GM%).
Ctrl+F "Inventories"
→ 1,700,753 ($000)
Ctrl+F "Cost of goods sold"
→ 4,818,468 ($000)
FY25 proof: (129 ÷ 365) × 4,818,468 ≈ 1,700,753</t>
        </is>
      </c>
      <c r="E23" s="73" t="n">
        <v>1700753</v>
      </c>
      <c r="F23" s="74">
        <f>Scenarios!G78</f>
        <v/>
      </c>
      <c r="G23" s="74">
        <f>Scenarios!G79</f>
        <v/>
      </c>
      <c r="H23" s="74">
        <f>Scenarios!G80</f>
        <v/>
      </c>
      <c r="I23" s="74">
        <f>Scenarios!G81</f>
        <v/>
      </c>
      <c r="J23" s="74">
        <f>Scenarios!G82</f>
        <v/>
      </c>
      <c r="K23" s="85">
        <f>IF(MAX(ABS(F23-Scenarios!$G$78),ABS(G23-Scenarios!$G$79),ABS(H23-Scenarios!$G$80),ABS(I23-Scenarios!$G$81),ABS(J23-Scenarios!$G$82))&lt;0.5,"OK","CHECK")</f>
        <v/>
      </c>
    </row>
    <row r="24" hidden="1" outlineLevel="1" ht="84" customHeight="1">
      <c r="A24" s="16" t="inlineStr">
        <is>
          <t xml:space="preserve">  DPO (days) — flat vs FY25</t>
        </is>
      </c>
      <c r="B24" s="17" t="inlineStr">
        <is>
          <t>Not % of revenue —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 — DPO ≈ 25.1 days. Implied AP ≈ 3.0% of sales / 6.9% of COGS.</t>
        </is>
      </c>
      <c r="E24" s="87" t="n">
        <v>25.10521290169407</v>
      </c>
      <c r="F24" s="28">
        <f>Scenarios!G83</f>
        <v/>
      </c>
      <c r="G24" s="28">
        <f>Scenarios!G84</f>
        <v/>
      </c>
      <c r="H24" s="28">
        <f>Scenarios!G85</f>
        <v/>
      </c>
      <c r="I24" s="28">
        <f>Scenarios!G86</f>
        <v/>
      </c>
      <c r="J24" s="28">
        <f>Scenarios!G87</f>
        <v/>
      </c>
      <c r="K24" s="85">
        <f>IF(MAX(ABS(F24-Scenarios!$G$83),ABS(G24-Scenarios!$G$84),ABS(H24-Scenarios!$G$85),ABS(I24-Scenarios!$G$86),ABS(J24-Scenarios!$G$87))&lt;0.5,"OK","CHECK")</f>
        <v/>
      </c>
    </row>
    <row r="25" hidden="1" outlineLevel="1" ht="84" customHeight="1">
      <c r="A25" s="16" t="inlineStr">
        <is>
          <t xml:space="preserve">  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73" t="n">
        <v>331421</v>
      </c>
      <c r="F25" s="74">
        <f>Scenarios!G88</f>
        <v/>
      </c>
      <c r="G25" s="74">
        <f>Scenarios!G89</f>
        <v/>
      </c>
      <c r="H25" s="74">
        <f>Scenarios!G90</f>
        <v/>
      </c>
      <c r="I25" s="74">
        <f>Scenarios!G91</f>
        <v/>
      </c>
      <c r="J25" s="74">
        <f>Scenarios!G92</f>
        <v/>
      </c>
      <c r="K25" s="85">
        <f>IF(MAX(ABS(F25-Scenarios!$G$88),ABS(G25-Scenarios!$G$89),ABS(H25-Scenarios!$G$90),ABS(I25-Scenarios!$G$91),ABS(J25-Scenarios!$G$92))&lt;0.5,"OK","CHECK")</f>
        <v/>
      </c>
    </row>
    <row r="26" hidden="1" outlineLevel="1" ht="84" customHeight="1">
      <c r="A26" s="16" t="inlineStr">
        <is>
          <t xml:space="preserve">  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76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 xml:space="preserve">  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73" t="n">
        <v>564089</v>
      </c>
      <c r="F27" s="74">
        <f>Scenarios!G93</f>
        <v/>
      </c>
      <c r="G27" s="74">
        <f>Scenarios!G94</f>
        <v/>
      </c>
      <c r="H27" s="74">
        <f>Scenarios!G95</f>
        <v/>
      </c>
      <c r="I27" s="74">
        <f>Scenarios!G96</f>
        <v/>
      </c>
      <c r="J27" s="74">
        <f>Scenarios!G97</f>
        <v/>
      </c>
      <c r="K27" s="85">
        <f>IF(MAX(ABS(F27-Scenarios!$G$93),ABS(G27-Scenarios!$G$94),ABS(H27-Scenarios!$G$95),ABS(I27-Scenarios!$G$96),ABS(J27-Scenarios!$G$97))&lt;0.5,"OK","CHECK")</f>
        <v/>
      </c>
    </row>
    <row r="28" hidden="1" outlineLevel="1" ht="84" customHeight="1">
      <c r="A28" s="16" t="inlineStr">
        <is>
          <t xml:space="preserve">  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76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 xml:space="preserve">  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73" t="n">
        <v>662982</v>
      </c>
      <c r="F29" s="74">
        <f>Scenarios!G98</f>
        <v/>
      </c>
      <c r="G29" s="74">
        <f>Scenarios!G99</f>
        <v/>
      </c>
      <c r="H29" s="74">
        <f>Scenarios!G100</f>
        <v/>
      </c>
      <c r="I29" s="74">
        <f>Scenarios!G101</f>
        <v/>
      </c>
      <c r="J29" s="74">
        <f>Scenarios!G102</f>
        <v/>
      </c>
      <c r="K29" s="85">
        <f>IF(MAX(ABS(F29-Scenarios!$G$98),ABS(G29-Scenarios!$G$99),ABS(H29-Scenarios!$G$100),ABS(I29-Scenarios!$G$101),ABS(J29-Scenarios!$G$102))&lt;0.5,"OK","CHECK")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 —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 — sum of line items.
FY25: AR ~1.7% + inventory ~15.3% + prepaids 5.1% ≈ 22.1% of sales.</t>
        </is>
      </c>
      <c r="F30" s="74">
        <f>Scenarios!G103</f>
        <v/>
      </c>
      <c r="G30" s="74">
        <f>Scenarios!G104</f>
        <v/>
      </c>
      <c r="H30" s="74">
        <f>Scenarios!G105</f>
        <v/>
      </c>
      <c r="I30" s="74">
        <f>Scenarios!G106</f>
        <v/>
      </c>
      <c r="J30" s="74">
        <f>Scenarios!G107</f>
        <v/>
      </c>
      <c r="K30" s="85">
        <f>IF(MAX(ABS(F30-Scenarios!$G$103),ABS(G30-Scenarios!$G$104),ABS(H30-Scenarios!$G$105),ABS(I30-Scenarios!$G$106),ABS(J30-Scenarios!$G$107))&lt;0.5,"OK","CHECK")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 —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 — sum of line items.
FY25: AP ~3.0% + accrued liabilities 6.0% ≈ 9.0% of sales.</t>
        </is>
      </c>
      <c r="F31" s="74">
        <f>Scenarios!G108</f>
        <v/>
      </c>
      <c r="G31" s="74">
        <f>Scenarios!G109</f>
        <v/>
      </c>
      <c r="H31" s="74">
        <f>Scenarios!G110</f>
        <v/>
      </c>
      <c r="I31" s="74">
        <f>Scenarios!G111</f>
        <v/>
      </c>
      <c r="J31" s="74">
        <f>Scenarios!G112</f>
        <v/>
      </c>
      <c r="K31" s="85">
        <f>IF(MAX(ABS(F31-Scenarios!$G$108),ABS(G31-Scenarios!$G$109),ABS(H31-Scenarios!$G$110),ABS(I31-Scenarios!$G$111),ABS(J31-Scenarios!$G$112))&lt;0.5,"OK","CHECK")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 —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 — net balance.
FY25 NWC ≈ 13.2% of sales ($1,461,096k = COA − COL).</t>
        </is>
      </c>
      <c r="E32" s="75" t="n">
        <v>1461096</v>
      </c>
      <c r="F32" s="25">
        <f>Scenarios!G113</f>
        <v/>
      </c>
      <c r="G32" s="25">
        <f>Scenarios!G114</f>
        <v/>
      </c>
      <c r="H32" s="25">
        <f>Scenarios!G115</f>
        <v/>
      </c>
      <c r="I32" s="25">
        <f>Scenarios!G116</f>
        <v/>
      </c>
      <c r="J32" s="25">
        <f>Scenarios!G117</f>
        <v/>
      </c>
      <c r="K32" s="86">
        <f>IF(MAX(ABS(F32-Scenarios!$G$113),ABS(G32-Scenarios!$G$114),ABS(H32-Scenarios!$G$115),ABS(I32-Scenarios!$G$116),ABS(J32-Scenarios!$G$117))&lt;0.5,"OK","CHECK")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 —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 — $ change year-over-year.
FY26: revenue −6.1% + DIO −1 day → NWC falls → ΔNWC positive (WC release).
FY27–30: revenue +2.3%/yr → AR &amp; inventory rebuild → ΔNWC negative (WC build).</t>
        </is>
      </c>
      <c r="F33" s="25">
        <f>Scenarios!G118</f>
        <v/>
      </c>
      <c r="G33" s="25">
        <f>Scenarios!G119</f>
        <v/>
      </c>
      <c r="H33" s="25">
        <f>Scenarios!G120</f>
        <v/>
      </c>
      <c r="I33" s="25">
        <f>Scenarios!G121</f>
        <v/>
      </c>
      <c r="J33" s="25">
        <f>Scenarios!G122</f>
        <v/>
      </c>
      <c r="K33" s="86">
        <f>IF(MAX(ABS(F33-Scenarios!$G$118),ABS(G33-Scenarios!$G$119),ABS(H33-Scenarios!$G$120),ABS(I33-Scenarios!$G$121),ABS(J33-Scenarios!$G$122))&lt;0.5,"OK","CHECK")</f>
        <v/>
      </c>
    </row>
    <row r="34">
      <c r="A34" s="26" t="inlineStr">
        <is>
          <t xml:space="preserve">  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8">
        <f>Scenarios!G123</f>
        <v/>
      </c>
      <c r="G35" s="88">
        <f>Scenarios!G124</f>
        <v/>
      </c>
      <c r="H35" s="88">
        <f>Scenarios!G125</f>
        <v/>
      </c>
      <c r="I35" s="88">
        <f>Scenarios!G126</f>
        <v/>
      </c>
      <c r="J35" s="88">
        <f>Scenarios!G127</f>
        <v/>
      </c>
      <c r="K35" s="86">
        <f>IF(MAX(ABS(F35-Scenarios!$G$123),ABS(G35-Scenarios!$G$124),ABS(H35-Scenarios!$G$125),ABS(I35-Scenarios!$G$126),ABS(J35-Scenarios!$G$127))&lt;0.5,"OK","CHECK")</f>
        <v/>
      </c>
    </row>
    <row r="36">
      <c r="A36" s="16" t="inlineStr">
        <is>
          <t>Discount period (years)</t>
        </is>
      </c>
      <c r="F36" s="89" t="n">
        <v>1</v>
      </c>
      <c r="G36" s="89" t="n">
        <v>2</v>
      </c>
      <c r="H36" s="89" t="n">
        <v>3</v>
      </c>
      <c r="I36" s="89" t="n">
        <v>4</v>
      </c>
      <c r="J36" s="89" t="n">
        <v>5</v>
      </c>
    </row>
    <row r="37">
      <c r="A37" s="16" t="inlineStr">
        <is>
          <t>Discount factor @ WACC</t>
        </is>
      </c>
      <c r="F37" s="90">
        <f>1/(1+Scenarios!$G$9)^F36</f>
        <v/>
      </c>
      <c r="G37" s="90">
        <f>1/(1+Scenarios!$G$9)^G36</f>
        <v/>
      </c>
      <c r="H37" s="90">
        <f>1/(1+Scenarios!$G$9)^H36</f>
        <v/>
      </c>
      <c r="I37" s="90">
        <f>1/(1+Scenarios!$G$9)^I36</f>
        <v/>
      </c>
      <c r="J37" s="90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inlineStr">
        <is>
          <t>Scenarios linkage summary (column K should all read OK)</t>
        </is>
      </c>
      <c r="K40" s="91">
        <f>IF(COUNTIF(K5:K35,"CHECK")=0,"ALL OK","REVIEW")</f>
        <v/>
      </c>
    </row>
    <row r="41">
      <c r="A41" s="92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69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4">
        <f>J35*(1+Scenarios!$G$10)/(Scenarios!$G$9-Scenarios!$G$10)</f>
        <v/>
      </c>
    </row>
    <row r="46">
      <c r="A46" s="16" t="inlineStr">
        <is>
          <t xml:space="preserve">  Implied exit EV/EBITDA = Gordon TV / FY30 EBITDA</t>
        </is>
      </c>
      <c r="E46" s="93">
        <f>E45/E44</f>
        <v/>
      </c>
    </row>
    <row r="47">
      <c r="A47" s="16" t="inlineStr">
        <is>
          <t xml:space="preserve">  memo: (UFCF₃₀ / EBITDA₃₀) × (1+g) / (WACC−g)</t>
        </is>
      </c>
      <c r="E47" s="93">
        <f>J35/E44*(1+Scenarios!$G$10)/(Scenarios!$G$9-Scenarios!$G$10)</f>
        <v/>
      </c>
    </row>
    <row r="48">
      <c r="A48" s="23" t="inlineStr">
        <is>
          <t>PV of terminal value</t>
        </is>
      </c>
      <c r="E48" s="69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4" t="inlineStr">
        <is>
          <t>10-K</t>
        </is>
      </c>
      <c r="D50" s="19" t="inlineStr">
        <is>
          <t>Ctrl+F "Cash and cash equivalents" → 1,807,202 ($000) FY2025</t>
        </is>
      </c>
      <c r="E50" s="73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3" t="n">
        <v>-1798441</v>
      </c>
    </row>
    <row r="52">
      <c r="A52" s="26" t="inlineStr">
        <is>
          <t xml:space="preserve">  memo: funded term debt $0. Operating leases $298,724k current + $1,499,717k non-current = $1,798,441k (ASC 842 debt equivalent).</t>
        </is>
      </c>
    </row>
    <row r="53">
      <c r="A53" s="26" t="inlineStr">
        <is>
          <t xml:space="preserve">  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4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3" t="n">
        <v>111380</v>
      </c>
    </row>
    <row r="56">
      <c r="A56" s="23" t="inlineStr">
        <is>
          <t>Implied value per share</t>
        </is>
      </c>
      <c r="E56" s="95">
        <f>E54/E55</f>
        <v/>
      </c>
      <c r="K56" s="86">
        <f>IF(ABS(E56-Scenarios!$G$130)&lt;0.05,"OK","CHECK")</f>
        <v/>
      </c>
    </row>
    <row r="57" ht="28" customHeight="1">
      <c r="A57" s="16" t="inlineStr">
        <is>
          <t>Current share price</t>
        </is>
      </c>
      <c r="C57" s="94" t="inlineStr">
        <is>
          <t>NASDAQ</t>
        </is>
      </c>
      <c r="D57" s="19" t="inlineStr">
        <is>
          <t>Ctrl+F "closed at $100.61" → Last Sale on NASDAQ quote page</t>
        </is>
      </c>
      <c r="E57" s="96" t="n">
        <v>100</v>
      </c>
    </row>
    <row r="58">
      <c r="A58" s="23" t="inlineStr">
        <is>
          <t>Implied upside / (downside)</t>
        </is>
      </c>
      <c r="E58" s="97">
        <f>E56/E57-1</f>
        <v/>
      </c>
    </row>
    <row r="59">
      <c r="A59" s="16" t="inlineStr">
        <is>
          <t xml:space="preserve">  memo: % of EV from terminal value</t>
        </is>
      </c>
      <c r="E59" s="32">
        <f>E48/E49</f>
        <v/>
      </c>
    </row>
    <row r="61">
      <c r="A61" s="92" t="inlineStr">
        <is>
          <t>CROSS-CHECK — EXIT MULTIPLE METHOD</t>
        </is>
      </c>
      <c r="B61" s="13" t="n"/>
      <c r="C61" s="13" t="n"/>
    </row>
    <row r="62">
      <c r="A62" s="15" t="inlineStr">
        <is>
          <t>Exit multiple is the Gordon identity — not a peer pick or an average</t>
        </is>
      </c>
    </row>
    <row r="63" ht="28" customHeight="1">
      <c r="A63" s="16" t="inlineStr">
        <is>
          <t>Selected exit EV/EBITDA (Gordon implied)</t>
        </is>
      </c>
      <c r="B63" s="17" t="inlineStr">
        <is>
          <t>Selected exit is Gordon TV / FY30 EBITDA. Identity: (UFCF/EBITDA)×(1+g)/(WACC−g). Not Deckers and not a peer average.</t>
        </is>
      </c>
      <c r="C63" s="18" t="inlineStr">
        <is>
          <t>DCF: Gordon implied exit (TV / FY30 EBITDA)</t>
        </is>
      </c>
      <c r="D63" s="19" t="inlineStr">
        <is>
          <t>No peer Ctrl+F. This cell = Gordon TV / FY30 EBITDA = (UFCF/EBITDA)×(1+g)/(WACC−g). WACC and g are sourced on those rows.</t>
        </is>
      </c>
      <c r="E63" s="93">
        <f>E46</f>
        <v/>
      </c>
      <c r="M63" s="94" t="inlineStr">
        <is>
          <t>Comps: Exit Multiple Build</t>
        </is>
      </c>
    </row>
    <row r="64">
      <c r="A64" s="16" t="inlineStr">
        <is>
          <t>Terminal value = Terminal EBITDA × exit multiple</t>
        </is>
      </c>
      <c r="E64" s="74">
        <f>E44*E63</f>
        <v/>
      </c>
    </row>
    <row r="65">
      <c r="A65" s="16" t="inlineStr">
        <is>
          <t>PV of terminal value</t>
        </is>
      </c>
      <c r="E65" s="74">
        <f>E64/(1+Scenarios!$G$9)^J36</f>
        <v/>
      </c>
    </row>
    <row r="66">
      <c r="A66" s="23" t="inlineStr">
        <is>
          <t>Enterprise value (exit method)</t>
        </is>
      </c>
      <c r="E66" s="25">
        <f>E42+E65</f>
        <v/>
      </c>
    </row>
    <row r="67">
      <c r="A67" s="23" t="inlineStr">
        <is>
          <t>Implied value per share (exit method)</t>
        </is>
      </c>
      <c r="E67" s="98">
        <f>(E66+E50+E51)/E55</f>
        <v/>
      </c>
    </row>
    <row r="69">
      <c r="A69" s="92" t="inlineStr">
        <is>
          <t>TERMINAL VALUE RECONCILIATION (GORDON vs EXIT MULTIPLE)</t>
        </is>
      </c>
      <c r="B69" s="13" t="n"/>
      <c r="C69" s="13" t="n"/>
      <c r="D69" s="13" t="n"/>
    </row>
    <row r="70">
      <c r="A70" s="99" t="inlineStr"/>
      <c r="B70" s="53" t="inlineStr">
        <is>
          <t>Gordon Growth</t>
        </is>
      </c>
      <c r="C70" s="53" t="inlineStr">
        <is>
          <t>Exit Multiple</t>
        </is>
      </c>
      <c r="D70" s="53" t="inlineStr">
        <is>
          <t>Variance</t>
        </is>
      </c>
    </row>
    <row r="71">
      <c r="A71" s="23" t="inlineStr">
        <is>
          <t>Terminal value ($)</t>
        </is>
      </c>
      <c r="B71" s="69">
        <f>E45</f>
        <v/>
      </c>
      <c r="C71" s="69">
        <f>E64</f>
        <v/>
      </c>
      <c r="D71" s="69">
        <f>B71-C71</f>
        <v/>
      </c>
    </row>
    <row r="72">
      <c r="A72" s="23" t="inlineStr">
        <is>
          <t>Exit EV/EBITDA (implied vs selected)</t>
        </is>
      </c>
      <c r="B72" s="100">
        <f>E46</f>
        <v/>
      </c>
      <c r="C72" s="100">
        <f>E63</f>
        <v/>
      </c>
      <c r="D72" s="100">
        <f>B72-C72</f>
        <v/>
      </c>
    </row>
    <row r="73">
      <c r="A73" s="16" t="inlineStr">
        <is>
          <t>Terminal value variance (%)</t>
        </is>
      </c>
      <c r="B73" s="32" t="inlineStr"/>
      <c r="C73" s="32" t="inlineStr"/>
      <c r="D73" s="32">
        <f>(B71-C71)/B71</f>
        <v/>
      </c>
    </row>
    <row r="74">
      <c r="A74" s="23" t="inlineStr">
        <is>
          <t>Implied share price</t>
        </is>
      </c>
      <c r="B74" s="101">
        <f>E56</f>
        <v/>
      </c>
      <c r="C74" s="101">
        <f>E67</f>
        <v/>
      </c>
      <c r="D74" s="101">
        <f>B74-C74</f>
        <v/>
      </c>
    </row>
    <row r="75">
      <c r="A75" s="67" t="inlineStr">
        <is>
          <t>Sanity check: multiples within ±1.5 turns?</t>
        </is>
      </c>
      <c r="B75" s="102">
        <f>IF(ABS(D72)&lt;=1.5,"PASS","REVIEW")</f>
        <v/>
      </c>
      <c r="C75" s="103">
        <f>TEXT(D72,"0.0")&amp;"x spread vs Gordon-implied exit"</f>
        <v/>
      </c>
      <c r="D75" s="26" t="inlineStr">
        <is>
          <t>Selected exit is the Gordon identity, so spread should be 0</t>
        </is>
      </c>
    </row>
    <row r="78">
      <c r="A78" s="92" t="inlineStr">
        <is>
          <t>SENSITIVITY — IMPLIED SHARE PRICE (WACC vs terminal growth)</t>
        </is>
      </c>
      <c r="B78" s="13" t="n"/>
      <c r="C78" s="13" t="n"/>
      <c r="D78" s="13" t="n"/>
      <c r="E78" s="13" t="n"/>
      <c r="F78" s="13" t="n"/>
      <c r="G78" s="13" t="n"/>
      <c r="H78" s="13" t="n"/>
    </row>
    <row r="79" ht="28" customHeight="1">
      <c r="A79" s="104" t="inlineStr">
        <is>
          <t>WACC \ g</t>
        </is>
      </c>
      <c r="B79" s="17" t="inlineStr">
        <is>
          <t>Terminal-g axis 1.5–3.0% brackets 2.25% base; bounded by long-run real GDP and inflation benchmarks.</t>
        </is>
      </c>
      <c r="C79" s="18" t="inlineStr">
        <is>
          <t>FRED: Real GDP (GDPC1)</t>
        </is>
      </c>
      <c r="D79" s="19" t="inlineStr">
        <is>
          <t>Ctrl+F "GDPC1" → bounds terminal-g sensitivity grid 1.5%–3.0%</t>
        </is>
      </c>
      <c r="F79" s="105" t="n">
        <v>0.015</v>
      </c>
      <c r="G79" s="105" t="n">
        <v>0.02</v>
      </c>
      <c r="H79" s="105" t="n">
        <v>0.0225</v>
      </c>
      <c r="I79" s="105" t="n">
        <v>0.025</v>
      </c>
      <c r="J79" s="105" t="n">
        <v>0.03</v>
      </c>
      <c r="L79" s="94" t="inlineStr">
        <is>
          <t>Scenarios: terminal g</t>
        </is>
      </c>
    </row>
    <row r="80" ht="28" customHeight="1">
      <c r="A80" s="105" t="n">
        <v>0.095</v>
      </c>
      <c r="C80" s="94" t="inlineStr">
        <is>
          <t>Damodaran: Historical Implied ERP</t>
        </is>
      </c>
      <c r="D80" s="19" t="inlineStr">
        <is>
          <t>Ctrl+F "4.23%" (2025 implied ERP). Sensitivity WACC axis brackets the 10.5% base.</t>
        </is>
      </c>
      <c r="F80" s="106">
        <f>(NPV(0.095,F35:J35)+(J35*(1+0.015)/(0.095-0.015))/(1+0.095)^5+E50+E51)/E55</f>
        <v/>
      </c>
      <c r="G80" s="106">
        <f>(NPV(0.095,F35:J35)+(J35*(1+0.02)/(0.095-0.02))/(1+0.095)^5+E50+E51)/E55</f>
        <v/>
      </c>
      <c r="H80" s="106">
        <f>(NPV(0.095,F35:J35)+(J35*(1+0.0225)/(0.095-0.0225))/(1+0.095)^5+E50+E51)/E55</f>
        <v/>
      </c>
      <c r="I80" s="106">
        <f>(NPV(0.095,F35:J35)+(J35*(1+0.025)/(0.095-0.025))/(1+0.095)^5+E50+E51)/E55</f>
        <v/>
      </c>
      <c r="J80" s="106">
        <f>(NPV(0.095,F35:J35)+(J35*(1+0.03)/(0.095-0.03))/(1+0.095)^5+E50+E51)/E55</f>
        <v/>
      </c>
      <c r="L80" s="94" t="inlineStr">
        <is>
          <t>WACC tab</t>
        </is>
      </c>
    </row>
    <row r="81" ht="28" customHeight="1">
      <c r="A81" s="105" t="n">
        <v>0.1</v>
      </c>
      <c r="D81" s="19" t="inlineStr">
        <is>
          <t>Ctrl+F "4.23%" (2025 implied ERP). Sensitivity WACC axis brackets the 10.5% base.</t>
        </is>
      </c>
      <c r="F81" s="106">
        <f>(NPV(0.1,F35:J35)+(J35*(1+0.015)/(0.1-0.015))/(1+0.1)^5+E50+E51)/E55</f>
        <v/>
      </c>
      <c r="G81" s="106">
        <f>(NPV(0.1,F35:J35)+(J35*(1+0.02)/(0.1-0.02))/(1+0.1)^5+E50+E51)/E55</f>
        <v/>
      </c>
      <c r="H81" s="106">
        <f>(NPV(0.1,F35:J35)+(J35*(1+0.0225)/(0.1-0.0225))/(1+0.1)^5+E50+E51)/E55</f>
        <v/>
      </c>
      <c r="I81" s="106">
        <f>(NPV(0.1,F35:J35)+(J35*(1+0.025)/(0.1-0.025))/(1+0.1)^5+E50+E51)/E55</f>
        <v/>
      </c>
      <c r="J81" s="106">
        <f>(NPV(0.1,F35:J35)+(J35*(1+0.03)/(0.1-0.03))/(1+0.1)^5+E50+E51)/E55</f>
        <v/>
      </c>
      <c r="L81" s="94" t="inlineStr">
        <is>
          <t>WACC tab</t>
        </is>
      </c>
    </row>
    <row r="82" ht="28" customHeight="1">
      <c r="A82" s="105" t="n">
        <v>0.105</v>
      </c>
      <c r="D82" s="19" t="inlineStr">
        <is>
          <t>Ctrl+F "4.23%" (2025 implied ERP). Sensitivity WACC axis brackets the 10.5% base.</t>
        </is>
      </c>
      <c r="F82" s="106">
        <f>(NPV(0.105,F35:J35)+(J35*(1+0.015)/(0.105-0.015))/(1+0.105)^5+E50+E51)/E55</f>
        <v/>
      </c>
      <c r="G82" s="106">
        <f>(NPV(0.105,F35:J35)+(J35*(1+0.02)/(0.105-0.02))/(1+0.105)^5+E50+E51)/E55</f>
        <v/>
      </c>
      <c r="H82" s="107">
        <f>(NPV(0.105,F35:J35)+(J35*(1+0.0225)/(0.105-0.0225))/(1+0.105)^5+E50+E51)/E55</f>
        <v/>
      </c>
      <c r="I82" s="106">
        <f>(NPV(0.105,F35:J35)+(J35*(1+0.025)/(0.105-0.025))/(1+0.105)^5+E50+E51)/E55</f>
        <v/>
      </c>
      <c r="J82" s="106">
        <f>(NPV(0.105,F35:J35)+(J35*(1+0.03)/(0.105-0.03))/(1+0.105)^5+E50+E51)/E55</f>
        <v/>
      </c>
      <c r="L82" s="94" t="inlineStr">
        <is>
          <t>WACC tab</t>
        </is>
      </c>
    </row>
    <row r="83" ht="28" customHeight="1">
      <c r="A83" s="105" t="n">
        <v>0.11</v>
      </c>
      <c r="D83" s="19" t="inlineStr">
        <is>
          <t>Ctrl+F "4.23%" (2025 implied ERP). Sensitivity WACC axis brackets the 10.5% base.</t>
        </is>
      </c>
      <c r="F83" s="106">
        <f>(NPV(0.11,F35:J35)+(J35*(1+0.015)/(0.11-0.015))/(1+0.11)^5+E50+E51)/E55</f>
        <v/>
      </c>
      <c r="G83" s="106">
        <f>(NPV(0.11,F35:J35)+(J35*(1+0.02)/(0.11-0.02))/(1+0.11)^5+E50+E51)/E55</f>
        <v/>
      </c>
      <c r="H83" s="106">
        <f>(NPV(0.11,F35:J35)+(J35*(1+0.0225)/(0.11-0.0225))/(1+0.11)^5+E50+E51)/E55</f>
        <v/>
      </c>
      <c r="I83" s="106">
        <f>(NPV(0.11,F35:J35)+(J35*(1+0.025)/(0.11-0.025))/(1+0.11)^5+E50+E51)/E55</f>
        <v/>
      </c>
      <c r="J83" s="106">
        <f>(NPV(0.11,F35:J35)+(J35*(1+0.03)/(0.11-0.03))/(1+0.11)^5+E50+E51)/E55</f>
        <v/>
      </c>
      <c r="L83" s="94" t="inlineStr">
        <is>
          <t>WACC tab</t>
        </is>
      </c>
    </row>
    <row r="84" ht="28" customHeight="1">
      <c r="A84" s="105" t="n">
        <v>0.115</v>
      </c>
      <c r="D84" s="19" t="inlineStr">
        <is>
          <t>Ctrl+F "4.23%" (2025 implied ERP). Sensitivity WACC axis brackets the 10.5% base.</t>
        </is>
      </c>
      <c r="F84" s="106">
        <f>(NPV(0.115,F35:J35)+(J35*(1+0.015)/(0.115-0.015))/(1+0.115)^5+E50+E51)/E55</f>
        <v/>
      </c>
      <c r="G84" s="106">
        <f>(NPV(0.115,F35:J35)+(J35*(1+0.02)/(0.115-0.02))/(1+0.115)^5+E50+E51)/E55</f>
        <v/>
      </c>
      <c r="H84" s="106">
        <f>(NPV(0.115,F35:J35)+(J35*(1+0.0225)/(0.115-0.0225))/(1+0.115)^5+E50+E51)/E55</f>
        <v/>
      </c>
      <c r="I84" s="106">
        <f>(NPV(0.115,F35:J35)+(J35*(1+0.025)/(0.115-0.025))/(1+0.115)^5+E50+E51)/E55</f>
        <v/>
      </c>
      <c r="J84" s="106">
        <f>(NPV(0.115,F35:J35)+(J35*(1+0.03)/(0.115-0.03))/(1+0.115)^5+E50+E51)/E55</f>
        <v/>
      </c>
      <c r="L84" s="94" t="inlineStr">
        <is>
          <t>WACC tab</t>
        </is>
      </c>
    </row>
    <row r="85" ht="28" customHeight="1">
      <c r="B85" s="17" t="inlineStr">
        <is>
          <t>Red WACC and g grid values bracket base case ±100bps discount rate and ±75bps terminal growth for sensitivity.</t>
        </is>
      </c>
      <c r="C85" s="18" t="inlineStr">
        <is>
          <t>Scenarios: WACC &amp; terminal g</t>
        </is>
      </c>
      <c r="D85" s="19" t="inlineStr">
        <is>
          <t>Scenarios tab → Ctrl+F "WACC" and "Terminal growth" rows (base-case inputs)</t>
        </is>
      </c>
      <c r="L85" s="94" t="inlineStr">
        <is>
          <t>FRED: Real GDP (GDPC1)</t>
        </is>
      </c>
      <c r="M85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3"/>
    <hyperlink ref="C31" location="'Scenarios'!A108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18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63" location="'DCF'!E46"/>
    <hyperlink ref="M63" location="'Comps'!A45"/>
    <hyperlink xmlns:r="http://schemas.openxmlformats.org/officeDocument/2006/relationships" ref="C79" r:id="rId46"/>
    <hyperlink ref="L79" location="'Scenarios'!G10"/>
    <hyperlink xmlns:r="http://schemas.openxmlformats.org/officeDocument/2006/relationships" ref="C80" r:id="rId47"/>
    <hyperlink ref="L80" location="'WACC'!E41"/>
    <hyperlink ref="L81" location="'WACC'!E41"/>
    <hyperlink ref="L82" location="'WACC'!E41"/>
    <hyperlink ref="L83" location="'WACC'!E41"/>
    <hyperlink ref="L84" location="'WACC'!E41"/>
    <hyperlink ref="C85" location="'Scenarios'!G9"/>
    <hyperlink xmlns:r="http://schemas.openxmlformats.org/officeDocument/2006/relationships" ref="L85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4" t="inlineStr">
        <is>
          <t>10-K</t>
        </is>
      </c>
      <c r="D4" s="19" t="inlineStr">
        <is>
          <t>Ctrl+F "Net revenue" → 11,102,600 ($000) in FY2025 column</t>
        </is>
      </c>
      <c r="E4" s="73" t="n">
        <v>11102600</v>
      </c>
    </row>
    <row r="5">
      <c r="A5" s="16" t="inlineStr">
        <is>
          <t>FY2025A EBITDA (EBIT + D&amp;A)</t>
        </is>
      </c>
      <c r="E5" s="74">
        <f>2210615+496228</f>
        <v/>
      </c>
    </row>
    <row r="6">
      <c r="A6" s="16" t="inlineStr">
        <is>
          <t>FY2030E terminal EBITDA (DCF EBIT + D&amp;A)</t>
        </is>
      </c>
      <c r="C6" s="94" t="inlineStr">
        <is>
          <t>↳ DCF base case</t>
        </is>
      </c>
      <c r="E6" s="74">
        <f>DCF!E44</f>
        <v/>
      </c>
    </row>
    <row r="7" ht="28" customHeight="1">
      <c r="A7" s="16" t="inlineStr">
        <is>
          <t>FY2026E diluted EPS (guidance midpoint)</t>
        </is>
      </c>
      <c r="C7" s="94" t="inlineStr">
        <is>
          <t>Release</t>
        </is>
      </c>
      <c r="D7" s="19" t="inlineStr">
        <is>
          <t>Ctrl+F "$9.48 to $9.73" → FY2026 diluted EPS guidance; model midpoint $9.61</t>
        </is>
      </c>
      <c r="E7" s="96" t="n">
        <v>9.609999999999999</v>
      </c>
    </row>
    <row r="8" ht="28" customHeight="1">
      <c r="A8" s="16" t="inlineStr">
        <is>
          <t>Cash &amp; equivalents</t>
        </is>
      </c>
      <c r="C8" s="94" t="inlineStr">
        <is>
          <t>10-K</t>
        </is>
      </c>
      <c r="D8" s="19" t="inlineStr">
        <is>
          <t>Ctrl+F "Cash and cash equivalents" → 1,807,202 ($000) FY2025</t>
        </is>
      </c>
      <c r="E8" s="73" t="n">
        <v>1807202</v>
      </c>
    </row>
    <row r="9" ht="28" customHeight="1">
      <c r="A9" s="16" t="inlineStr">
        <is>
          <t>Shares outstanding (000)</t>
        </is>
      </c>
      <c r="C9" s="94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3" t="n">
        <v>111380</v>
      </c>
    </row>
    <row r="10" ht="28" customHeight="1">
      <c r="A10" s="16" t="inlineStr">
        <is>
          <t>Current share price</t>
        </is>
      </c>
      <c r="C10" s="94" t="inlineStr">
        <is>
          <t>NASDAQ</t>
        </is>
      </c>
      <c r="D10" s="19" t="inlineStr">
        <is>
          <t>Ctrl+F "closed at $100.61" → Last Sale on NASDAQ quote page</t>
        </is>
      </c>
      <c r="E10" s="96" t="n">
        <v>100</v>
      </c>
    </row>
    <row r="11">
      <c r="A11" s="103" t="inlineStr">
        <is>
          <t xml:space="preserve">  memo: current EV / EBITDA</t>
        </is>
      </c>
      <c r="E11" s="108">
        <f>(E10*E9-E8)/E5</f>
        <v/>
      </c>
    </row>
    <row r="12">
      <c r="A12" s="103" t="inlineStr">
        <is>
          <t xml:space="preserve">  memo: current P / E (FY2026E)</t>
        </is>
      </c>
      <c r="E12" s="108">
        <f>E10/E7</f>
        <v/>
      </c>
    </row>
    <row r="14">
      <c r="A14" s="14" t="inlineStr">
        <is>
          <t>EXIT MULTIPLE BUILD — FY2030E TERMINAL YEAR</t>
        </is>
      </c>
    </row>
    <row r="15">
      <c r="A15" s="103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09" t="inlineStr">
        <is>
          <t>Company</t>
        </is>
      </c>
      <c r="B18" s="109" t="inlineStr">
        <is>
          <t>Justification</t>
        </is>
      </c>
      <c r="C18" s="109" t="inlineStr">
        <is>
          <t>Source</t>
        </is>
      </c>
      <c r="D18" s="109" t="inlineStr">
        <is>
          <t>Ctrl+F / proof</t>
        </is>
      </c>
      <c r="E18" s="110" t="inlineStr">
        <is>
          <t>EV/EBITDA</t>
        </is>
      </c>
      <c r="I18" s="110" t="inlineStr">
        <is>
          <t>EV ($000)</t>
        </is>
      </c>
      <c r="J18" s="110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1">
        <f>IF(J19&lt;=0,"n.m.",I19/J19)</f>
        <v/>
      </c>
      <c r="I19" s="112" t="n">
        <v>11890440</v>
      </c>
      <c r="J19" s="112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1">
        <f>IF(J20&lt;=0,"n.m.",I20/J20)</f>
        <v/>
      </c>
      <c r="I20" s="112" t="n">
        <v>3208397</v>
      </c>
      <c r="J20" s="112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1">
        <f>IF(J21&lt;=0,"n.m.",I21/J21)</f>
        <v/>
      </c>
      <c r="I21" s="112" t="n">
        <v>35661944</v>
      </c>
      <c r="J21" s="112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1">
        <f>IF(J22&lt;=0,"n.m.",I22/J22)</f>
        <v/>
      </c>
      <c r="I22" s="112" t="n">
        <v>58972350</v>
      </c>
      <c r="J22" s="112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1">
        <f>IF(J23&lt;=0,"n.m.",I23/J23)</f>
        <v/>
      </c>
      <c r="I23" s="112" t="n">
        <v>10555510</v>
      </c>
      <c r="J23" s="112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1">
        <f>IF(J24&lt;=0,"n.m.",I24/J24)</f>
        <v/>
      </c>
      <c r="I24" s="112" t="n">
        <v>27284350</v>
      </c>
      <c r="J24" s="112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1">
        <f>IF(J25&lt;=0,"n.m.",I25/J25)</f>
        <v/>
      </c>
      <c r="I25" s="112" t="n">
        <v>7153911</v>
      </c>
      <c r="J25" s="112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1">
        <f>IF(J26&lt;=0,"n.m.",I26/J26)</f>
        <v/>
      </c>
      <c r="I26" s="112" t="n">
        <v>616045</v>
      </c>
      <c r="J26" s="112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1">
        <f>IF(J27&lt;=0,"n.m.",I27/J27)</f>
        <v/>
      </c>
      <c r="I27" s="112" t="n">
        <v>9422753</v>
      </c>
      <c r="J27" s="112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1">
        <f>IF(J28&lt;=0,"n.m.",I28/J28)</f>
        <v/>
      </c>
      <c r="I28" s="112" t="n">
        <v>1598873</v>
      </c>
      <c r="J28" s="112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1">
        <f>IF(J29&lt;=0,"n.m.",I29/J29)</f>
        <v/>
      </c>
      <c r="I29" s="112" t="n">
        <v>5236269</v>
      </c>
      <c r="J29" s="112" t="n">
        <v>407521</v>
      </c>
    </row>
    <row r="31">
      <c r="A31" s="14" t="inlineStr">
        <is>
          <t>ALO YOGA BUILD — no source prints EV/EBITDA (Firecrawl: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 —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3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3" t="n">
        <v>2</v>
      </c>
    </row>
    <row r="35" ht="28" customHeight="1">
      <c r="A35" s="67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4" t="inlineStr">
        <is>
          <t>Comps: Alo ask / parent sales</t>
        </is>
      </c>
      <c r="D35" s="19" t="inlineStr">
        <is>
          <t>No Ctrl+F for EV/EBITDA — Firecrawl found none on Reuters or Forbes. This cell is E33 / E34 (ask ÷ parent sales). Not the TV.</t>
        </is>
      </c>
      <c r="E35" s="114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5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1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1">
        <f>AVERAGE(E19,E21,E22,E23,E24,E25,E26,E27,E28,E29)</f>
        <v/>
      </c>
    </row>
    <row r="41">
      <c r="A41" s="103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3">
        <f>DCF!E46</f>
        <v/>
      </c>
    </row>
    <row r="45">
      <c r="A45" s="67" t="inlineStr">
        <is>
          <t>Selected exit multiple (base case)</t>
        </is>
      </c>
      <c r="E45" s="100">
        <f>DCF!E63</f>
        <v/>
      </c>
    </row>
    <row r="46">
      <c r="A46" s="16" t="inlineStr">
        <is>
          <t>Spread (selected − Gordon implied)</t>
        </is>
      </c>
      <c r="E46" s="93">
        <f>E45-E44</f>
        <v/>
      </c>
    </row>
    <row r="47">
      <c r="A47" s="67" t="inlineStr">
        <is>
          <t>Rationale for selected exit (Gordon identity, not a peer pick)</t>
        </is>
      </c>
    </row>
    <row r="48">
      <c r="A48" s="41" t="inlineStr">
        <is>
          <t>•  Selected exit = Gordon TV / FY30 EBITDA. Identity: (UFCF/EBITDA)×(1+g)/(WACC−g). Live formula, not a typed 8.0x</t>
        </is>
      </c>
    </row>
    <row r="49">
      <c r="A49" s="41" t="inlineStr">
        <is>
          <t>•  At base WACC 10.5% and g 2.25% that identity is ~6.0x — the stale “Gordon ~7x / pick Deckers 8.0x” overlay is gone</t>
        </is>
      </c>
    </row>
    <row r="50">
      <c r="A50" s="41" t="inlineStr">
        <is>
          <t>•  PitchBook pubcomps (04-Sep-2026) are the current tape: each multiple is daily EV / TTM EBITDA</t>
        </is>
      </c>
    </row>
    <row r="51">
      <c r="A51" s="41" t="inlineStr">
        <is>
          <t>•  That tape is a check, not the exit. A 2.25% g / 15.5% OM year is not today’s NKE/WSM multiple</t>
        </is>
      </c>
    </row>
    <row r="52">
      <c r="A52" s="41" t="inlineStr">
        <is>
          <t>•  Alo has no EV/EBITDA print. Implied 5.0x is EV/Sales (unclosed $10bn ask / ~$2bn parent sales) — not the FY30 exit</t>
        </is>
      </c>
    </row>
    <row r="53">
      <c r="A53" s="41" t="inlineStr">
        <is>
          <t>•  PitchBook LULU is ~4.7x TTM. Gordon 6.0x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09" t="inlineStr">
        <is>
          <t>Method</t>
        </is>
      </c>
      <c r="B56" s="109" t="inlineStr">
        <is>
          <t>Justification</t>
        </is>
      </c>
      <c r="C56" s="109" t="inlineStr">
        <is>
          <t>Source</t>
        </is>
      </c>
      <c r="D56" s="109" t="inlineStr">
        <is>
          <t>Ctrl+F</t>
        </is>
      </c>
      <c r="E56" s="110" t="inlineStr">
        <is>
          <t>Low mult.</t>
        </is>
      </c>
      <c r="F56" s="110" t="inlineStr">
        <is>
          <t>High mult.</t>
        </is>
      </c>
      <c r="G56" s="110" t="inlineStr">
        <is>
          <t>Implied px (low)</t>
        </is>
      </c>
      <c r="H56" s="110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4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16" t="n">
        <v>5</v>
      </c>
      <c r="F57" s="116" t="n">
        <v>8</v>
      </c>
      <c r="G57" s="117">
        <f>(E6*E57+E8)/E9</f>
        <v/>
      </c>
      <c r="H57" s="117">
        <f>(E6*F57+E8)/E9</f>
        <v/>
      </c>
    </row>
    <row r="58" ht="28" customHeight="1">
      <c r="A58" s="67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4">
        <f>DCF!E63</f>
        <v/>
      </c>
      <c r="G58" s="118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4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16" t="n">
        <v>10</v>
      </c>
      <c r="F59" s="116" t="n">
        <v>18</v>
      </c>
      <c r="G59" s="117">
        <f>E7*E59</f>
        <v/>
      </c>
      <c r="H59" s="117">
        <f>E7*F59</f>
        <v/>
      </c>
    </row>
    <row r="60">
      <c r="A60" s="16" t="inlineStr">
        <is>
          <t>DCF (bear – bull)</t>
        </is>
      </c>
      <c r="E60" s="119" t="inlineStr">
        <is>
          <t>—</t>
        </is>
      </c>
      <c r="F60" s="119" t="inlineStr">
        <is>
          <t>—</t>
        </is>
      </c>
      <c r="G60" s="117">
        <f>Scenarios!F130</f>
        <v/>
      </c>
      <c r="H60" s="117">
        <f>Scenarios!H130</f>
        <v/>
      </c>
    </row>
    <row r="62" ht="28" customHeight="1">
      <c r="A62" s="120" t="inlineStr">
        <is>
          <t>Current price</t>
        </is>
      </c>
      <c r="C62" s="94" t="inlineStr">
        <is>
          <t>NASDAQ</t>
        </is>
      </c>
      <c r="D62" s="19" t="inlineStr">
        <is>
          <t>Ctrl+F "closed at $100.61" → Last Sale on NASDAQ quote page</t>
        </is>
      </c>
      <c r="E62" s="121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63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2026-09-08T00:35:24Z</dcterms:created>
  <dcterms:modified xmlns:dcterms="http://purl.org/dc/terms/" xmlns:xsi="http://www.w3.org/2001/XMLSchema-instance" xsi:type="dcterms:W3CDTF">2026-09-08T00:35:24Z</dcterms:modified>
</cp:coreProperties>
</file>
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fred.stlouisfed.org/series/GDPC1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Relationship Type="http://schemas.openxmlformats.org/officeDocument/2006/relationships/hyperlink" Target="https://stockanalysis.com/stocks/lulu/statistics/" TargetMode="External" Id="rId21"/><Relationship Type="http://schemas.openxmlformats.org/officeDocument/2006/relationships/hyperlink" Target="https://fred.stlouisfed.org/series/GDPC1" TargetMode="External" Id="rId22"/><Relationship Type="http://schemas.openxmlformats.org/officeDocument/2006/relationships/hyperlink" Target="https://www.stern.nyu.edu/~adamodar/New_Home_Page/datafile/histimpl.html" TargetMode="External" Id="rId23"/><Relationship Type="http://schemas.openxmlformats.org/officeDocument/2006/relationships/hyperlink" Target="https://fred.stlouisfed.org/series/GDPC1" TargetMode="External" Id="rId2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Levered beta</t>
        </is>
      </c>
      <c r="B5" s="17" t="inlineStr">
        <is>
          <t>0.95 levered beta vs StockAnalysis Beta (5Y) 0.86; modest uplift for post-guidance volatility.</t>
        </is>
      </c>
      <c r="C5" s="18" t="inlineStr">
        <is>
          <t>StockAnalysis: LULU Beta (5Y)</t>
        </is>
      </c>
      <c r="D5" s="19" t="inlineStr">
        <is>
          <t>Ctrl+F "Beta (5Y)" → 0.86. Model uses 0.95.</t>
        </is>
      </c>
      <c r="E5" s="21" t="n">
        <v>0.95</v>
      </c>
    </row>
    <row r="6">
      <c r="A6" s="22" t="inlineStr">
        <is>
          <t>Cost of equity = rf + β × ERP</t>
        </is>
      </c>
      <c r="E6" s="23">
        <f>E3+E5*E4</f>
        <v/>
      </c>
    </row>
    <row r="8">
      <c r="A8" s="14" t="inlineStr">
        <is>
          <t>Cost of debt</t>
        </is>
      </c>
    </row>
    <row r="9" ht="28" customHeight="1">
      <c r="A9" s="16" t="inlineStr">
        <is>
          <t>Pre-tax cost of debt</t>
        </is>
      </c>
      <c r="B9" s="17" t="inlineStr">
        <is>
          <t>5.0% illustrative pre-tax debt cost; 10-K: no borrowings outstanding on the revolver.</t>
        </is>
      </c>
      <c r="C9" s="18" t="inlineStr">
        <is>
          <t>LULU FY2025 10-K (no funded debt)</t>
        </is>
      </c>
      <c r="D9" s="19" t="inlineStr">
        <is>
          <t>Ctrl+F "no borrowings were outstanding under this facility" on this 10-K HTML page (search the document, do not use the EDGAR viewer TOC).</t>
        </is>
      </c>
      <c r="E9" s="20" t="n">
        <v>0.05</v>
      </c>
    </row>
    <row r="10" ht="28" customHeight="1">
      <c r="A10" s="16" t="inlineStr">
        <is>
          <t>Tax rate</t>
        </is>
      </c>
      <c r="B10" s="17" t="inlineStr">
        <is>
          <t>30% cash tax matches FY2026 guidance (“approximately 30%”); FY25 effective was 29.5%.</t>
        </is>
      </c>
      <c r="C10" s="18" t="inlineStr">
        <is>
          <t>Q2 FY2026 outlook: tax rate ≈ 30%</t>
        </is>
      </c>
      <c r="D10" s="19" t="inlineStr">
        <is>
          <t>Ctrl+F "a tax rate of approximately 30%" on the FY2026 outlook paragraph.</t>
        </is>
      </c>
      <c r="E10" s="20" t="n">
        <v>0.3</v>
      </c>
    </row>
    <row r="11">
      <c r="A11" s="16" t="inlineStr">
        <is>
          <t>After-tax cost of debt</t>
        </is>
      </c>
      <c r="E11" s="24">
        <f>E9*(1-E10)</f>
        <v/>
      </c>
    </row>
    <row r="13">
      <c r="A13" s="14" t="inlineStr">
        <is>
          <t>Capital structure (market values)</t>
        </is>
      </c>
    </row>
    <row r="14" ht="28" customHeight="1">
      <c r="A14" s="16" t="inlineStr">
        <is>
          <t>Equity weight</t>
        </is>
      </c>
      <c r="B14" s="17" t="inlineStr">
        <is>
          <t>100% equity weight; net-cash balance sheet with no material funded debt at market values per FY2025 10-K.</t>
        </is>
      </c>
      <c r="C14" s="18" t="inlineStr">
        <is>
          <t>LULU FY2025 10-K balance sheet</t>
        </is>
      </c>
      <c r="D14" s="19" t="inlineStr">
        <is>
          <t>Ctrl+F "Cash and cash equivalents" → 1,807,202 ($000) | no funded term debt</t>
        </is>
      </c>
      <c r="E14" s="20" t="n">
        <v>1</v>
      </c>
    </row>
    <row r="15" ht="28" customHeight="1">
      <c r="A15" s="16" t="inlineStr">
        <is>
          <t>Debt weight</t>
        </is>
      </c>
      <c r="B15" s="17" t="inlineStr">
        <is>
          <t>0% debt weight; no outstanding term loans or bonds, so WACC effectively equals levered cost of equity here.</t>
        </is>
      </c>
      <c r="C15" s="18" t="inlineStr">
        <is>
          <t>LULU FY2025 10-K balance sheet</t>
        </is>
      </c>
      <c r="D15" s="19" t="inlineStr">
        <is>
          <t>Ctrl+F "no borrowings were outstanding under this facility" → debt weight 0%</t>
        </is>
      </c>
      <c r="E15" s="20" t="n">
        <v>0</v>
      </c>
    </row>
    <row r="16">
      <c r="A16" s="22" t="inlineStr">
        <is>
          <t>WACC</t>
        </is>
      </c>
      <c r="E16" s="25">
        <f>E14*E6+E15*E11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4" r:id="rId6"/>
    <hyperlink xmlns:r="http://schemas.openxmlformats.org/officeDocument/2006/relationships" ref="C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6" t="inlineStr">
        <is>
          <t>Bear</t>
        </is>
      </c>
      <c r="G2" s="27" t="inlineStr">
        <is>
          <t>Base</t>
        </is>
      </c>
      <c r="H2" s="28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29" t="n">
        <v>134500</v>
      </c>
      <c r="G7" s="29" t="n">
        <v>134500</v>
      </c>
      <c r="H7" s="29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0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build % of Δrevenue</t>
        </is>
      </c>
      <c r="B14" s="17" t="inlineStr">
        <is>
          <t>7.5% of Δsales is operating NWC: AR + inventory + other CA − AP − accrued. AR is on the 10-K ($190,657); not omitted.</t>
        </is>
      </c>
      <c r="C14" s="18" t="inlineStr">
        <is>
          <t>LULU BS/IS historical (10-K)</t>
        </is>
      </c>
      <c r="D14" s="19" t="inlineStr">
        <is>
          <t>Ctrl+F "Accounts receivable, net" → 190,657. Ctrl+F "Inventories" → 1,700,753. Ctrl+F "Accounts payable" → 331,421. Ctrl+F "Accrued liabilities and other" → 662,982. NWC = AR + Inv + other CA − AP − accrued; 7.5% of Δsales.</t>
        </is>
      </c>
      <c r="F14" s="20" t="n">
        <v>0.08</v>
      </c>
      <c r="G14" s="20" t="n">
        <v>0.075</v>
      </c>
      <c r="H14" s="20" t="n">
        <v>0.07000000000000001</v>
      </c>
    </row>
    <row r="16">
      <c r="A16" s="14" t="inlineStr">
        <is>
          <t>5-year forecast paths (by scenario)</t>
        </is>
      </c>
    </row>
    <row r="17">
      <c r="A17" s="31" t="inlineStr">
        <is>
          <t xml:space="preserve">  Revenue – year 1</t>
        </is>
      </c>
      <c r="F17" s="32">
        <f>11102600*(1+F4)</f>
        <v/>
      </c>
      <c r="G17" s="32">
        <f>11102600*(1+G4)</f>
        <v/>
      </c>
      <c r="H17" s="32">
        <f>11102600*(1+H4)</f>
        <v/>
      </c>
    </row>
    <row r="18">
      <c r="A18" s="31" t="inlineStr">
        <is>
          <t xml:space="preserve">  Revenue – year 2</t>
        </is>
      </c>
      <c r="F18" s="32">
        <f>F17*(1+F5)</f>
        <v/>
      </c>
      <c r="G18" s="32">
        <f>G17*(1+G5)</f>
        <v/>
      </c>
      <c r="H18" s="32">
        <f>H17*(1+H5)</f>
        <v/>
      </c>
    </row>
    <row r="19">
      <c r="A19" s="31" t="inlineStr">
        <is>
          <t xml:space="preserve">  Revenue – year 3</t>
        </is>
      </c>
      <c r="F19" s="32">
        <f>F18*(1+F5)</f>
        <v/>
      </c>
      <c r="G19" s="32">
        <f>G18*(1+G5)</f>
        <v/>
      </c>
      <c r="H19" s="32">
        <f>H18*(1+H5)</f>
        <v/>
      </c>
    </row>
    <row r="20">
      <c r="A20" s="31" t="inlineStr">
        <is>
          <t xml:space="preserve">  Revenue – year 4</t>
        </is>
      </c>
      <c r="F20" s="32">
        <f>F19*(1+F5)</f>
        <v/>
      </c>
      <c r="G20" s="32">
        <f>G19*(1+G5)</f>
        <v/>
      </c>
      <c r="H20" s="32">
        <f>H19*(1+H5)</f>
        <v/>
      </c>
    </row>
    <row r="21">
      <c r="A21" s="31" t="inlineStr">
        <is>
          <t xml:space="preserve">  Revenue – year 5</t>
        </is>
      </c>
      <c r="F21" s="32">
        <f>F20*(1+F5)</f>
        <v/>
      </c>
      <c r="G21" s="32">
        <f>G20*(1+G5)</f>
        <v/>
      </c>
      <c r="H21" s="32">
        <f>H20*(1+H5)</f>
        <v/>
      </c>
    </row>
    <row r="22">
      <c r="A22" s="31" t="inlineStr">
        <is>
          <t xml:space="preserve">  Clean EBIT margin – year 1</t>
        </is>
      </c>
      <c r="F22" s="33">
        <f>F6+(F8-F6)*0/4</f>
        <v/>
      </c>
      <c r="G22" s="33">
        <f>G6+(G8-G6)*0/4</f>
        <v/>
      </c>
      <c r="H22" s="33">
        <f>H6+(H8-H6)*0/4</f>
        <v/>
      </c>
    </row>
    <row r="23">
      <c r="A23" s="31" t="inlineStr">
        <is>
          <t xml:space="preserve">  Clean EBIT margin – year 2</t>
        </is>
      </c>
      <c r="F23" s="33">
        <f>F6+(F8-F6)*1/4</f>
        <v/>
      </c>
      <c r="G23" s="33">
        <f>G6+(G8-G6)*1/4</f>
        <v/>
      </c>
      <c r="H23" s="33">
        <f>H6+(H8-H6)*1/4</f>
        <v/>
      </c>
    </row>
    <row r="24">
      <c r="A24" s="31" t="inlineStr">
        <is>
          <t xml:space="preserve">  Clean EBIT margin – year 3</t>
        </is>
      </c>
      <c r="F24" s="33">
        <f>F6+(F8-F6)*2/4</f>
        <v/>
      </c>
      <c r="G24" s="33">
        <f>G6+(G8-G6)*2/4</f>
        <v/>
      </c>
      <c r="H24" s="33">
        <f>H6+(H8-H6)*2/4</f>
        <v/>
      </c>
    </row>
    <row r="25">
      <c r="A25" s="31" t="inlineStr">
        <is>
          <t xml:space="preserve">  Clean EBIT margin – year 4</t>
        </is>
      </c>
      <c r="F25" s="33">
        <f>F6+(F8-F6)*3/4</f>
        <v/>
      </c>
      <c r="G25" s="33">
        <f>G6+(G8-G6)*3/4</f>
        <v/>
      </c>
      <c r="H25" s="33">
        <f>H6+(H8-H6)*3/4</f>
        <v/>
      </c>
    </row>
    <row r="26">
      <c r="A26" s="31" t="inlineStr">
        <is>
          <t xml:space="preserve">  Clean EBIT margin – year 5</t>
        </is>
      </c>
      <c r="F26" s="33">
        <f>F6+(F8-F6)*4/4</f>
        <v/>
      </c>
      <c r="G26" s="33">
        <f>G6+(G8-G6)*4/4</f>
        <v/>
      </c>
      <c r="H26" s="33">
        <f>H6+(H8-H6)*4/4</f>
        <v/>
      </c>
    </row>
    <row r="27">
      <c r="A27" s="31" t="inlineStr">
        <is>
          <t xml:space="preserve">  EBIT – year 1</t>
        </is>
      </c>
      <c r="F27" s="32">
        <f>F17*F22+F7</f>
        <v/>
      </c>
      <c r="G27" s="32">
        <f>G17*G22+G7</f>
        <v/>
      </c>
      <c r="H27" s="32">
        <f>H17*H22+H7</f>
        <v/>
      </c>
    </row>
    <row r="28">
      <c r="A28" s="31" t="inlineStr">
        <is>
          <t xml:space="preserve">  EBIT – year 2</t>
        </is>
      </c>
      <c r="F28" s="32">
        <f>F18*F23</f>
        <v/>
      </c>
      <c r="G28" s="32">
        <f>G18*G23</f>
        <v/>
      </c>
      <c r="H28" s="32">
        <f>H18*H23</f>
        <v/>
      </c>
    </row>
    <row r="29">
      <c r="A29" s="31" t="inlineStr">
        <is>
          <t xml:space="preserve">  EBIT – year 3</t>
        </is>
      </c>
      <c r="F29" s="32">
        <f>F19*F24</f>
        <v/>
      </c>
      <c r="G29" s="32">
        <f>G19*G24</f>
        <v/>
      </c>
      <c r="H29" s="32">
        <f>H19*H24</f>
        <v/>
      </c>
    </row>
    <row r="30">
      <c r="A30" s="31" t="inlineStr">
        <is>
          <t xml:space="preserve">  EBIT – year 4</t>
        </is>
      </c>
      <c r="F30" s="32">
        <f>F20*F25</f>
        <v/>
      </c>
      <c r="G30" s="32">
        <f>G20*G25</f>
        <v/>
      </c>
      <c r="H30" s="32">
        <f>H20*H25</f>
        <v/>
      </c>
    </row>
    <row r="31">
      <c r="A31" s="31" t="inlineStr">
        <is>
          <t xml:space="preserve">  EBIT – year 5</t>
        </is>
      </c>
      <c r="F31" s="32">
        <f>F21*F26</f>
        <v/>
      </c>
      <c r="G31" s="32">
        <f>G21*G26</f>
        <v/>
      </c>
      <c r="H31" s="32">
        <f>H21*H26</f>
        <v/>
      </c>
    </row>
    <row r="32">
      <c r="A32" s="31" t="inlineStr">
        <is>
          <t xml:space="preserve">  NOPAT – year 1</t>
        </is>
      </c>
      <c r="F32" s="32">
        <f>F27*(1-F11)</f>
        <v/>
      </c>
      <c r="G32" s="32">
        <f>G27*(1-G11)</f>
        <v/>
      </c>
      <c r="H32" s="32">
        <f>H27*(1-H11)</f>
        <v/>
      </c>
    </row>
    <row r="33">
      <c r="A33" s="31" t="inlineStr">
        <is>
          <t xml:space="preserve">  NOPAT – year 2</t>
        </is>
      </c>
      <c r="F33" s="32">
        <f>F28*(1-F11)</f>
        <v/>
      </c>
      <c r="G33" s="32">
        <f>G28*(1-G11)</f>
        <v/>
      </c>
      <c r="H33" s="32">
        <f>H28*(1-H11)</f>
        <v/>
      </c>
    </row>
    <row r="34">
      <c r="A34" s="31" t="inlineStr">
        <is>
          <t xml:space="preserve">  NOPAT – year 3</t>
        </is>
      </c>
      <c r="F34" s="32">
        <f>F29*(1-F11)</f>
        <v/>
      </c>
      <c r="G34" s="32">
        <f>G29*(1-G11)</f>
        <v/>
      </c>
      <c r="H34" s="32">
        <f>H29*(1-H11)</f>
        <v/>
      </c>
    </row>
    <row r="35">
      <c r="A35" s="31" t="inlineStr">
        <is>
          <t xml:space="preserve">  NOPAT – year 4</t>
        </is>
      </c>
      <c r="F35" s="32">
        <f>F30*(1-F11)</f>
        <v/>
      </c>
      <c r="G35" s="32">
        <f>G30*(1-G11)</f>
        <v/>
      </c>
      <c r="H35" s="32">
        <f>H30*(1-H11)</f>
        <v/>
      </c>
    </row>
    <row r="36">
      <c r="A36" s="31" t="inlineStr">
        <is>
          <t xml:space="preserve">  NOPAT – year 5</t>
        </is>
      </c>
      <c r="F36" s="32">
        <f>F31*(1-F11)</f>
        <v/>
      </c>
      <c r="G36" s="32">
        <f>G31*(1-G11)</f>
        <v/>
      </c>
      <c r="H36" s="32">
        <f>H31*(1-H11)</f>
        <v/>
      </c>
    </row>
    <row r="37">
      <c r="A37" s="31" t="inlineStr">
        <is>
          <t xml:space="preserve">  D&amp;A – year 1</t>
        </is>
      </c>
      <c r="F37" s="32">
        <f>F17*F12</f>
        <v/>
      </c>
      <c r="G37" s="32">
        <f>G17*G12</f>
        <v/>
      </c>
      <c r="H37" s="32">
        <f>H17*H12</f>
        <v/>
      </c>
    </row>
    <row r="38">
      <c r="A38" s="31" t="inlineStr">
        <is>
          <t xml:space="preserve">  D&amp;A – year 2</t>
        </is>
      </c>
      <c r="F38" s="32">
        <f>F18*F12</f>
        <v/>
      </c>
      <c r="G38" s="32">
        <f>G18*G12</f>
        <v/>
      </c>
      <c r="H38" s="32">
        <f>H18*H12</f>
        <v/>
      </c>
    </row>
    <row r="39">
      <c r="A39" s="31" t="inlineStr">
        <is>
          <t xml:space="preserve">  D&amp;A – year 3</t>
        </is>
      </c>
      <c r="F39" s="32">
        <f>F19*F12</f>
        <v/>
      </c>
      <c r="G39" s="32">
        <f>G19*G12</f>
        <v/>
      </c>
      <c r="H39" s="32">
        <f>H19*H12</f>
        <v/>
      </c>
    </row>
    <row r="40">
      <c r="A40" s="31" t="inlineStr">
        <is>
          <t xml:space="preserve">  D&amp;A – year 4</t>
        </is>
      </c>
      <c r="F40" s="32">
        <f>F20*F12</f>
        <v/>
      </c>
      <c r="G40" s="32">
        <f>G20*G12</f>
        <v/>
      </c>
      <c r="H40" s="32">
        <f>H20*H12</f>
        <v/>
      </c>
    </row>
    <row r="41">
      <c r="A41" s="31" t="inlineStr">
        <is>
          <t xml:space="preserve">  D&amp;A – year 5</t>
        </is>
      </c>
      <c r="F41" s="32">
        <f>F21*F12</f>
        <v/>
      </c>
      <c r="G41" s="32">
        <f>G21*G12</f>
        <v/>
      </c>
      <c r="H41" s="32">
        <f>H21*H12</f>
        <v/>
      </c>
    </row>
    <row r="42">
      <c r="A42" s="31" t="inlineStr">
        <is>
          <t xml:space="preserve">  Capex – year 1</t>
        </is>
      </c>
      <c r="F42" s="32">
        <f>F17*F13</f>
        <v/>
      </c>
      <c r="G42" s="32">
        <f>G17*G13</f>
        <v/>
      </c>
      <c r="H42" s="32">
        <f>H17*H13</f>
        <v/>
      </c>
    </row>
    <row r="43">
      <c r="A43" s="31" t="inlineStr">
        <is>
          <t xml:space="preserve">  Capex – year 2</t>
        </is>
      </c>
      <c r="F43" s="32">
        <f>F18*F13</f>
        <v/>
      </c>
      <c r="G43" s="32">
        <f>G18*G13</f>
        <v/>
      </c>
      <c r="H43" s="32">
        <f>H18*H13</f>
        <v/>
      </c>
    </row>
    <row r="44">
      <c r="A44" s="31" t="inlineStr">
        <is>
          <t xml:space="preserve">  Capex – year 3</t>
        </is>
      </c>
      <c r="F44" s="32">
        <f>F19*F13</f>
        <v/>
      </c>
      <c r="G44" s="32">
        <f>G19*G13</f>
        <v/>
      </c>
      <c r="H44" s="32">
        <f>H19*H13</f>
        <v/>
      </c>
    </row>
    <row r="45">
      <c r="A45" s="31" t="inlineStr">
        <is>
          <t xml:space="preserve">  Capex – year 4</t>
        </is>
      </c>
      <c r="F45" s="32">
        <f>F20*F13</f>
        <v/>
      </c>
      <c r="G45" s="32">
        <f>G20*G13</f>
        <v/>
      </c>
      <c r="H45" s="32">
        <f>H20*H13</f>
        <v/>
      </c>
    </row>
    <row r="46">
      <c r="A46" s="31" t="inlineStr">
        <is>
          <t xml:space="preserve">  Capex – year 5</t>
        </is>
      </c>
      <c r="F46" s="32">
        <f>F21*F13</f>
        <v/>
      </c>
      <c r="G46" s="32">
        <f>G21*G13</f>
        <v/>
      </c>
      <c r="H46" s="32">
        <f>H21*H13</f>
        <v/>
      </c>
    </row>
    <row r="47">
      <c r="A47" s="31" t="inlineStr">
        <is>
          <t xml:space="preserve">  ΔNWC – year 1</t>
        </is>
      </c>
      <c r="F47" s="32">
        <f>F14*(F17-11102600)</f>
        <v/>
      </c>
      <c r="G47" s="32">
        <f>G14*(G17-11102600)</f>
        <v/>
      </c>
      <c r="H47" s="32">
        <f>H14*(H17-11102600)</f>
        <v/>
      </c>
    </row>
    <row r="48">
      <c r="A48" s="31" t="inlineStr">
        <is>
          <t xml:space="preserve">  ΔNWC – year 2</t>
        </is>
      </c>
      <c r="F48" s="32">
        <f>F14*(F18-F17)</f>
        <v/>
      </c>
      <c r="G48" s="32">
        <f>G14*(G18-G17)</f>
        <v/>
      </c>
      <c r="H48" s="32">
        <f>H14*(H18-H17)</f>
        <v/>
      </c>
    </row>
    <row r="49">
      <c r="A49" s="31" t="inlineStr">
        <is>
          <t xml:space="preserve">  ΔNWC – year 3</t>
        </is>
      </c>
      <c r="F49" s="32">
        <f>F14*(F19-F18)</f>
        <v/>
      </c>
      <c r="G49" s="32">
        <f>G14*(G19-G18)</f>
        <v/>
      </c>
      <c r="H49" s="32">
        <f>H14*(H19-H18)</f>
        <v/>
      </c>
    </row>
    <row r="50">
      <c r="A50" s="31" t="inlineStr">
        <is>
          <t xml:space="preserve">  ΔNWC – year 4</t>
        </is>
      </c>
      <c r="F50" s="32">
        <f>F14*(F20-F19)</f>
        <v/>
      </c>
      <c r="G50" s="32">
        <f>G14*(G20-G19)</f>
        <v/>
      </c>
      <c r="H50" s="32">
        <f>H14*(H20-H19)</f>
        <v/>
      </c>
    </row>
    <row r="51">
      <c r="A51" s="31" t="inlineStr">
        <is>
          <t xml:space="preserve">  ΔNWC – year 5</t>
        </is>
      </c>
      <c r="F51" s="32">
        <f>F14*(F21-F20)</f>
        <v/>
      </c>
      <c r="G51" s="32">
        <f>G14*(G21-G20)</f>
        <v/>
      </c>
      <c r="H51" s="32">
        <f>H14*(H21-H20)</f>
        <v/>
      </c>
    </row>
    <row r="52">
      <c r="A52" s="31" t="inlineStr">
        <is>
          <t xml:space="preserve">  Unlevered FCF – year 1</t>
        </is>
      </c>
      <c r="F52" s="32">
        <f>F32+F37-F42-F47</f>
        <v/>
      </c>
      <c r="G52" s="32">
        <f>G32+G37-G42-G47</f>
        <v/>
      </c>
      <c r="H52" s="32">
        <f>H32+H37-H42-H47</f>
        <v/>
      </c>
    </row>
    <row r="53">
      <c r="A53" s="31" t="inlineStr">
        <is>
          <t xml:space="preserve">  Unlevered FCF – year 2</t>
        </is>
      </c>
      <c r="F53" s="32">
        <f>F33+F38-F43-F48</f>
        <v/>
      </c>
      <c r="G53" s="32">
        <f>G33+G38-G43-G48</f>
        <v/>
      </c>
      <c r="H53" s="32">
        <f>H33+H38-H43-H48</f>
        <v/>
      </c>
    </row>
    <row r="54">
      <c r="A54" s="31" t="inlineStr">
        <is>
          <t xml:space="preserve">  Unlevered FCF – year 3</t>
        </is>
      </c>
      <c r="F54" s="32">
        <f>F34+F39-F44-F49</f>
        <v/>
      </c>
      <c r="G54" s="32">
        <f>G34+G39-G44-G49</f>
        <v/>
      </c>
      <c r="H54" s="32">
        <f>H34+H39-H44-H49</f>
        <v/>
      </c>
    </row>
    <row r="55">
      <c r="A55" s="31" t="inlineStr">
        <is>
          <t xml:space="preserve">  Unlevered FCF – year 4</t>
        </is>
      </c>
      <c r="F55" s="32">
        <f>F35+F40-F45-F50</f>
        <v/>
      </c>
      <c r="G55" s="32">
        <f>G35+G40-G45-G50</f>
        <v/>
      </c>
      <c r="H55" s="32">
        <f>H35+H40-H45-H50</f>
        <v/>
      </c>
    </row>
    <row r="56">
      <c r="A56" s="31" t="inlineStr">
        <is>
          <t xml:space="preserve">  Unlevered FCF – year 5</t>
        </is>
      </c>
      <c r="F56" s="32">
        <f>F36+F41-F46-F51</f>
        <v/>
      </c>
      <c r="G56" s="32">
        <f>G36+G41-G46-G51</f>
        <v/>
      </c>
      <c r="H56" s="32">
        <f>H36+H41-H46-H51</f>
        <v/>
      </c>
    </row>
    <row r="58">
      <c r="A58" s="22" t="inlineStr">
        <is>
          <t>Enterprise value (DCF)</t>
        </is>
      </c>
      <c r="F58" s="34">
        <f>NPV(F9,F52,F53,F54,F55,F56)+(F56*(1+F10)/(F9-F10))/(1+F9)^5</f>
        <v/>
      </c>
      <c r="G58" s="34">
        <f>NPV(G9,G52,G53,G54,G55,G56)+(G56*(1+G10)/(G9-G10))/(1+G9)^5</f>
        <v/>
      </c>
      <c r="H58" s="34">
        <f>NPV(H9,H52,H53,H54,H55,H56)+(H56*(1+H10)/(H9-H10))/(1+H9)^5</f>
        <v/>
      </c>
    </row>
    <row r="59">
      <c r="A59" s="35" t="inlineStr">
        <is>
          <t>Implied share price</t>
        </is>
      </c>
      <c r="F59" s="36">
        <f>(F58+1807202-0)/111380</f>
        <v/>
      </c>
      <c r="G59" s="37">
        <f>(G58+1807202-0)/111380</f>
        <v/>
      </c>
      <c r="H59" s="36">
        <f>(H58+1807202-0)/111380</f>
        <v/>
      </c>
    </row>
    <row r="60">
      <c r="A60" s="22" t="inlineStr">
        <is>
          <t>Upside / (downside) vs current</t>
        </is>
      </c>
      <c r="F60" s="38">
        <f>F59/100.0-1</f>
        <v/>
      </c>
      <c r="G60" s="38">
        <f>G59/100.0-1</f>
        <v/>
      </c>
      <c r="H60" s="38">
        <f>H59/100.0-1</f>
        <v/>
      </c>
    </row>
    <row r="62">
      <c r="A62" s="39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40" t="inlineStr">
        <is>
          <t>Justification (~20 words)</t>
        </is>
      </c>
      <c r="C2" s="40" t="inlineStr">
        <is>
          <t>Source (click)</t>
        </is>
      </c>
      <c r="D2" s="40" t="inlineStr">
        <is>
          <t>Ctrl+F (prove number)</t>
        </is>
      </c>
      <c r="E2" s="41" t="inlineStr">
        <is>
          <t>FY2025A</t>
        </is>
      </c>
      <c r="F2" s="42" t="inlineStr">
        <is>
          <t>FY2026E</t>
        </is>
      </c>
      <c r="G2" s="42" t="inlineStr">
        <is>
          <t>FY2027E</t>
        </is>
      </c>
      <c r="H2" s="42" t="inlineStr">
        <is>
          <t>FY2028E</t>
        </is>
      </c>
      <c r="I2" s="42" t="inlineStr">
        <is>
          <t>FY2029E</t>
        </is>
      </c>
      <c r="J2" s="42" t="inlineStr">
        <is>
          <t>FY2030E</t>
        </is>
      </c>
      <c r="K2" s="43" t="inlineStr">
        <is>
          <t>Δ vs Scenarios</t>
        </is>
      </c>
      <c r="L2" s="40" t="inlineStr">
        <is>
          <t>Alt. source</t>
        </is>
      </c>
      <c r="M2" s="40" t="inlineStr">
        <is>
          <t>Alt. Ctrl+F</t>
        </is>
      </c>
    </row>
    <row r="3" ht="28" customHeight="1">
      <c r="A3" s="44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5" t="inlineStr">
        <is>
          <t>10-K</t>
        </is>
      </c>
      <c r="K3" s="46" t="inlineStr">
        <is>
          <t>(should be 0)</t>
        </is>
      </c>
    </row>
    <row r="5">
      <c r="A5" s="16" t="inlineStr">
        <is>
          <t>Net revenue</t>
        </is>
      </c>
      <c r="E5" s="47" t="n">
        <v>11102600</v>
      </c>
      <c r="F5" s="48">
        <f>Scenarios!G17</f>
        <v/>
      </c>
      <c r="G5" s="48">
        <f>Scenarios!G18</f>
        <v/>
      </c>
      <c r="H5" s="48">
        <f>Scenarios!G19</f>
        <v/>
      </c>
      <c r="I5" s="48">
        <f>Scenarios!G20</f>
        <v/>
      </c>
      <c r="J5" s="48">
        <f>Scenarios!G21</f>
        <v/>
      </c>
      <c r="K5" s="49">
        <f>IF(MAX(ABS(F5-Scenarios!$G$17),ABS(G5-Scenarios!$G$18),ABS(H5-Scenarios!$G$19),ABS(I5-Scenarios!$G$20),ABS(J5-Scenarios!$G$21))&lt;0.5,"OK","CHECK")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0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0">
        <f>F5/E5-1</f>
        <v/>
      </c>
      <c r="G6" s="50">
        <f>G5/F5-1</f>
        <v/>
      </c>
      <c r="H6" s="50">
        <f>H5/G5-1</f>
        <v/>
      </c>
      <c r="I6" s="50">
        <f>I5/H5-1</f>
        <v/>
      </c>
      <c r="J6" s="50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0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50">
        <f>Scenarios!G22</f>
        <v/>
      </c>
      <c r="G7" s="50">
        <f>Scenarios!G23</f>
        <v/>
      </c>
      <c r="H7" s="50">
        <f>Scenarios!G24</f>
        <v/>
      </c>
      <c r="I7" s="50">
        <f>Scenarios!G25</f>
        <v/>
      </c>
      <c r="J7" s="50">
        <f>Scenarios!G26</f>
        <v/>
      </c>
      <c r="K7" s="49">
        <f>IF(MAX(ABS(F7-Scenarios!$G$22),ABS(G7-Scenarios!$G$23),ABS(H7-Scenarios!$G$24),ABS(I7-Scenarios!$G$25),ABS(J7-Scenarios!$G$26))&lt;0.0001,"OK","CHECK")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7" t="n">
        <v>0</v>
      </c>
      <c r="F8" s="29">
        <f>Scenarios!$G$7</f>
        <v/>
      </c>
      <c r="G8" s="29" t="n">
        <v>0</v>
      </c>
      <c r="H8" s="29" t="n">
        <v>0</v>
      </c>
      <c r="I8" s="29" t="n">
        <v>0</v>
      </c>
      <c r="J8" s="29" t="n">
        <v>0</v>
      </c>
    </row>
    <row r="9">
      <c r="A9" s="22" t="inlineStr">
        <is>
          <t>EBIT (incl. FY26 refund)</t>
        </is>
      </c>
      <c r="E9" s="51" t="n">
        <v>2210615</v>
      </c>
      <c r="F9" s="34">
        <f>Scenarios!G27</f>
        <v/>
      </c>
      <c r="G9" s="34">
        <f>Scenarios!G28</f>
        <v/>
      </c>
      <c r="H9" s="34">
        <f>Scenarios!G29</f>
        <v/>
      </c>
      <c r="I9" s="34">
        <f>Scenarios!G30</f>
        <v/>
      </c>
      <c r="J9" s="34">
        <f>Scenarios!G31</f>
        <v/>
      </c>
      <c r="K9" s="52">
        <f>IF(MAX(ABS(F9-Scenarios!$G$27),ABS(G9-Scenarios!$G$28),ABS(H9-Scenarios!$G$29),ABS(I9-Scenarios!$G$30),ABS(J9-Scenarios!$G$31))&lt;0.5,"OK","CHECK")</f>
        <v/>
      </c>
    </row>
    <row r="10">
      <c r="A10" s="16" t="inlineStr">
        <is>
          <t>Reported EBIT margin % (incl. FY26 refund)</t>
        </is>
      </c>
      <c r="E10" s="53" t="n">
        <v>0.1991078666258354</v>
      </c>
      <c r="F10" s="50">
        <f>F9/F5</f>
        <v/>
      </c>
      <c r="G10" s="50">
        <f>G9/G5</f>
        <v/>
      </c>
      <c r="H10" s="50">
        <f>H9/H5</f>
        <v/>
      </c>
      <c r="I10" s="50">
        <f>I9/I5</f>
        <v/>
      </c>
      <c r="J10" s="50">
        <f>J9/J5</f>
        <v/>
      </c>
    </row>
    <row r="11">
      <c r="A11" s="16" t="inlineStr">
        <is>
          <t>Less: cash taxes on EBIT</t>
        </is>
      </c>
      <c r="F11" s="48">
        <f>-Scenarios!G27*Scenarios!$G$11</f>
        <v/>
      </c>
      <c r="G11" s="48">
        <f>-Scenarios!G28*Scenarios!$G$11</f>
        <v/>
      </c>
      <c r="H11" s="48">
        <f>-Scenarios!G29*Scenarios!$G$11</f>
        <v/>
      </c>
      <c r="I11" s="48">
        <f>-Scenarios!G30*Scenarios!$G$11</f>
        <v/>
      </c>
      <c r="J11" s="48">
        <f>-Scenarios!G31*Scenarios!$G$11</f>
        <v/>
      </c>
    </row>
    <row r="12">
      <c r="A12" s="22" t="inlineStr">
        <is>
          <t>NOPAT</t>
        </is>
      </c>
      <c r="F12" s="34">
        <f>Scenarios!G32</f>
        <v/>
      </c>
      <c r="G12" s="34">
        <f>Scenarios!G33</f>
        <v/>
      </c>
      <c r="H12" s="34">
        <f>Scenarios!G34</f>
        <v/>
      </c>
      <c r="I12" s="34">
        <f>Scenarios!G35</f>
        <v/>
      </c>
      <c r="J12" s="34">
        <f>Scenarios!G36</f>
        <v/>
      </c>
      <c r="K12" s="52">
        <f>IF(MAX(ABS(F12-Scenarios!$G$32),ABS(G12-Scenarios!$G$33),ABS(H12-Scenarios!$G$34),ABS(I12-Scenarios!$G$35),ABS(J12-Scenarios!$G$36))&lt;0.5,"OK","CHECK")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48">
        <f>Scenarios!G37</f>
        <v/>
      </c>
      <c r="G14" s="48">
        <f>Scenarios!G38</f>
        <v/>
      </c>
      <c r="H14" s="48">
        <f>Scenarios!G39</f>
        <v/>
      </c>
      <c r="I14" s="48">
        <f>Scenarios!G40</f>
        <v/>
      </c>
      <c r="J14" s="48">
        <f>Scenarios!G41</f>
        <v/>
      </c>
      <c r="K14" s="49">
        <f>IF(MAX(ABS(F14-Scenarios!$G$37),ABS(G14-Scenarios!$G$38),ABS(H14-Scenarios!$G$39),ABS(I14-Scenarios!$G$40),ABS(J14-Scenarios!$G$41))&lt;0.5,"OK","CHECK")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30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48">
        <f>-Scenarios!G42</f>
        <v/>
      </c>
      <c r="G16" s="48">
        <f>-Scenarios!G43</f>
        <v/>
      </c>
      <c r="H16" s="48">
        <f>-Scenarios!G44</f>
        <v/>
      </c>
      <c r="I16" s="48">
        <f>-Scenarios!G45</f>
        <v/>
      </c>
      <c r="J16" s="48">
        <f>-Scenarios!G46</f>
        <v/>
      </c>
      <c r="K16" s="49">
        <f>IF(MAX(ABS(F16+Scenarios!$G$42),ABS(G16+Scenarios!$G$43),ABS(H16+Scenarios!$G$44),ABS(I16+Scenarios!$G$45),ABS(J16+Scenarios!$G$46))&lt;0.5,"OK","CHECK")</f>
        <v/>
      </c>
    </row>
    <row r="17" ht="28" customHeight="1">
      <c r="A17" s="16" t="inlineStr">
        <is>
          <t xml:space="preserve">  NWC build % of Δrevenue</t>
        </is>
      </c>
      <c r="B17" s="17" t="inlineStr">
        <is>
          <t>7.5% of Δsales is operating NWC: AR + inventory + other CA − AP − accrued. AR is on the 10-K ($190,657); not omitted.</t>
        </is>
      </c>
      <c r="C17" s="18" t="inlineStr">
        <is>
          <t>LULU BS/IS historical (10-K)</t>
        </is>
      </c>
      <c r="D17" s="19" t="inlineStr">
        <is>
          <t>Ctrl+F "Accounts receivable, net" → 190,657. Ctrl+F "Inventories" → 1,700,753. Ctrl+F "Accounts payable" → 331,421. Ctrl+F "Accrued liabilities and other" → 662,982. NWC = AR + Inv + other CA − AP − accrued; 7.5% of Δsales.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>
      <c r="A18" s="16" t="inlineStr">
        <is>
          <t>(Increase)/decrease in net working capital</t>
        </is>
      </c>
      <c r="F18" s="48">
        <f>-Scenarios!G47</f>
        <v/>
      </c>
      <c r="G18" s="48">
        <f>-Scenarios!G48</f>
        <v/>
      </c>
      <c r="H18" s="48">
        <f>-Scenarios!G49</f>
        <v/>
      </c>
      <c r="I18" s="48">
        <f>-Scenarios!G50</f>
        <v/>
      </c>
      <c r="J18" s="48">
        <f>-Scenarios!G51</f>
        <v/>
      </c>
      <c r="K18" s="49">
        <f>IF(MAX(ABS(F18+Scenarios!$G$47),ABS(G18+Scenarios!$G$48),ABS(H18+Scenarios!$G$49),ABS(I18+Scenarios!$G$50),ABS(J18+Scenarios!$G$51))&lt;0.5,"OK","CHECK")</f>
        <v/>
      </c>
    </row>
    <row r="19">
      <c r="A19" s="39" t="inlineStr">
        <is>
          <t xml:space="preserve">  memo: FY26 revenue falls −6.1%; negative ΔNWC releases ~$51M cash (adds to FCF, not a use).</t>
        </is>
      </c>
    </row>
    <row r="20">
      <c r="A20" s="22" t="inlineStr">
        <is>
          <t>Unlevered free cash flow</t>
        </is>
      </c>
      <c r="F20" s="54">
        <f>Scenarios!G52</f>
        <v/>
      </c>
      <c r="G20" s="54">
        <f>Scenarios!G53</f>
        <v/>
      </c>
      <c r="H20" s="54">
        <f>Scenarios!G54</f>
        <v/>
      </c>
      <c r="I20" s="54">
        <f>Scenarios!G55</f>
        <v/>
      </c>
      <c r="J20" s="54">
        <f>Scenarios!G56</f>
        <v/>
      </c>
      <c r="K20" s="52">
        <f>IF(MAX(ABS(F20-Scenarios!$G$52),ABS(G20-Scenarios!$G$53),ABS(H20-Scenarios!$G$54),ABS(I20-Scenarios!$G$55),ABS(J20-Scenarios!$G$56))&lt;0.5,"OK","CHECK")</f>
        <v/>
      </c>
    </row>
    <row r="21">
      <c r="A21" s="16" t="inlineStr">
        <is>
          <t>Discount period (years)</t>
        </is>
      </c>
      <c r="F21" s="55" t="n">
        <v>1</v>
      </c>
      <c r="G21" s="55" t="n">
        <v>2</v>
      </c>
      <c r="H21" s="55" t="n">
        <v>3</v>
      </c>
      <c r="I21" s="55" t="n">
        <v>4</v>
      </c>
      <c r="J21" s="55" t="n">
        <v>5</v>
      </c>
    </row>
    <row r="22">
      <c r="A22" s="16" t="inlineStr">
        <is>
          <t>Discount factor @ WACC</t>
        </is>
      </c>
      <c r="F22" s="56">
        <f>1/(1+Scenarios!$G$9)^F21</f>
        <v/>
      </c>
      <c r="G22" s="56">
        <f>1/(1+Scenarios!$G$9)^G21</f>
        <v/>
      </c>
      <c r="H22" s="56">
        <f>1/(1+Scenarios!$G$9)^H21</f>
        <v/>
      </c>
      <c r="I22" s="56">
        <f>1/(1+Scenarios!$G$9)^I21</f>
        <v/>
      </c>
      <c r="J22" s="56">
        <f>1/(1+Scenarios!$G$9)^J21</f>
        <v/>
      </c>
    </row>
    <row r="23">
      <c r="A23" s="22" t="inlineStr">
        <is>
          <t>PV of unlevered FCF</t>
        </is>
      </c>
      <c r="F23" s="34">
        <f>F20*F22</f>
        <v/>
      </c>
      <c r="G23" s="34">
        <f>G20*G22</f>
        <v/>
      </c>
      <c r="H23" s="34">
        <f>H20*H22</f>
        <v/>
      </c>
      <c r="I23" s="34">
        <f>I20*I22</f>
        <v/>
      </c>
      <c r="J23" s="34">
        <f>J20*J22</f>
        <v/>
      </c>
    </row>
    <row r="25">
      <c r="A25" s="15" t="inlineStr">
        <is>
          <t>Scenarios linkage summary (column K should all read OK)</t>
        </is>
      </c>
      <c r="K25" s="57">
        <f>IF(COUNTIF(K5:K20,"CHECK")=0,"ALL OK","REVIEW")</f>
        <v/>
      </c>
    </row>
    <row r="26">
      <c r="A26" s="58" t="inlineStr">
        <is>
          <t>VALUATION — GORDON GROWTH (PERPETUITY) METHOD</t>
        </is>
      </c>
      <c r="B26" s="13" t="n"/>
      <c r="C26" s="13" t="n"/>
    </row>
    <row r="27">
      <c r="A27" s="22" t="inlineStr">
        <is>
          <t>Sum of PV of explicit FCF (FY26–FY30)</t>
        </is>
      </c>
      <c r="E27" s="59">
        <f>SUM(F23:J23)</f>
        <v/>
      </c>
    </row>
    <row r="28" ht="28" customHeight="1">
      <c r="A28" s="16" t="inlineStr">
        <is>
          <t>Terminal growth rate (g)</t>
        </is>
      </c>
      <c r="B28" s="17" t="inlineStr">
        <is>
          <t>2.25% terminal g sits next to FRED GDPC1 Q2/Q2 real GDP ≈ 2.1% (24,269.613 / 23,770.976 − 1).</t>
        </is>
      </c>
      <c r="C28" s="18" t="inlineStr">
        <is>
          <t>FRED: Real GDP (GDPC1)</t>
        </is>
      </c>
      <c r="D28" s="19" t="inlineStr">
        <is>
          <t>Ctrl+F "Q2 2026" → 24,269.613 and "Q2 2025" → 23,770.976. YoY = 2.1%. Model terminal g 2.25%.</t>
        </is>
      </c>
      <c r="E28" s="50">
        <f>Scenarios!$G$10</f>
        <v/>
      </c>
    </row>
    <row r="29">
      <c r="A29" s="22" t="inlineStr">
        <is>
          <t>Terminal EBITDA (FY2030E EBIT + D&amp;A)</t>
        </is>
      </c>
      <c r="E29" s="34">
        <f>J9+J14</f>
        <v/>
      </c>
    </row>
    <row r="30">
      <c r="A30" s="16" t="inlineStr">
        <is>
          <t>Terminal value = FCF₅×(1+g)/(WACC−g)</t>
        </is>
      </c>
      <c r="E30" s="48">
        <f>J20*(1+Scenarios!$G$10)/(Scenarios!$G$9-Scenarios!$G$10)</f>
        <v/>
      </c>
    </row>
    <row r="31">
      <c r="A31" s="16" t="inlineStr">
        <is>
          <t xml:space="preserve">  Implied exit EV/EBITDA (Gordon Growth)</t>
        </is>
      </c>
      <c r="E31" s="60">
        <f>E30/E29</f>
        <v/>
      </c>
    </row>
    <row r="32">
      <c r="A32" s="22" t="inlineStr">
        <is>
          <t>PV of terminal value</t>
        </is>
      </c>
      <c r="E32" s="59">
        <f>E30/(1+Scenarios!$G$9)^J21</f>
        <v/>
      </c>
    </row>
    <row r="33">
      <c r="A33" s="22" t="inlineStr">
        <is>
          <t>Enterprise value</t>
        </is>
      </c>
      <c r="E33" s="34">
        <f>E27+E32</f>
        <v/>
      </c>
    </row>
    <row r="34" ht="28" customHeight="1">
      <c r="A34" s="16" t="inlineStr">
        <is>
          <t>Plus: cash &amp; equivalents (FY2025)</t>
        </is>
      </c>
      <c r="C34" s="61" t="inlineStr">
        <is>
          <t>10-K</t>
        </is>
      </c>
      <c r="D34" s="19" t="inlineStr">
        <is>
          <t>Ctrl+F "Cash and cash equivalents" → 1,807,202 ($000) FY2025</t>
        </is>
      </c>
      <c r="E34" s="47" t="n">
        <v>1807202</v>
      </c>
    </row>
    <row r="35" ht="28" customHeight="1">
      <c r="A35" s="16" t="inlineStr">
        <is>
          <t>Less: total debt</t>
        </is>
      </c>
      <c r="C35" s="61" t="inlineStr">
        <is>
          <t>10-K</t>
        </is>
      </c>
      <c r="D35" s="19" t="inlineStr">
        <is>
          <t>Ctrl+F "no borrowings were outstanding under this facility" → no funded term debt</t>
        </is>
      </c>
      <c r="E35" s="47" t="n">
        <v>0</v>
      </c>
    </row>
    <row r="36">
      <c r="A36" s="22" t="inlineStr">
        <is>
          <t>Equity value</t>
        </is>
      </c>
      <c r="E36" s="34">
        <f>E33+E34+E35</f>
        <v/>
      </c>
    </row>
    <row r="37" ht="28" customHeight="1">
      <c r="A37" s="16" t="inlineStr">
        <is>
          <t>Diluted shares outstanding (000)</t>
        </is>
      </c>
      <c r="C37" s="61" t="inlineStr">
        <is>
          <t>10-K</t>
        </is>
      </c>
      <c r="D37" s="19" t="inlineStr">
        <is>
          <t>Ctrl+F "Diluted weighted-average number of shares outstanding" → 119,068 (000)</t>
        </is>
      </c>
      <c r="E37" s="47" t="n">
        <v>111380</v>
      </c>
    </row>
    <row r="38">
      <c r="A38" s="22" t="inlineStr">
        <is>
          <t>Implied value per share</t>
        </is>
      </c>
      <c r="E38" s="62">
        <f>E36/E37</f>
        <v/>
      </c>
      <c r="K38" s="52">
        <f>IF(ABS(E38-Scenarios!$G$59)&lt;0.05,"OK","CHECK")</f>
        <v/>
      </c>
    </row>
    <row r="39" ht="28" customHeight="1">
      <c r="A39" s="16" t="inlineStr">
        <is>
          <t>Current share price</t>
        </is>
      </c>
      <c r="C39" s="61" t="inlineStr">
        <is>
          <t>NASDAQ</t>
        </is>
      </c>
      <c r="D39" s="19" t="inlineStr">
        <is>
          <t>Ctrl+F "LULU" → Last Sale or Previous Close on NASDAQ quote page</t>
        </is>
      </c>
      <c r="E39" s="63" t="n">
        <v>100</v>
      </c>
    </row>
    <row r="40">
      <c r="A40" s="22" t="inlineStr">
        <is>
          <t>Implied upside / (downside)</t>
        </is>
      </c>
      <c r="E40" s="64">
        <f>E38/E39-1</f>
        <v/>
      </c>
    </row>
    <row r="41">
      <c r="A41" s="16" t="inlineStr">
        <is>
          <t xml:space="preserve">  memo: % of EV from terminal value</t>
        </is>
      </c>
      <c r="E41" s="50">
        <f>E32/E33</f>
        <v/>
      </c>
    </row>
    <row r="43">
      <c r="A43" s="58" t="inlineStr">
        <is>
          <t>CROSS-CHECK — EXIT MULTIPLE METHOD</t>
        </is>
      </c>
      <c r="B43" s="13" t="n"/>
      <c r="C43" s="13" t="n"/>
    </row>
    <row r="44">
      <c r="A44" s="15" t="inlineStr">
        <is>
          <t>Exit multiple selection (see Comps tab for peer build)</t>
        </is>
      </c>
    </row>
    <row r="45" ht="28" customHeight="1">
      <c r="A45" s="16" t="inlineStr">
        <is>
          <t>Selected exit EV/EBITDA multiple (FY2030E)</t>
        </is>
      </c>
      <c r="B45" s="17" t="inlineStr">
        <is>
          <t>8.0x FY2030E exit EV/EBITDA; mid-point of terminal football field (6.5–9.5x); ~1 turn above Gordon-implied ~7x.</t>
        </is>
      </c>
      <c r="C45" s="18" t="inlineStr">
        <is>
          <t>StockAnalysis: LULU EV/EBITDA</t>
        </is>
      </c>
      <c r="D45" s="19" t="inlineStr">
        <is>
          <t>Ctrl+F "EV / EBITDA" → LULU ~4.99x on page; model terminal exit 8.0x (assumption)</t>
        </is>
      </c>
      <c r="E45" s="65" t="n">
        <v>8</v>
      </c>
      <c r="M45" s="61" t="inlineStr">
        <is>
          <t>Comps: Exit Multiple Build</t>
        </is>
      </c>
    </row>
    <row r="46">
      <c r="A46" s="16" t="inlineStr">
        <is>
          <t>Terminal value = Terminal EBITDA × exit multiple</t>
        </is>
      </c>
      <c r="E46" s="48">
        <f>E29*E45</f>
        <v/>
      </c>
    </row>
    <row r="47">
      <c r="A47" s="16" t="inlineStr">
        <is>
          <t>PV of terminal value</t>
        </is>
      </c>
      <c r="E47" s="48">
        <f>E46/(1+Scenarios!$G$9)^J21</f>
        <v/>
      </c>
    </row>
    <row r="48">
      <c r="A48" s="22" t="inlineStr">
        <is>
          <t>Enterprise value (exit method)</t>
        </is>
      </c>
      <c r="E48" s="34">
        <f>E27+E47</f>
        <v/>
      </c>
    </row>
    <row r="49">
      <c r="A49" s="22" t="inlineStr">
        <is>
          <t>Implied value per share (exit method)</t>
        </is>
      </c>
      <c r="E49" s="66">
        <f>(E48+E34+E35)/E37</f>
        <v/>
      </c>
    </row>
    <row r="51">
      <c r="A51" s="58" t="inlineStr">
        <is>
          <t>TERMINAL VALUE RECONCILIATION (GORDON vs EXIT MULTIPLE)</t>
        </is>
      </c>
      <c r="B51" s="13" t="n"/>
      <c r="C51" s="13" t="n"/>
      <c r="D51" s="13" t="n"/>
    </row>
    <row r="52">
      <c r="A52" s="67" t="inlineStr"/>
      <c r="B52" s="68" t="inlineStr">
        <is>
          <t>Gordon Growth</t>
        </is>
      </c>
      <c r="C52" s="68" t="inlineStr">
        <is>
          <t>Exit Multiple</t>
        </is>
      </c>
      <c r="D52" s="68" t="inlineStr">
        <is>
          <t>Variance</t>
        </is>
      </c>
    </row>
    <row r="53">
      <c r="A53" s="22" t="inlineStr">
        <is>
          <t>Terminal value ($)</t>
        </is>
      </c>
      <c r="B53" s="59">
        <f>E30</f>
        <v/>
      </c>
      <c r="C53" s="59">
        <f>E46</f>
        <v/>
      </c>
      <c r="D53" s="59">
        <f>B53-C53</f>
        <v/>
      </c>
    </row>
    <row r="54">
      <c r="A54" s="22" t="inlineStr">
        <is>
          <t>Exit EV/EBITDA (implied vs selected)</t>
        </is>
      </c>
      <c r="B54" s="69">
        <f>E31</f>
        <v/>
      </c>
      <c r="C54" s="69">
        <f>E45</f>
        <v/>
      </c>
      <c r="D54" s="69">
        <f>B54-C54</f>
        <v/>
      </c>
    </row>
    <row r="55">
      <c r="A55" s="16" t="inlineStr">
        <is>
          <t>Terminal value variance (%)</t>
        </is>
      </c>
      <c r="B55" s="50" t="inlineStr"/>
      <c r="C55" s="50" t="inlineStr"/>
      <c r="D55" s="50">
        <f>(B53-C53)/B53</f>
        <v/>
      </c>
    </row>
    <row r="56">
      <c r="A56" s="22" t="inlineStr">
        <is>
          <t>Implied share price</t>
        </is>
      </c>
      <c r="B56" s="70">
        <f>E38</f>
        <v/>
      </c>
      <c r="C56" s="70">
        <f>E49</f>
        <v/>
      </c>
      <c r="D56" s="70">
        <f>B56-C56</f>
        <v/>
      </c>
    </row>
    <row r="57">
      <c r="A57" s="71" t="inlineStr">
        <is>
          <t>Sanity check: multiples within ±1.5 turns?</t>
        </is>
      </c>
      <c r="B57" s="72">
        <f>IF(ABS(D54)&lt;=1.5,"PASS","REVIEW")</f>
        <v/>
      </c>
      <c r="C57" s="73">
        <f>TEXT(D54,"0.0")&amp;"x spread vs 8.0x exit multiple"</f>
        <v/>
      </c>
      <c r="D57" s="39" t="inlineStr">
        <is>
          <t>Gordon implied should bracket exit assumption</t>
        </is>
      </c>
    </row>
    <row r="60">
      <c r="A60" s="58" t="inlineStr">
        <is>
          <t>SENSITIVITY — IMPLIED SHARE PRICE (WACC vs terminal growth)</t>
        </is>
      </c>
      <c r="B60" s="13" t="n"/>
      <c r="C60" s="13" t="n"/>
      <c r="D60" s="13" t="n"/>
      <c r="E60" s="13" t="n"/>
      <c r="F60" s="13" t="n"/>
      <c r="G60" s="13" t="n"/>
      <c r="H60" s="13" t="n"/>
    </row>
    <row r="61" ht="28" customHeight="1">
      <c r="A61" s="74" t="inlineStr">
        <is>
          <t>WACC \ g</t>
        </is>
      </c>
      <c r="B61" s="17" t="inlineStr">
        <is>
          <t>Terminal-g axis 1.5–3.0% brackets 2.25% base; bounded by long-run real GDP and inflation benchmarks.</t>
        </is>
      </c>
      <c r="C61" s="18" t="inlineStr">
        <is>
          <t>FRED: Real GDP (GDPC1)</t>
        </is>
      </c>
      <c r="D61" s="19" t="inlineStr">
        <is>
          <t>Ctrl+F "GDPC1" → bounds terminal-g sensitivity grid 1.5%–3.0%</t>
        </is>
      </c>
      <c r="F61" s="75" t="n">
        <v>0.015</v>
      </c>
      <c r="G61" s="75" t="n">
        <v>0.02</v>
      </c>
      <c r="H61" s="75" t="n">
        <v>0.0225</v>
      </c>
      <c r="I61" s="75" t="n">
        <v>0.025</v>
      </c>
      <c r="J61" s="75" t="n">
        <v>0.03</v>
      </c>
      <c r="L61" s="61" t="inlineStr">
        <is>
          <t>Scenarios: terminal g</t>
        </is>
      </c>
    </row>
    <row r="62" ht="28" customHeight="1">
      <c r="A62" s="75" t="n">
        <v>0.095</v>
      </c>
      <c r="C62" s="61" t="inlineStr">
        <is>
          <t>Damodaran: Historical Implied ERP</t>
        </is>
      </c>
      <c r="D62" s="19" t="inlineStr">
        <is>
          <t>Ctrl+F "4.23%" (2025 implied ERP). Sensitivity WACC axis brackets the 10.5% base.</t>
        </is>
      </c>
      <c r="F62" s="76">
        <f>(NPV(0.095,F20:J20)+(J20*(1+0.015)/(0.095-0.015))/(1+0.095)^5+E34+E35)/E37</f>
        <v/>
      </c>
      <c r="G62" s="76">
        <f>(NPV(0.095,F20:J20)+(J20*(1+0.02)/(0.095-0.02))/(1+0.095)^5+E34+E35)/E37</f>
        <v/>
      </c>
      <c r="H62" s="76">
        <f>(NPV(0.095,F20:J20)+(J20*(1+0.0225)/(0.095-0.0225))/(1+0.095)^5+E34+E35)/E37</f>
        <v/>
      </c>
      <c r="I62" s="76">
        <f>(NPV(0.095,F20:J20)+(J20*(1+0.025)/(0.095-0.025))/(1+0.095)^5+E34+E35)/E37</f>
        <v/>
      </c>
      <c r="J62" s="76">
        <f>(NPV(0.095,F20:J20)+(J20*(1+0.03)/(0.095-0.03))/(1+0.095)^5+E34+E35)/E37</f>
        <v/>
      </c>
      <c r="L62" s="61" t="inlineStr">
        <is>
          <t>WACC tab</t>
        </is>
      </c>
    </row>
    <row r="63" ht="28" customHeight="1">
      <c r="A63" s="75" t="n">
        <v>0.1</v>
      </c>
      <c r="D63" s="19" t="inlineStr">
        <is>
          <t>Ctrl+F "4.23%" (2025 implied ERP). Sensitivity WACC axis brackets the 10.5% base.</t>
        </is>
      </c>
      <c r="F63" s="76">
        <f>(NPV(0.1,F20:J20)+(J20*(1+0.015)/(0.1-0.015))/(1+0.1)^5+E34+E35)/E37</f>
        <v/>
      </c>
      <c r="G63" s="76">
        <f>(NPV(0.1,F20:J20)+(J20*(1+0.02)/(0.1-0.02))/(1+0.1)^5+E34+E35)/E37</f>
        <v/>
      </c>
      <c r="H63" s="76">
        <f>(NPV(0.1,F20:J20)+(J20*(1+0.0225)/(0.1-0.0225))/(1+0.1)^5+E34+E35)/E37</f>
        <v/>
      </c>
      <c r="I63" s="76">
        <f>(NPV(0.1,F20:J20)+(J20*(1+0.025)/(0.1-0.025))/(1+0.1)^5+E34+E35)/E37</f>
        <v/>
      </c>
      <c r="J63" s="76">
        <f>(NPV(0.1,F20:J20)+(J20*(1+0.03)/(0.1-0.03))/(1+0.1)^5+E34+E35)/E37</f>
        <v/>
      </c>
      <c r="L63" s="61" t="inlineStr">
        <is>
          <t>WACC tab</t>
        </is>
      </c>
    </row>
    <row r="64" ht="28" customHeight="1">
      <c r="A64" s="75" t="n">
        <v>0.105</v>
      </c>
      <c r="D64" s="19" t="inlineStr">
        <is>
          <t>Ctrl+F "4.23%" (2025 implied ERP). Sensitivity WACC axis brackets the 10.5% base.</t>
        </is>
      </c>
      <c r="F64" s="76">
        <f>(NPV(0.105,F20:J20)+(J20*(1+0.015)/(0.105-0.015))/(1+0.105)^5+E34+E35)/E37</f>
        <v/>
      </c>
      <c r="G64" s="76">
        <f>(NPV(0.105,F20:J20)+(J20*(1+0.02)/(0.105-0.02))/(1+0.105)^5+E34+E35)/E37</f>
        <v/>
      </c>
      <c r="H64" s="77">
        <f>(NPV(0.105,F20:J20)+(J20*(1+0.0225)/(0.105-0.0225))/(1+0.105)^5+E34+E35)/E37</f>
        <v/>
      </c>
      <c r="I64" s="76">
        <f>(NPV(0.105,F20:J20)+(J20*(1+0.025)/(0.105-0.025))/(1+0.105)^5+E34+E35)/E37</f>
        <v/>
      </c>
      <c r="J64" s="76">
        <f>(NPV(0.105,F20:J20)+(J20*(1+0.03)/(0.105-0.03))/(1+0.105)^5+E34+E35)/E37</f>
        <v/>
      </c>
      <c r="L64" s="61" t="inlineStr">
        <is>
          <t>WACC tab</t>
        </is>
      </c>
    </row>
    <row r="65" ht="28" customHeight="1">
      <c r="A65" s="75" t="n">
        <v>0.11</v>
      </c>
      <c r="D65" s="19" t="inlineStr">
        <is>
          <t>Ctrl+F "4.23%" (2025 implied ERP). Sensitivity WACC axis brackets the 10.5% base.</t>
        </is>
      </c>
      <c r="F65" s="76">
        <f>(NPV(0.11,F20:J20)+(J20*(1+0.015)/(0.11-0.015))/(1+0.11)^5+E34+E35)/E37</f>
        <v/>
      </c>
      <c r="G65" s="76">
        <f>(NPV(0.11,F20:J20)+(J20*(1+0.02)/(0.11-0.02))/(1+0.11)^5+E34+E35)/E37</f>
        <v/>
      </c>
      <c r="H65" s="76">
        <f>(NPV(0.11,F20:J20)+(J20*(1+0.0225)/(0.11-0.0225))/(1+0.11)^5+E34+E35)/E37</f>
        <v/>
      </c>
      <c r="I65" s="76">
        <f>(NPV(0.11,F20:J20)+(J20*(1+0.025)/(0.11-0.025))/(1+0.11)^5+E34+E35)/E37</f>
        <v/>
      </c>
      <c r="J65" s="76">
        <f>(NPV(0.11,F20:J20)+(J20*(1+0.03)/(0.11-0.03))/(1+0.11)^5+E34+E35)/E37</f>
        <v/>
      </c>
      <c r="L65" s="61" t="inlineStr">
        <is>
          <t>WACC tab</t>
        </is>
      </c>
    </row>
    <row r="66" ht="28" customHeight="1">
      <c r="A66" s="75" t="n">
        <v>0.115</v>
      </c>
      <c r="D66" s="19" t="inlineStr">
        <is>
          <t>Ctrl+F "4.23%" (2025 implied ERP). Sensitivity WACC axis brackets the 10.5% base.</t>
        </is>
      </c>
      <c r="F66" s="76">
        <f>(NPV(0.115,F20:J20)+(J20*(1+0.015)/(0.115-0.015))/(1+0.115)^5+E34+E35)/E37</f>
        <v/>
      </c>
      <c r="G66" s="76">
        <f>(NPV(0.115,F20:J20)+(J20*(1+0.02)/(0.115-0.02))/(1+0.115)^5+E34+E35)/E37</f>
        <v/>
      </c>
      <c r="H66" s="76">
        <f>(NPV(0.115,F20:J20)+(J20*(1+0.0225)/(0.115-0.0225))/(1+0.115)^5+E34+E35)/E37</f>
        <v/>
      </c>
      <c r="I66" s="76">
        <f>(NPV(0.115,F20:J20)+(J20*(1+0.025)/(0.115-0.025))/(1+0.115)^5+E34+E35)/E37</f>
        <v/>
      </c>
      <c r="J66" s="76">
        <f>(NPV(0.115,F20:J20)+(J20*(1+0.03)/(0.115-0.03))/(1+0.115)^5+E34+E35)/E37</f>
        <v/>
      </c>
      <c r="L66" s="61" t="inlineStr">
        <is>
          <t>WACC tab</t>
        </is>
      </c>
    </row>
    <row r="67" ht="28" customHeight="1">
      <c r="B67" s="17" t="inlineStr">
        <is>
          <t>Red WACC and g grid values bracket base case ±100bps discount rate and ±75bps terminal growth for sensitivity.</t>
        </is>
      </c>
      <c r="C67" s="18" t="inlineStr">
        <is>
          <t>Scenarios: WACC &amp; terminal g</t>
        </is>
      </c>
      <c r="D67" s="19" t="inlineStr">
        <is>
          <t>Scenarios tab → Ctrl+F "WACC" and "Terminal growth" rows (base-case inputs)</t>
        </is>
      </c>
      <c r="L67" s="61" t="inlineStr">
        <is>
          <t>FRED: Real GDP (GDPC1)</t>
        </is>
      </c>
      <c r="M67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28" r:id="rId12"/>
    <hyperlink xmlns:r="http://schemas.openxmlformats.org/officeDocument/2006/relationships" ref="C34" r:id="rId13"/>
    <hyperlink xmlns:r="http://schemas.openxmlformats.org/officeDocument/2006/relationships" ref="E34" r:id="rId14"/>
    <hyperlink xmlns:r="http://schemas.openxmlformats.org/officeDocument/2006/relationships" ref="C35" r:id="rId15"/>
    <hyperlink xmlns:r="http://schemas.openxmlformats.org/officeDocument/2006/relationships" ref="E35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9" r:id="rId19"/>
    <hyperlink xmlns:r="http://schemas.openxmlformats.org/officeDocument/2006/relationships" ref="E39" r:id="rId20"/>
    <hyperlink xmlns:r="http://schemas.openxmlformats.org/officeDocument/2006/relationships" ref="C45" r:id="rId21"/>
    <hyperlink ref="M45" location="'Comps'!A26"/>
    <hyperlink xmlns:r="http://schemas.openxmlformats.org/officeDocument/2006/relationships" ref="C61" r:id="rId22"/>
    <hyperlink ref="L61" location="'Scenarios'!G10"/>
    <hyperlink xmlns:r="http://schemas.openxmlformats.org/officeDocument/2006/relationships" ref="C62" r:id="rId23"/>
    <hyperlink ref="L62" location="'WACC'!E16"/>
    <hyperlink ref="L63" location="'WACC'!E16"/>
    <hyperlink ref="L64" location="'WACC'!E16"/>
    <hyperlink ref="L65" location="'WACC'!E16"/>
    <hyperlink ref="L66" location="'WACC'!E16"/>
    <hyperlink ref="C67" location="'Scenarios'!G9"/>
    <hyperlink xmlns:r="http://schemas.openxmlformats.org/officeDocument/2006/relationships" ref="L67" r:id="rId2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61" t="inlineStr">
        <is>
          <t>10-K</t>
        </is>
      </c>
      <c r="D4" s="19" t="inlineStr">
        <is>
          <t>Ctrl+F "Net revenue" → 11,102,600 ($000) in FY2025 column</t>
        </is>
      </c>
      <c r="E4" s="47" t="n">
        <v>11102600</v>
      </c>
    </row>
    <row r="5">
      <c r="A5" s="16" t="inlineStr">
        <is>
          <t>FY2025A EBITDA (EBIT + D&amp;A)</t>
        </is>
      </c>
      <c r="E5" s="48">
        <f>2210615+496228</f>
        <v/>
      </c>
    </row>
    <row r="6">
      <c r="A6" s="16" t="inlineStr">
        <is>
          <t>FY2030E terminal EBITDA (DCF EBIT + D&amp;A)</t>
        </is>
      </c>
      <c r="C6" s="61" t="inlineStr">
        <is>
          <t>↳ DCF base case</t>
        </is>
      </c>
      <c r="E6" s="48">
        <f>DCF!E29</f>
        <v/>
      </c>
    </row>
    <row r="7" ht="28" customHeight="1">
      <c r="A7" s="16" t="inlineStr">
        <is>
          <t>FY2026E diluted EPS (guidance midpoint)</t>
        </is>
      </c>
      <c r="C7" s="61" t="inlineStr">
        <is>
          <t>Release</t>
        </is>
      </c>
      <c r="D7" s="19" t="inlineStr">
        <is>
          <t>Ctrl+F "$9.48 to $9.73" → FY2026 diluted EPS guidance; model midpoint $9.61</t>
        </is>
      </c>
      <c r="E7" s="63" t="n">
        <v>9.609999999999999</v>
      </c>
    </row>
    <row r="8" ht="28" customHeight="1">
      <c r="A8" s="16" t="inlineStr">
        <is>
          <t>Cash &amp; equivalents</t>
        </is>
      </c>
      <c r="C8" s="61" t="inlineStr">
        <is>
          <t>10-K</t>
        </is>
      </c>
      <c r="D8" s="19" t="inlineStr">
        <is>
          <t>Ctrl+F "Cash and cash equivalents" → 1,807,202 ($000) FY2025</t>
        </is>
      </c>
      <c r="E8" s="47" t="n">
        <v>1807202</v>
      </c>
    </row>
    <row r="9" ht="28" customHeight="1">
      <c r="A9" s="16" t="inlineStr">
        <is>
          <t>Diluted shares (000)</t>
        </is>
      </c>
      <c r="C9" s="61" t="inlineStr">
        <is>
          <t>10-K</t>
        </is>
      </c>
      <c r="D9" s="19" t="inlineStr">
        <is>
          <t>Ctrl+F "Diluted weighted-average number of shares outstanding" → 119,068 (000)</t>
        </is>
      </c>
      <c r="E9" s="47" t="n">
        <v>111380</v>
      </c>
    </row>
    <row r="10" ht="28" customHeight="1">
      <c r="A10" s="16" t="inlineStr">
        <is>
          <t>Current share price</t>
        </is>
      </c>
      <c r="C10" s="61" t="inlineStr">
        <is>
          <t>NASDAQ</t>
        </is>
      </c>
      <c r="D10" s="19" t="inlineStr">
        <is>
          <t>Ctrl+F "LULU" → Last Sale or Previous Close on NASDAQ quote page</t>
        </is>
      </c>
      <c r="E10" s="63" t="n">
        <v>100</v>
      </c>
    </row>
    <row r="11">
      <c r="A11" s="73" t="inlineStr">
        <is>
          <t xml:space="preserve">  memo: current EV / EBITDA</t>
        </is>
      </c>
      <c r="E11" s="78">
        <f>(E10*E9-E8)/E5</f>
        <v/>
      </c>
    </row>
    <row r="12">
      <c r="A12" s="73" t="inlineStr">
        <is>
          <t xml:space="preserve">  memo: current P / E (FY2026E)</t>
        </is>
      </c>
      <c r="E12" s="78">
        <f>E10/E7</f>
        <v/>
      </c>
    </row>
    <row r="14">
      <c r="A14" s="14" t="inlineStr">
        <is>
          <t>EXIT MULTIPLE BUILD — FY2030E TERMINAL YEAR</t>
        </is>
      </c>
    </row>
    <row r="15">
      <c r="A15" s="73" t="inlineStr">
        <is>
          <t>Peer / reference EV/EBITDA (forward / illustrative)</t>
        </is>
      </c>
    </row>
    <row r="16">
      <c r="A16" s="79" t="inlineStr">
        <is>
          <t>Company</t>
        </is>
      </c>
      <c r="B16" s="79" t="inlineStr">
        <is>
          <t>Justification</t>
        </is>
      </c>
      <c r="C16" s="79" t="inlineStr">
        <is>
          <t>Source (click)</t>
        </is>
      </c>
      <c r="D16" s="79" t="inlineStr">
        <is>
          <t>Ctrl+F (prove number)</t>
        </is>
      </c>
      <c r="E16" s="80" t="inlineStr">
        <is>
          <t>EV/EBITDA</t>
        </is>
      </c>
    </row>
    <row r="17" ht="28" customHeight="1">
      <c r="A17" s="16" t="inlineStr">
        <is>
          <t>lululemon (LULU) — current</t>
        </is>
      </c>
      <c r="B17" s="39" t="inlineStr">
        <is>
          <t>Distressed trough multiple on FY2025A EBITDA</t>
        </is>
      </c>
      <c r="C17" s="61" t="inlineStr">
        <is>
          <t>LULU FY2025 10-K</t>
        </is>
      </c>
      <c r="D17" s="19" t="inlineStr">
        <is>
          <t>Ctrl+F "19.9%" → FY25 OM (EBIT $2,210,615). Ctrl+F "496,228" → Depreciation and amortization. Do not search the words Income from operations (17 hits).</t>
        </is>
      </c>
      <c r="E17" s="81">
        <f>(E10*E9-E8)/E5</f>
        <v/>
      </c>
    </row>
    <row r="18" ht="28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82" t="n">
        <v>12</v>
      </c>
    </row>
    <row r="19" ht="28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82" t="n">
        <v>8</v>
      </c>
    </row>
    <row r="20" ht="28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82" t="n">
        <v>14</v>
      </c>
    </row>
    <row r="21" ht="28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82" t="n">
        <v>9.300000000000001</v>
      </c>
    </row>
    <row r="22" ht="28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82" t="n">
        <v>10.7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60">
        <f>DCF!E31</f>
        <v/>
      </c>
    </row>
    <row r="26">
      <c r="A26" s="71" t="inlineStr">
        <is>
          <t>Selected exit multiple (base case)</t>
        </is>
      </c>
      <c r="E26" s="69">
        <f>DCF!E45</f>
        <v/>
      </c>
    </row>
    <row r="27">
      <c r="A27" s="16" t="inlineStr">
        <is>
          <t>Spread (selected − Gordon implied)</t>
        </is>
      </c>
      <c r="E27" s="60">
        <f>E26-E25</f>
        <v/>
      </c>
    </row>
    <row r="28">
      <c r="A28" s="71" t="inlineStr">
        <is>
          <t>Rationale for 8.0x</t>
        </is>
      </c>
    </row>
    <row r="29">
      <c r="A29" s="31" t="inlineStr">
        <is>
          <t>•  Mid-point of terminal football field (6.5–9.5x on FY2030E EBITDA) — 8.0x sits between bear and bull exit</t>
        </is>
      </c>
    </row>
    <row r="30">
      <c r="A30" s="31" t="inlineStr">
        <is>
          <t>•  Above Gordon-implied exit (~7x) — ~1 turn buffer vs perpetuity math on terminal FCF</t>
        </is>
      </c>
    </row>
    <row r="31">
      <c r="A31" s="31" t="inlineStr">
        <is>
          <t>•  Below premium-growth peers (ONON ~25x, DECK ~15x) — reflects Americas maturity at terminal</t>
        </is>
      </c>
    </row>
    <row r="32">
      <c r="A32" s="31" t="inlineStr">
        <is>
          <t>•  Above current LULU (~3.5x on FY2025A) — assumes partial recovery, not full re-rating to historical peaks</t>
        </is>
      </c>
    </row>
    <row r="33">
      <c r="A33" s="31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9" t="inlineStr">
        <is>
          <t>Method</t>
        </is>
      </c>
      <c r="B36" s="79" t="inlineStr">
        <is>
          <t>Justification</t>
        </is>
      </c>
      <c r="C36" s="79" t="inlineStr">
        <is>
          <t>Source</t>
        </is>
      </c>
      <c r="D36" s="79" t="inlineStr">
        <is>
          <t>Ctrl+F</t>
        </is>
      </c>
      <c r="E36" s="80" t="inlineStr">
        <is>
          <t>Low mult.</t>
        </is>
      </c>
      <c r="F36" s="80" t="inlineStr">
        <is>
          <t>High mult.</t>
        </is>
      </c>
      <c r="G36" s="80" t="inlineStr">
        <is>
          <t>Implied px (low)</t>
        </is>
      </c>
      <c r="H36" s="80" t="inlineStr">
        <is>
          <t>Implied px (high)</t>
        </is>
      </c>
    </row>
    <row r="37" ht="42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3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82" t="n">
        <v>6.5</v>
      </c>
      <c r="F37" s="82" t="n">
        <v>9.5</v>
      </c>
      <c r="G37" s="84">
        <f>(E6*E37+E8)/E9</f>
        <v/>
      </c>
      <c r="H37" s="84">
        <f>(E6*F37+E8)/E9</f>
        <v/>
      </c>
    </row>
    <row r="38" ht="28" customHeight="1">
      <c r="A38" s="71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5">
        <f>DCF!E45</f>
        <v/>
      </c>
      <c r="G38" s="86">
        <f>(E6*E38+E8)/E9</f>
        <v/>
      </c>
    </row>
    <row r="39" ht="42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3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82" t="n">
        <v>10</v>
      </c>
      <c r="F39" s="82" t="n">
        <v>18</v>
      </c>
      <c r="G39" s="84">
        <f>E7*E39</f>
        <v/>
      </c>
      <c r="H39" s="84">
        <f>E7*F39</f>
        <v/>
      </c>
    </row>
    <row r="40">
      <c r="A40" s="16" t="inlineStr">
        <is>
          <t>DCF (bear – bull)</t>
        </is>
      </c>
      <c r="E40" s="87" t="inlineStr">
        <is>
          <t>—</t>
        </is>
      </c>
      <c r="F40" s="87" t="inlineStr">
        <is>
          <t>—</t>
        </is>
      </c>
      <c r="G40" s="84">
        <f>Scenarios!F59</f>
        <v/>
      </c>
      <c r="H40" s="84">
        <f>Scenarios!H59</f>
        <v/>
      </c>
    </row>
    <row r="42" ht="28" customHeight="1">
      <c r="A42" s="88" t="inlineStr">
        <is>
          <t>Current price</t>
        </is>
      </c>
      <c r="C42" s="61" t="inlineStr">
        <is>
          <t>NASDAQ</t>
        </is>
      </c>
      <c r="D42" s="19" t="inlineStr">
        <is>
          <t>Ctrl+F "LULU" → Last Sale or Previous Close on NASDAQ quote page</t>
        </is>
      </c>
      <c r="E42" s="89" t="n">
        <v>100</v>
      </c>
    </row>
    <row r="43">
      <c r="A43" s="39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29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5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2026-09-06T21:54:27Z</dcterms:created>
  <dcterms:modified xmlns:dcterms="http://purl.org/dc/terms/" xmlns:xsi="http://www.w3.org/2001/XMLSchema-instance" xsi:type="dcterms:W3CDTF">2026-09-06T21:54:27Z</dcterms:modified>
</cp:coreProperties>
</file>
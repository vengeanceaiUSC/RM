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WACC" sheetId="2" state="visible" r:id="rId4"/>
    <sheet name="DCF" sheetId="3" state="visible" r:id="rId5"/>
    <sheet name="Scenarios" sheetId="4" state="visible" r:id="rId6"/>
    <sheet name="Comp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<sst xmlns="http://schemas.openxmlformats.org/spreadsheetml/2006/main" count="134" uniqueCount="129">
  <si>
    <t xml:space="preserve">GLOBAL INVESTMENT SOCIETY  |  INVESTMENT RESEARCH DIVISION</t>
  </si>
  <si>
    <t xml:space="preserve">lululemon athletica inc. (NASDAQ: LULU)</t>
  </si>
  <si>
    <t xml:space="preserve">Discounted Cash Flow Valuation — Unlevered Free Cash Flow</t>
  </si>
  <si>
    <t xml:space="preserve">Recommendation:  LONG / OVERWEIGHT</t>
  </si>
  <si>
    <t xml:space="preserve">FONT / COLOR CONVENTION</t>
  </si>
  <si>
    <t xml:space="preserve">Blue font  =  figures reported by the company (release, filing, or call)</t>
  </si>
  <si>
    <t xml:space="preserve">Black font  =  calculations / formulas</t>
  </si>
  <si>
    <t xml:space="preserve">Red font  =  analyst assumptions / inputs</t>
  </si>
  <si>
    <t xml:space="preserve">TABS</t>
  </si>
  <si>
    <t xml:space="preserve">WACC  •  DCF (base case + sensitivity)  •  Scenarios  •  Comps / Football Field</t>
  </si>
  <si>
    <t xml:space="preserve">SOURCES</t>
  </si>
  <si>
    <t xml:space="preserve">SEC EDGAR XBRL company facts, CIK 0001397187 (Form 10-K, FY2025 ended Feb 1, 2026).</t>
  </si>
  <si>
    <t xml:space="preserve">Market data &amp; Q2 FY2026 results per company release dated Sep 3, 2026.</t>
  </si>
  <si>
    <t xml:space="preserve">Built from scratch for the GIS IR selection assignment.</t>
  </si>
  <si>
    <t xml:space="preserve">WEIGHTED AVERAGE COST OF CAPITAL</t>
  </si>
  <si>
    <t xml:space="preserve">Cost of equity (CAPM)</t>
  </si>
  <si>
    <t xml:space="preserve">Risk-free rate (10-yr UST)</t>
  </si>
  <si>
    <t xml:space="preserve">analyst input</t>
  </si>
  <si>
    <t xml:space="preserve">Equity risk premium</t>
  </si>
  <si>
    <t xml:space="preserve">Levered beta</t>
  </si>
  <si>
    <t xml:space="preserve">~0.86 market beta; 0.95 used for near-term uncertainty</t>
  </si>
  <si>
    <t xml:space="preserve">Cost of equity = rf + β × ERP</t>
  </si>
  <si>
    <t xml:space="preserve">Cost of debt</t>
  </si>
  <si>
    <t xml:space="preserve">Pre-tax cost of debt</t>
  </si>
  <si>
    <t xml:space="preserve">illustrative; LULU has no funded debt</t>
  </si>
  <si>
    <t xml:space="preserve">Tax rate</t>
  </si>
  <si>
    <t xml:space="preserve">normalized marginal rate</t>
  </si>
  <si>
    <t xml:space="preserve">After-tax cost of debt</t>
  </si>
  <si>
    <t xml:space="preserve">Capital structure (market values)</t>
  </si>
  <si>
    <t xml:space="preserve">Equity weight</t>
  </si>
  <si>
    <t xml:space="preserve">net-cash balance sheet → ~100% equity</t>
  </si>
  <si>
    <t xml:space="preserve">Debt weight</t>
  </si>
  <si>
    <t xml:space="preserve">WACC</t>
  </si>
  <si>
    <t xml:space="preserve">DISCOUNTED CASH FLOW — BASE CASE  (US$ thousands)</t>
  </si>
  <si>
    <t xml:space="preserve">FY2025A</t>
  </si>
  <si>
    <t xml:space="preserve">FY2026E</t>
  </si>
  <si>
    <t xml:space="preserve">FY2027E</t>
  </si>
  <si>
    <t xml:space="preserve">FY2028E</t>
  </si>
  <si>
    <t xml:space="preserve">FY2029E</t>
  </si>
  <si>
    <t xml:space="preserve">FY2030E</t>
  </si>
  <si>
    <t xml:space="preserve">Revenue growth %</t>
  </si>
  <si>
    <t xml:space="preserve">Net revenue</t>
  </si>
  <si>
    <t xml:space="preserve">EBIT (operating) margin %</t>
  </si>
  <si>
    <t xml:space="preserve">EBIT</t>
  </si>
  <si>
    <t xml:space="preserve">Less: cash taxes on EBIT</t>
  </si>
  <si>
    <t xml:space="preserve">NOPAT</t>
  </si>
  <si>
    <t xml:space="preserve">  D&amp;A % of revenue</t>
  </si>
  <si>
    <t xml:space="preserve">Plus: depreciation &amp; amortization</t>
  </si>
  <si>
    <t xml:space="preserve">  Capex % of revenue</t>
  </si>
  <si>
    <t xml:space="preserve">Less: capital expenditures</t>
  </si>
  <si>
    <t xml:space="preserve">  NWC % of revenue</t>
  </si>
  <si>
    <t xml:space="preserve">Less: increase in net working capital</t>
  </si>
  <si>
    <t xml:space="preserve">Unlevered free cash flow</t>
  </si>
  <si>
    <t xml:space="preserve">Discount period (years)</t>
  </si>
  <si>
    <t xml:space="preserve">Discount factor @ WACC</t>
  </si>
  <si>
    <t xml:space="preserve">PV of unlevered FCF</t>
  </si>
  <si>
    <t xml:space="preserve">VALUATION — GORDON GROWTH (PERPETUITY) METHOD</t>
  </si>
  <si>
    <t xml:space="preserve">Sum of PV of explicit FCF (FY26–FY30)</t>
  </si>
  <si>
    <t xml:space="preserve">Terminal growth rate (g)</t>
  </si>
  <si>
    <t xml:space="preserve">Terminal value = FCF₅×(1+g)/(WACC−g)</t>
  </si>
  <si>
    <t xml:space="preserve">PV of terminal value</t>
  </si>
  <si>
    <t xml:space="preserve">Enterprise value</t>
  </si>
  <si>
    <t xml:space="preserve">Plus: cash &amp; equivalents (FY2025)</t>
  </si>
  <si>
    <t xml:space="preserve">Less: total debt</t>
  </si>
  <si>
    <t xml:space="preserve">Equity value</t>
  </si>
  <si>
    <t xml:space="preserve">Diluted shares outstanding (000)</t>
  </si>
  <si>
    <t xml:space="preserve">Implied value per share</t>
  </si>
  <si>
    <t xml:space="preserve">Current share price</t>
  </si>
  <si>
    <t xml:space="preserve">Implied upside / (downside)</t>
  </si>
  <si>
    <t xml:space="preserve">  memo: % of EV from terminal value</t>
  </si>
  <si>
    <t xml:space="preserve">CROSS-CHECK — EXIT MULTIPLE METHOD</t>
  </si>
  <si>
    <t xml:space="preserve">Terminal EBITDA (FY2030E EBIT + D&amp;A)</t>
  </si>
  <si>
    <t xml:space="preserve">Exit EV/EBITDA multiple</t>
  </si>
  <si>
    <t xml:space="preserve">Terminal value (exit multiple)</t>
  </si>
  <si>
    <t xml:space="preserve">Enterprise value (exit method)</t>
  </si>
  <si>
    <t xml:space="preserve">Implied value per share (exit method)</t>
  </si>
  <si>
    <t xml:space="preserve">SENSITIVITY — IMPLIED SHARE PRICE (WACC vs terminal growth)</t>
  </si>
  <si>
    <t xml:space="preserve">WACC \ g</t>
  </si>
  <si>
    <t xml:space="preserve">SCENARIO ANALYSIS</t>
  </si>
  <si>
    <t xml:space="preserve">Bear</t>
  </si>
  <si>
    <t xml:space="preserve">Base</t>
  </si>
  <si>
    <t xml:space="preserve">Bull</t>
  </si>
  <si>
    <t xml:space="preserve">Key assumptions (5-yr forecast)</t>
  </si>
  <si>
    <t xml:space="preserve">FY2026E revenue growth</t>
  </si>
  <si>
    <t xml:space="preserve">FY2028–FY2030E revenue growth (avg)</t>
  </si>
  <si>
    <t xml:space="preserve">FY2026E EBIT margin</t>
  </si>
  <si>
    <t xml:space="preserve">Terminal (FY2030E) EBIT margin</t>
  </si>
  <si>
    <t xml:space="preserve">Terminal growth</t>
  </si>
  <si>
    <t xml:space="preserve">Illustrative unlevered FCF &amp; valuation</t>
  </si>
  <si>
    <t xml:space="preserve">  Revenue – year 1</t>
  </si>
  <si>
    <t xml:space="preserve">  Revenue – year 2</t>
  </si>
  <si>
    <t xml:space="preserve">  Revenue – year 3</t>
  </si>
  <si>
    <t xml:space="preserve">  Revenue – year 4</t>
  </si>
  <si>
    <t xml:space="preserve">  Revenue – year 5</t>
  </si>
  <si>
    <t xml:space="preserve">  EBIT margin – year 1</t>
  </si>
  <si>
    <t xml:space="preserve">  EBIT margin – year 2</t>
  </si>
  <si>
    <t xml:space="preserve">  EBIT margin – year 3</t>
  </si>
  <si>
    <t xml:space="preserve">  EBIT margin – year 4</t>
  </si>
  <si>
    <t xml:space="preserve">  EBIT margin – year 5</t>
  </si>
  <si>
    <t xml:space="preserve">  Unlevered FCF – year 1</t>
  </si>
  <si>
    <t xml:space="preserve">  Unlevered FCF – year 2</t>
  </si>
  <si>
    <t xml:space="preserve">  Unlevered FCF – year 3</t>
  </si>
  <si>
    <t xml:space="preserve">  Unlevered FCF – year 4</t>
  </si>
  <si>
    <t xml:space="preserve">  Unlevered FCF – year 5</t>
  </si>
  <si>
    <t xml:space="preserve">Enterprise value (DCF)</t>
  </si>
  <si>
    <t xml:space="preserve">Implied share price</t>
  </si>
  <si>
    <t xml:space="preserve">Upside / (downside) vs current</t>
  </si>
  <si>
    <t xml:space="preserve">Current price $100.00; cash $1,807,202 k; net debt $0 (net-cash balance sheet).</t>
  </si>
  <si>
    <t xml:space="preserve">RELATIVE VALUATION — IMPLIED PRICE RANGES (FOOTBALL FIELD)</t>
  </si>
  <si>
    <t xml:space="preserve">LULU operating metrics (FY2025A / FY2026E)</t>
  </si>
  <si>
    <t xml:space="preserve">FY2025A revenue</t>
  </si>
  <si>
    <t xml:space="preserve">FY2025A EBITDA (EBIT + D&amp;A)</t>
  </si>
  <si>
    <t xml:space="preserve">FY2026E diluted EPS (guidance midpoint)</t>
  </si>
  <si>
    <t xml:space="preserve">Cash &amp; equivalents</t>
  </si>
  <si>
    <t xml:space="preserve">Diluted shares (000)</t>
  </si>
  <si>
    <t xml:space="preserve">  memo: current EV / EBITDA</t>
  </si>
  <si>
    <t xml:space="preserve">  memo: current P / E (FY2026E)</t>
  </si>
  <si>
    <t xml:space="preserve">Methodology / multiple ranges</t>
  </si>
  <si>
    <t xml:space="preserve">Method</t>
  </si>
  <si>
    <t xml:space="preserve">Low mult.</t>
  </si>
  <si>
    <t xml:space="preserve">High mult.</t>
  </si>
  <si>
    <t xml:space="preserve">Implied px (low)</t>
  </si>
  <si>
    <t xml:space="preserve">Implied px (high)</t>
  </si>
  <si>
    <t xml:space="preserve">EV / EBITDA (FY2025A)</t>
  </si>
  <si>
    <t xml:space="preserve">P / E (FY2026E EPS)</t>
  </si>
  <si>
    <t xml:space="preserve">DCF (bear – bull)</t>
  </si>
  <si>
    <t xml:space="preserve">—</t>
  </si>
  <si>
    <t xml:space="preserve">Current price</t>
  </si>
  <si>
    <t xml:space="preserve">Note: peer set includes NKE, DECK, ONON, adidas, VFC; multiples are analyst ranges (red).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</si>
</sst>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"/>
    <numFmt numFmtId="166" formatCode="0.00"/>
    <numFmt numFmtId="167" formatCode="#,##0;\(#,##0\)"/>
    <numFmt numFmtId="168" formatCode="0"/>
    <numFmt numFmtId="169" formatCode="0.000"/>
    <numFmt numFmtId="170" formatCode="\$#,##0.00"/>
    <numFmt numFmtId="171" formatCode="0.0\x"/>
  </numFmts>
  <fonts count="3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Garamond"/>
      <family val="0"/>
      <charset val="1"/>
    </font>
    <font>
      <b val="true"/>
      <sz val="20"/>
      <color rgb="FF1F2A44"/>
      <name val="Garamond"/>
      <family val="0"/>
      <charset val="1"/>
    </font>
    <font>
      <b val="true"/>
      <sz val="13"/>
      <color rgb="FFC8102E"/>
      <name val="Garamond"/>
      <family val="0"/>
      <charset val="1"/>
    </font>
    <font>
      <b val="true"/>
      <sz val="14"/>
      <color rgb="FF006100"/>
      <name val="Garamond"/>
      <family val="0"/>
      <charset val="1"/>
    </font>
    <font>
      <b val="true"/>
      <sz val="12"/>
      <color rgb="FF1F2A44"/>
      <name val="Garamond"/>
      <family val="0"/>
      <charset val="1"/>
    </font>
    <font>
      <b val="true"/>
      <sz val="11"/>
      <color rgb="FF0000CC"/>
      <name val="Garamond"/>
      <family val="0"/>
      <charset val="1"/>
    </font>
    <font>
      <b val="true"/>
      <sz val="11"/>
      <color rgb="FF000000"/>
      <name val="Garamond"/>
      <family val="0"/>
      <charset val="1"/>
    </font>
    <font>
      <b val="true"/>
      <sz val="11"/>
      <color rgb="FFC00000"/>
      <name val="Garamond"/>
      <family val="0"/>
      <charset val="1"/>
    </font>
    <font>
      <sz val="10"/>
      <color rgb="FF000000"/>
      <name val="Garamond"/>
      <family val="0"/>
      <charset val="1"/>
    </font>
    <font>
      <i val="true"/>
      <sz val="9"/>
      <color rgb="FF000000"/>
      <name val="Garamond"/>
      <family val="0"/>
      <charset val="1"/>
    </font>
    <font>
      <b val="true"/>
      <sz val="12"/>
      <color rgb="FFFFFFFF"/>
      <name val="Garamond"/>
      <family val="0"/>
      <charset val="1"/>
    </font>
    <font>
      <b val="true"/>
      <sz val="10"/>
      <color rgb="FFC8102E"/>
      <name val="Garamond"/>
      <family val="0"/>
      <charset val="1"/>
    </font>
    <font>
      <sz val="10"/>
      <color rgb="FFC00000"/>
      <name val="Garamond"/>
      <family val="0"/>
      <charset val="1"/>
    </font>
    <font>
      <i val="true"/>
      <sz val="8"/>
      <color rgb="FF000000"/>
      <name val="Garamond"/>
      <family val="0"/>
      <charset val="1"/>
    </font>
    <font>
      <b val="true"/>
      <sz val="10"/>
      <color rgb="FF1F2A44"/>
      <name val="Garamond"/>
      <family val="0"/>
      <charset val="1"/>
    </font>
    <font>
      <b val="true"/>
      <sz val="10"/>
      <color rgb="FF000000"/>
      <name val="Garamond"/>
      <family val="0"/>
      <charset val="1"/>
    </font>
    <font>
      <b val="true"/>
      <sz val="12"/>
      <color rgb="FF006100"/>
      <name val="Garamond"/>
      <family val="0"/>
      <charset val="1"/>
    </font>
    <font>
      <b val="true"/>
      <sz val="10"/>
      <color rgb="FF0000CC"/>
      <name val="Garamond"/>
      <family val="0"/>
      <charset val="1"/>
    </font>
    <font>
      <b val="true"/>
      <sz val="10"/>
      <color rgb="FFFFFFFF"/>
      <name val="Garamond"/>
      <family val="0"/>
      <charset val="1"/>
    </font>
    <font>
      <sz val="10"/>
      <color rgb="FF0000CC"/>
      <name val="Garamond"/>
      <family val="0"/>
      <charset val="1"/>
    </font>
    <font>
      <b val="true"/>
      <sz val="13"/>
      <color rgb="FF006100"/>
      <name val="Garamond"/>
      <family val="0"/>
      <charset val="1"/>
    </font>
    <font>
      <b val="true"/>
      <sz val="11"/>
      <color rgb="FF006100"/>
      <name val="Garamond"/>
      <family val="0"/>
      <charset val="1"/>
    </font>
    <font>
      <b val="true"/>
      <sz val="9"/>
      <color rgb="FF1F2A44"/>
      <name val="Garamond"/>
      <family val="0"/>
      <charset val="1"/>
    </font>
    <font>
      <b val="true"/>
      <sz val="9"/>
      <color rgb="FFC00000"/>
      <name val="Garamond"/>
      <family val="0"/>
      <charset val="1"/>
    </font>
    <font>
      <sz val="9"/>
      <color rgb="FF000000"/>
      <name val="Garamond"/>
      <family val="0"/>
      <charset val="1"/>
    </font>
    <font>
      <sz val="9"/>
      <color rgb="FF006100"/>
      <name val="Garamond"/>
      <family val="0"/>
      <charset val="1"/>
    </font>
    <font>
      <b val="true"/>
      <sz val="11"/>
      <color rgb="FFFFFFFF"/>
      <name val="Garamond"/>
      <family val="0"/>
      <charset val="1"/>
    </font>
    <font>
      <b val="true"/>
      <sz val="11"/>
      <color rgb="FF1F2A44"/>
      <name val="Garamond"/>
      <family val="0"/>
      <charset val="1"/>
    </font>
    <font>
      <b val="true"/>
      <sz val="12"/>
      <color rgb="FF000000"/>
      <name val="Garamond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2A44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C8102E"/>
        <bgColor rgb="FFC00000"/>
      </patternFill>
    </fill>
    <fill>
      <patternFill patternType="solid">
        <fgColor rgb="FFD9E1F2"/>
        <bgColor rgb="FFF2F2F2"/>
      </patternFill>
    </fill>
    <fill>
      <patternFill patternType="solid">
        <fgColor rgb="FF006100"/>
        <bgColor rgb="FF003300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BFBFBF"/>
      </top>
      <bottom/>
      <diagonal/>
    </border>
    <border diagonalUp="false" diagonalDown="false">
      <left/>
      <right/>
      <top style="thin"/>
      <bottom style="double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5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20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7" fontId="21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9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9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24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12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0" fontId="2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6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27" fillId="5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28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2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7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2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31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0" fontId="32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0" fontId="20" fillId="3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9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1" fontId="13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2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64" fontId="2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1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0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C8102E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25.5" hidden="false" customHeight="true" outlineLevel="0" collapsed="false">
      <c r="B2" s="1" t="s">
        <v>0</v>
      </c>
    </row>
    <row r="4" customFormat="false" ht="24.45" hidden="false" customHeight="false" outlineLevel="0" collapsed="false">
      <c r="B4" s="2" t="s">
        <v>1</v>
      </c>
    </row>
    <row r="5" customFormat="false" ht="16.15" hidden="false" customHeight="false" outlineLevel="0" collapsed="false">
      <c r="B5" s="3" t="s">
        <v>2</v>
      </c>
    </row>
    <row r="7" customFormat="false" ht="17.35" hidden="false" customHeight="false" outlineLevel="0" collapsed="false">
      <c r="B7" s="4" t="s">
        <v>3</v>
      </c>
    </row>
    <row r="9" customFormat="false" ht="15" hidden="false" customHeight="false" outlineLevel="0" collapsed="false">
      <c r="B9" s="5" t="s">
        <v>4</v>
      </c>
    </row>
    <row r="10" customFormat="false" ht="15" hidden="false" customHeight="false" outlineLevel="0" collapsed="false">
      <c r="B10" s="6" t="s">
        <v>5</v>
      </c>
    </row>
    <row r="11" customFormat="false" ht="15" hidden="false" customHeight="false" outlineLevel="0" collapsed="false">
      <c r="B11" s="7" t="s">
        <v>6</v>
      </c>
    </row>
    <row r="12" customFormat="false" ht="15" hidden="false" customHeight="false" outlineLevel="0" collapsed="false">
      <c r="B12" s="8" t="s">
        <v>7</v>
      </c>
    </row>
    <row r="14" customFormat="false" ht="15" hidden="false" customHeight="false" outlineLevel="0" collapsed="false">
      <c r="B14" s="5" t="s">
        <v>8</v>
      </c>
    </row>
    <row r="15" customFormat="false" ht="15" hidden="false" customHeight="false" outlineLevel="0" collapsed="false">
      <c r="B15" s="9" t="s">
        <v>9</v>
      </c>
    </row>
    <row r="17" customFormat="false" ht="15" hidden="false" customHeight="false" outlineLevel="0" collapsed="false">
      <c r="B17" s="5" t="s">
        <v>10</v>
      </c>
    </row>
    <row r="18" customFormat="false" ht="15" hidden="false" customHeight="false" outlineLevel="0" collapsed="false">
      <c r="B18" s="9" t="s">
        <v>11</v>
      </c>
    </row>
    <row r="19" customFormat="false" ht="15" hidden="false" customHeight="false" outlineLevel="0" collapsed="false">
      <c r="B19" s="9" t="s">
        <v>12</v>
      </c>
    </row>
    <row r="21" customFormat="false" ht="15" hidden="false" customHeight="false" outlineLevel="0" collapsed="false">
      <c r="B21" s="10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"/>
    <col collapsed="false" customWidth="true" hidden="false" outlineLevel="0" max="3" min="3" style="0" width="16"/>
    <col collapsed="false" customWidth="true" hidden="false" outlineLevel="0" max="4" min="4" style="0" width="40"/>
  </cols>
  <sheetData>
    <row r="1" customFormat="false" ht="15.75" hidden="false" customHeight="true" outlineLevel="0" collapsed="false">
      <c r="A1" s="11" t="s">
        <v>14</v>
      </c>
      <c r="B1" s="12"/>
      <c r="C1" s="12"/>
      <c r="D1" s="12"/>
    </row>
    <row r="2" customFormat="false" ht="15" hidden="false" customHeight="false" outlineLevel="0" collapsed="false">
      <c r="A2" s="13" t="s">
        <v>15</v>
      </c>
    </row>
    <row r="3" customFormat="false" ht="15" hidden="false" customHeight="false" outlineLevel="0" collapsed="false">
      <c r="A3" s="14" t="s">
        <v>16</v>
      </c>
      <c r="C3" s="15" t="n">
        <v>0.043</v>
      </c>
      <c r="D3" s="16" t="s">
        <v>17</v>
      </c>
    </row>
    <row r="4" customFormat="false" ht="15" hidden="false" customHeight="false" outlineLevel="0" collapsed="false">
      <c r="A4" s="14" t="s">
        <v>18</v>
      </c>
      <c r="C4" s="15" t="n">
        <v>0.06</v>
      </c>
      <c r="D4" s="16" t="s">
        <v>17</v>
      </c>
    </row>
    <row r="5" customFormat="false" ht="15" hidden="false" customHeight="false" outlineLevel="0" collapsed="false">
      <c r="A5" s="14" t="s">
        <v>19</v>
      </c>
      <c r="C5" s="17" t="n">
        <v>0.95</v>
      </c>
      <c r="D5" s="16" t="s">
        <v>20</v>
      </c>
    </row>
    <row r="6" customFormat="false" ht="15" hidden="false" customHeight="false" outlineLevel="0" collapsed="false">
      <c r="A6" s="18" t="s">
        <v>21</v>
      </c>
      <c r="C6" s="19" t="n">
        <f aca="false">C3+C5*C4</f>
        <v>0.1</v>
      </c>
    </row>
    <row r="8" customFormat="false" ht="15" hidden="false" customHeight="false" outlineLevel="0" collapsed="false">
      <c r="A8" s="13" t="s">
        <v>22</v>
      </c>
    </row>
    <row r="9" customFormat="false" ht="15" hidden="false" customHeight="false" outlineLevel="0" collapsed="false">
      <c r="A9" s="14" t="s">
        <v>23</v>
      </c>
      <c r="C9" s="15" t="n">
        <v>0.05</v>
      </c>
      <c r="D9" s="16" t="s">
        <v>24</v>
      </c>
    </row>
    <row r="10" customFormat="false" ht="15" hidden="false" customHeight="false" outlineLevel="0" collapsed="false">
      <c r="A10" s="14" t="s">
        <v>25</v>
      </c>
      <c r="C10" s="15" t="n">
        <v>0.27</v>
      </c>
      <c r="D10" s="16" t="s">
        <v>26</v>
      </c>
    </row>
    <row r="11" customFormat="false" ht="15" hidden="false" customHeight="false" outlineLevel="0" collapsed="false">
      <c r="A11" s="14" t="s">
        <v>27</v>
      </c>
      <c r="C11" s="20" t="n">
        <f aca="false">C9*(1-C10)</f>
        <v>0.0365</v>
      </c>
    </row>
    <row r="13" customFormat="false" ht="15" hidden="false" customHeight="false" outlineLevel="0" collapsed="false">
      <c r="A13" s="13" t="s">
        <v>28</v>
      </c>
    </row>
    <row r="14" customFormat="false" ht="15" hidden="false" customHeight="false" outlineLevel="0" collapsed="false">
      <c r="A14" s="14" t="s">
        <v>29</v>
      </c>
      <c r="C14" s="15" t="n">
        <v>1</v>
      </c>
      <c r="D14" s="16" t="s">
        <v>30</v>
      </c>
    </row>
    <row r="15" customFormat="false" ht="15" hidden="false" customHeight="false" outlineLevel="0" collapsed="false">
      <c r="A15" s="14" t="s">
        <v>31</v>
      </c>
      <c r="C15" s="15" t="n">
        <v>0</v>
      </c>
    </row>
    <row r="16" customFormat="false" ht="15" hidden="false" customHeight="false" outlineLevel="0" collapsed="false">
      <c r="A16" s="18" t="s">
        <v>32</v>
      </c>
      <c r="C16" s="21" t="n">
        <f aca="false">C14*C6+C15*C11</f>
        <v>0.1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2" min="2" style="0" width="2"/>
    <col collapsed="false" customWidth="true" hidden="false" outlineLevel="0" max="8" min="3" style="0" width="13"/>
  </cols>
  <sheetData>
    <row r="1" customFormat="false" ht="15.75" hidden="false" customHeight="true" outlineLevel="0" collapsed="false">
      <c r="A1" s="11" t="s">
        <v>33</v>
      </c>
      <c r="B1" s="12"/>
      <c r="C1" s="12"/>
      <c r="D1" s="12"/>
      <c r="E1" s="12"/>
      <c r="F1" s="12"/>
      <c r="G1" s="12"/>
      <c r="H1" s="12"/>
    </row>
    <row r="2" customFormat="false" ht="15" hidden="false" customHeight="false" outlineLevel="0" collapsed="false">
      <c r="C2" s="22" t="s">
        <v>34</v>
      </c>
      <c r="D2" s="23" t="s">
        <v>35</v>
      </c>
      <c r="E2" s="23" t="s">
        <v>36</v>
      </c>
      <c r="F2" s="23" t="s">
        <v>37</v>
      </c>
      <c r="G2" s="23" t="s">
        <v>38</v>
      </c>
      <c r="H2" s="23" t="s">
        <v>39</v>
      </c>
    </row>
    <row r="4" customFormat="false" ht="15" hidden="false" customHeight="false" outlineLevel="0" collapsed="false">
      <c r="A4" s="14" t="s">
        <v>40</v>
      </c>
      <c r="D4" s="15" t="n">
        <v>-0.061</v>
      </c>
      <c r="E4" s="15" t="n">
        <v>0.01</v>
      </c>
      <c r="F4" s="15" t="n">
        <v>0.025</v>
      </c>
      <c r="G4" s="15" t="n">
        <v>0.03</v>
      </c>
      <c r="H4" s="15" t="n">
        <v>0.03</v>
      </c>
    </row>
    <row r="5" customFormat="false" ht="15" hidden="false" customHeight="false" outlineLevel="0" collapsed="false">
      <c r="A5" s="14" t="s">
        <v>41</v>
      </c>
      <c r="C5" s="24" t="n">
        <v>11102600</v>
      </c>
      <c r="D5" s="25" t="n">
        <f aca="false">C5*(1+D4)</f>
        <v>10425341.4</v>
      </c>
      <c r="E5" s="25" t="n">
        <f aca="false">D5*(1+E4)</f>
        <v>10529594.814</v>
      </c>
      <c r="F5" s="25" t="n">
        <f aca="false">E5*(1+F4)</f>
        <v>10792834.68435</v>
      </c>
      <c r="G5" s="25" t="n">
        <f aca="false">F5*(1+G4)</f>
        <v>11116619.7248805</v>
      </c>
      <c r="H5" s="25" t="n">
        <f aca="false">G5*(1+H4)</f>
        <v>11450118.3166269</v>
      </c>
    </row>
    <row r="6" customFormat="false" ht="15" hidden="false" customHeight="false" outlineLevel="0" collapsed="false">
      <c r="A6" s="14" t="s">
        <v>42</v>
      </c>
      <c r="D6" s="15" t="n">
        <v>0.139</v>
      </c>
      <c r="E6" s="15" t="n">
        <v>0.15</v>
      </c>
      <c r="F6" s="15" t="n">
        <v>0.155</v>
      </c>
      <c r="G6" s="15" t="n">
        <v>0.155</v>
      </c>
      <c r="H6" s="15" t="n">
        <v>0.155</v>
      </c>
    </row>
    <row r="7" customFormat="false" ht="15" hidden="false" customHeight="false" outlineLevel="0" collapsed="false">
      <c r="A7" s="18" t="s">
        <v>43</v>
      </c>
      <c r="C7" s="26" t="n">
        <v>2210615</v>
      </c>
      <c r="D7" s="27" t="n">
        <f aca="false">D5*D6</f>
        <v>1449122.4546</v>
      </c>
      <c r="E7" s="27" t="n">
        <f aca="false">E5*E6</f>
        <v>1579439.2221</v>
      </c>
      <c r="F7" s="27" t="n">
        <f aca="false">F5*F6</f>
        <v>1672889.37607425</v>
      </c>
      <c r="G7" s="27" t="n">
        <f aca="false">G5*G6</f>
        <v>1723076.05735648</v>
      </c>
      <c r="H7" s="27" t="n">
        <f aca="false">H5*H6</f>
        <v>1774768.33907717</v>
      </c>
    </row>
    <row r="8" customFormat="false" ht="15" hidden="false" customHeight="false" outlineLevel="0" collapsed="false">
      <c r="A8" s="14" t="s">
        <v>44</v>
      </c>
      <c r="D8" s="25" t="n">
        <f aca="false">-D7*WACC!C10</f>
        <v>-391263.062742</v>
      </c>
      <c r="E8" s="25" t="n">
        <f aca="false">-E7*WACC!C10</f>
        <v>-426448.589967</v>
      </c>
      <c r="F8" s="25" t="n">
        <f aca="false">-F7*WACC!C10</f>
        <v>-451680.131540048</v>
      </c>
      <c r="G8" s="25" t="n">
        <f aca="false">-G7*WACC!C10</f>
        <v>-465230.535486249</v>
      </c>
      <c r="H8" s="25" t="n">
        <f aca="false">-H7*WACC!C10</f>
        <v>-479187.451550837</v>
      </c>
    </row>
    <row r="9" customFormat="false" ht="15" hidden="false" customHeight="false" outlineLevel="0" collapsed="false">
      <c r="A9" s="18" t="s">
        <v>45</v>
      </c>
      <c r="D9" s="27" t="n">
        <f aca="false">D7+D8</f>
        <v>1057859.391858</v>
      </c>
      <c r="E9" s="27" t="n">
        <f aca="false">E7+E8</f>
        <v>1152990.632133</v>
      </c>
      <c r="F9" s="27" t="n">
        <f aca="false">F7+F8</f>
        <v>1221209.2445342</v>
      </c>
      <c r="G9" s="27" t="n">
        <f aca="false">G7+G8</f>
        <v>1257845.52187023</v>
      </c>
      <c r="H9" s="27" t="n">
        <f aca="false">H7+H8</f>
        <v>1295580.88752634</v>
      </c>
    </row>
    <row r="10" customFormat="false" ht="15" hidden="false" customHeight="false" outlineLevel="0" collapsed="false">
      <c r="A10" s="14" t="s">
        <v>46</v>
      </c>
      <c r="D10" s="15" t="n">
        <v>0.045</v>
      </c>
      <c r="E10" s="15" t="n">
        <v>0.045</v>
      </c>
      <c r="F10" s="15" t="n">
        <v>0.045</v>
      </c>
      <c r="G10" s="15" t="n">
        <v>0.045</v>
      </c>
      <c r="H10" s="15" t="n">
        <v>0.045</v>
      </c>
    </row>
    <row r="11" customFormat="false" ht="15" hidden="false" customHeight="false" outlineLevel="0" collapsed="false">
      <c r="A11" s="14" t="s">
        <v>47</v>
      </c>
      <c r="D11" s="25" t="n">
        <f aca="false">D5*D10</f>
        <v>469140.363</v>
      </c>
      <c r="E11" s="25" t="n">
        <f aca="false">E5*E10</f>
        <v>473831.76663</v>
      </c>
      <c r="F11" s="25" t="n">
        <f aca="false">F5*F10</f>
        <v>485677.56079575</v>
      </c>
      <c r="G11" s="25" t="n">
        <f aca="false">G5*G10</f>
        <v>500247.887619623</v>
      </c>
      <c r="H11" s="25" t="n">
        <f aca="false">H5*H10</f>
        <v>515255.324248211</v>
      </c>
    </row>
    <row r="12" customFormat="false" ht="15" hidden="false" customHeight="false" outlineLevel="0" collapsed="false">
      <c r="A12" s="14" t="s">
        <v>48</v>
      </c>
      <c r="D12" s="15" t="n">
        <v>0.05</v>
      </c>
      <c r="E12" s="15" t="n">
        <v>0.05</v>
      </c>
      <c r="F12" s="15" t="n">
        <v>0.05</v>
      </c>
      <c r="G12" s="15" t="n">
        <v>0.05</v>
      </c>
      <c r="H12" s="15" t="n">
        <v>0.05</v>
      </c>
    </row>
    <row r="13" customFormat="false" ht="15" hidden="false" customHeight="false" outlineLevel="0" collapsed="false">
      <c r="A13" s="14" t="s">
        <v>49</v>
      </c>
      <c r="D13" s="25" t="n">
        <f aca="false">-D5*D12</f>
        <v>-521267.07</v>
      </c>
      <c r="E13" s="25" t="n">
        <f aca="false">-E5*E12</f>
        <v>-526479.7407</v>
      </c>
      <c r="F13" s="25" t="n">
        <f aca="false">-F5*F12</f>
        <v>-539641.7342175</v>
      </c>
      <c r="G13" s="25" t="n">
        <f aca="false">-G5*G12</f>
        <v>-555830.986244025</v>
      </c>
      <c r="H13" s="25" t="n">
        <f aca="false">-H5*H12</f>
        <v>-572505.915831346</v>
      </c>
    </row>
    <row r="14" customFormat="false" ht="15" hidden="false" customHeight="false" outlineLevel="0" collapsed="false">
      <c r="A14" s="14" t="s">
        <v>50</v>
      </c>
      <c r="D14" s="15" t="n">
        <v>0.075</v>
      </c>
      <c r="E14" s="15" t="n">
        <v>0.075</v>
      </c>
      <c r="F14" s="15" t="n">
        <v>0.075</v>
      </c>
      <c r="G14" s="15" t="n">
        <v>0.075</v>
      </c>
      <c r="H14" s="15" t="n">
        <v>0.075</v>
      </c>
    </row>
    <row r="15" customFormat="false" ht="15" hidden="false" customHeight="false" outlineLevel="0" collapsed="false">
      <c r="A15" s="14" t="s">
        <v>51</v>
      </c>
      <c r="D15" s="25" t="n">
        <f aca="false">-D14*(D5-C5)</f>
        <v>50794.395</v>
      </c>
      <c r="E15" s="25" t="n">
        <f aca="false">-E14*(E5-D5)</f>
        <v>-7819.00605000006</v>
      </c>
      <c r="F15" s="25" t="n">
        <f aca="false">-F14*(F5-E5)</f>
        <v>-19742.99027625</v>
      </c>
      <c r="G15" s="25" t="n">
        <f aca="false">-G14*(G5-F5)</f>
        <v>-24283.8780397876</v>
      </c>
      <c r="H15" s="25" t="n">
        <f aca="false">-H14*(H5-G5)</f>
        <v>-25012.3943809812</v>
      </c>
    </row>
    <row r="16" customFormat="false" ht="15" hidden="false" customHeight="false" outlineLevel="0" collapsed="false">
      <c r="A16" s="18" t="s">
        <v>52</v>
      </c>
      <c r="D16" s="28" t="n">
        <f aca="false">D9+D11+D13+D15</f>
        <v>1056527.079858</v>
      </c>
      <c r="E16" s="28" t="n">
        <f aca="false">E9+E11+E13+E15</f>
        <v>1092523.652013</v>
      </c>
      <c r="F16" s="28" t="n">
        <f aca="false">F9+F11+F13+F15</f>
        <v>1147502.0808362</v>
      </c>
      <c r="G16" s="28" t="n">
        <f aca="false">G9+G11+G13+G15</f>
        <v>1177978.54520604</v>
      </c>
      <c r="H16" s="28" t="n">
        <f aca="false">H9+H11+H13+H15</f>
        <v>1213317.90156222</v>
      </c>
    </row>
    <row r="17" customFormat="false" ht="15" hidden="false" customHeight="false" outlineLevel="0" collapsed="false">
      <c r="A17" s="14" t="s">
        <v>53</v>
      </c>
      <c r="D17" s="29" t="n">
        <v>1</v>
      </c>
      <c r="E17" s="29" t="n">
        <v>2</v>
      </c>
      <c r="F17" s="29" t="n">
        <v>3</v>
      </c>
      <c r="G17" s="29" t="n">
        <v>4</v>
      </c>
      <c r="H17" s="29" t="n">
        <v>5</v>
      </c>
    </row>
    <row r="18" customFormat="false" ht="15" hidden="false" customHeight="false" outlineLevel="0" collapsed="false">
      <c r="A18" s="14" t="s">
        <v>54</v>
      </c>
      <c r="D18" s="30" t="n">
        <f aca="false">1/(1+WACC!C16)^D17</f>
        <v>0.909090909090909</v>
      </c>
      <c r="E18" s="30" t="n">
        <f aca="false">1/(1+WACC!C16)^E17</f>
        <v>0.826446280991735</v>
      </c>
      <c r="F18" s="30" t="n">
        <f aca="false">1/(1+WACC!C16)^F17</f>
        <v>0.751314800901578</v>
      </c>
      <c r="G18" s="30" t="n">
        <f aca="false">1/(1+WACC!C16)^G17</f>
        <v>0.683013455365071</v>
      </c>
      <c r="H18" s="30" t="n">
        <f aca="false">1/(1+WACC!C16)^H17</f>
        <v>0.620921323059155</v>
      </c>
    </row>
    <row r="19" customFormat="false" ht="15" hidden="false" customHeight="false" outlineLevel="0" collapsed="false">
      <c r="A19" s="18" t="s">
        <v>55</v>
      </c>
      <c r="D19" s="27" t="n">
        <f aca="false">D16*D18</f>
        <v>960479.163507273</v>
      </c>
      <c r="E19" s="27" t="n">
        <f aca="false">E16*E18</f>
        <v>902912.109101653</v>
      </c>
      <c r="F19" s="27" t="n">
        <f aca="false">F16*F18</f>
        <v>862135.297397598</v>
      </c>
      <c r="G19" s="27" t="n">
        <f aca="false">G16*G18</f>
        <v>804575.196507096</v>
      </c>
      <c r="H19" s="27" t="n">
        <f aca="false">H16*H18</f>
        <v>753374.956729371</v>
      </c>
    </row>
    <row r="21" customFormat="false" ht="15" hidden="false" customHeight="false" outlineLevel="0" collapsed="false">
      <c r="A21" s="31" t="s">
        <v>56</v>
      </c>
      <c r="B21" s="12"/>
      <c r="C21" s="12"/>
    </row>
    <row r="22" customFormat="false" ht="15" hidden="false" customHeight="false" outlineLevel="0" collapsed="false">
      <c r="A22" s="18" t="s">
        <v>57</v>
      </c>
      <c r="C22" s="32" t="n">
        <f aca="false">SUM(D19:H19)</f>
        <v>4283476.72324299</v>
      </c>
    </row>
    <row r="23" customFormat="false" ht="15" hidden="false" customHeight="false" outlineLevel="0" collapsed="false">
      <c r="A23" s="14" t="s">
        <v>58</v>
      </c>
      <c r="C23" s="15" t="n">
        <v>0.0225</v>
      </c>
    </row>
    <row r="24" customFormat="false" ht="15" hidden="false" customHeight="false" outlineLevel="0" collapsed="false">
      <c r="A24" s="14" t="s">
        <v>59</v>
      </c>
      <c r="C24" s="25" t="n">
        <f aca="false">H16*(1+C23)/(WACC!C16-C23)</f>
        <v>16007968.4431919</v>
      </c>
    </row>
    <row r="25" customFormat="false" ht="15" hidden="false" customHeight="false" outlineLevel="0" collapsed="false">
      <c r="A25" s="18" t="s">
        <v>60</v>
      </c>
      <c r="C25" s="32" t="n">
        <f aca="false">C24/(1+WACC!C16)^H17</f>
        <v>9939688.9452359</v>
      </c>
    </row>
    <row r="26" customFormat="false" ht="15" hidden="false" customHeight="false" outlineLevel="0" collapsed="false">
      <c r="A26" s="18" t="s">
        <v>61</v>
      </c>
      <c r="C26" s="27" t="n">
        <f aca="false">C22+C25</f>
        <v>14223165.6684789</v>
      </c>
    </row>
    <row r="27" customFormat="false" ht="15" hidden="false" customHeight="false" outlineLevel="0" collapsed="false">
      <c r="A27" s="14" t="s">
        <v>62</v>
      </c>
      <c r="C27" s="24" t="n">
        <v>1807202</v>
      </c>
    </row>
    <row r="28" customFormat="false" ht="15" hidden="false" customHeight="false" outlineLevel="0" collapsed="false">
      <c r="A28" s="14" t="s">
        <v>63</v>
      </c>
      <c r="C28" s="24" t="n">
        <v>0</v>
      </c>
    </row>
    <row r="29" customFormat="false" ht="15" hidden="false" customHeight="false" outlineLevel="0" collapsed="false">
      <c r="A29" s="18" t="s">
        <v>64</v>
      </c>
      <c r="C29" s="27" t="n">
        <f aca="false">C26+C27+C28</f>
        <v>16030367.6684789</v>
      </c>
    </row>
    <row r="30" customFormat="false" ht="15" hidden="false" customHeight="false" outlineLevel="0" collapsed="false">
      <c r="A30" s="14" t="s">
        <v>65</v>
      </c>
      <c r="C30" s="24" t="n">
        <v>111380</v>
      </c>
    </row>
    <row r="31" customFormat="false" ht="16.15" hidden="false" customHeight="false" outlineLevel="0" collapsed="false">
      <c r="A31" s="18" t="s">
        <v>66</v>
      </c>
      <c r="C31" s="33" t="n">
        <f aca="false">C29/C30</f>
        <v>143.925010490922</v>
      </c>
    </row>
    <row r="32" customFormat="false" ht="15" hidden="false" customHeight="false" outlineLevel="0" collapsed="false">
      <c r="A32" s="14" t="s">
        <v>67</v>
      </c>
      <c r="C32" s="34" t="n">
        <v>100</v>
      </c>
    </row>
    <row r="33" customFormat="false" ht="15" hidden="false" customHeight="false" outlineLevel="0" collapsed="false">
      <c r="A33" s="18" t="s">
        <v>68</v>
      </c>
      <c r="C33" s="35" t="n">
        <f aca="false">C31/C32-1</f>
        <v>0.439250104909219</v>
      </c>
    </row>
    <row r="34" customFormat="false" ht="15" hidden="false" customHeight="false" outlineLevel="0" collapsed="false">
      <c r="A34" s="14" t="s">
        <v>69</v>
      </c>
      <c r="C34" s="36" t="n">
        <f aca="false">C25/C26</f>
        <v>0.698838020797582</v>
      </c>
    </row>
    <row r="36" customFormat="false" ht="15" hidden="false" customHeight="false" outlineLevel="0" collapsed="false">
      <c r="A36" s="31" t="s">
        <v>70</v>
      </c>
      <c r="B36" s="12"/>
      <c r="C36" s="12"/>
    </row>
    <row r="37" customFormat="false" ht="15" hidden="false" customHeight="false" outlineLevel="0" collapsed="false">
      <c r="A37" s="18" t="s">
        <v>71</v>
      </c>
      <c r="C37" s="32" t="n">
        <f aca="false">H7+H11</f>
        <v>2290023.66332538</v>
      </c>
    </row>
    <row r="38" customFormat="false" ht="15" hidden="false" customHeight="false" outlineLevel="0" collapsed="false">
      <c r="A38" s="14" t="s">
        <v>72</v>
      </c>
      <c r="C38" s="37" t="n">
        <v>8</v>
      </c>
    </row>
    <row r="39" customFormat="false" ht="15" hidden="false" customHeight="false" outlineLevel="0" collapsed="false">
      <c r="A39" s="14" t="s">
        <v>73</v>
      </c>
      <c r="C39" s="25" t="n">
        <f aca="false">C37*C38</f>
        <v>18320189.3066031</v>
      </c>
    </row>
    <row r="40" customFormat="false" ht="15" hidden="false" customHeight="false" outlineLevel="0" collapsed="false">
      <c r="A40" s="14" t="s">
        <v>60</v>
      </c>
      <c r="C40" s="25" t="n">
        <f aca="false">C39/(1+WACC!C16)^H17</f>
        <v>11375396.1829502</v>
      </c>
    </row>
    <row r="41" customFormat="false" ht="15" hidden="false" customHeight="false" outlineLevel="0" collapsed="false">
      <c r="A41" s="18" t="s">
        <v>74</v>
      </c>
      <c r="C41" s="27" t="n">
        <f aca="false">C22+C40</f>
        <v>15658872.9061931</v>
      </c>
    </row>
    <row r="42" customFormat="false" ht="15" hidden="false" customHeight="false" outlineLevel="0" collapsed="false">
      <c r="A42" s="18" t="s">
        <v>75</v>
      </c>
      <c r="C42" s="38" t="n">
        <f aca="false">(C41+C27+C28)/C30</f>
        <v>156.81518141671</v>
      </c>
    </row>
    <row r="45" customFormat="false" ht="15" hidden="false" customHeight="false" outlineLevel="0" collapsed="false">
      <c r="A45" s="31" t="s">
        <v>76</v>
      </c>
      <c r="B45" s="12"/>
      <c r="C45" s="12"/>
      <c r="D45" s="12"/>
      <c r="E45" s="12"/>
      <c r="F45" s="12"/>
      <c r="G45" s="12"/>
      <c r="H45" s="12"/>
    </row>
    <row r="46" customFormat="false" ht="15" hidden="false" customHeight="false" outlineLevel="0" collapsed="false">
      <c r="A46" s="39" t="s">
        <v>77</v>
      </c>
      <c r="D46" s="40" t="n">
        <v>0.015</v>
      </c>
      <c r="E46" s="40" t="n">
        <v>0.02</v>
      </c>
      <c r="F46" s="40" t="n">
        <v>0.0225</v>
      </c>
      <c r="G46" s="40" t="n">
        <v>0.025</v>
      </c>
      <c r="H46" s="40" t="n">
        <v>0.03</v>
      </c>
    </row>
    <row r="47" customFormat="false" ht="15" hidden="false" customHeight="false" outlineLevel="0" collapsed="false">
      <c r="A47" s="40" t="n">
        <v>0.09</v>
      </c>
      <c r="D47" s="41" t="n">
        <f aca="false">(NPV(0.09,D16:H16)+(H16*(1+0.015)/(0.09-0.015))/(1+0.09)^5+C27+C28)/C30</f>
        <v>151.528460424457</v>
      </c>
      <c r="E47" s="41" t="n">
        <f aca="false">(NPV(0.09,D16:H16)+(H16*(1+0.02)/(0.09-0.02))/(1+0.09)^5+C27+C28)/C30</f>
        <v>158.87820253857</v>
      </c>
      <c r="F47" s="41" t="n">
        <f aca="false">(NPV(0.09,D16:H16)+(H16*(1+0.0225)/(0.09-0.0225))/(1+0.09)^5+C27+C28)/C30</f>
        <v>162.961392601966</v>
      </c>
      <c r="G47" s="41" t="n">
        <f aca="false">(NPV(0.09,D16:H16)+(H16*(1+0.025)/(0.09-0.025))/(1+0.09)^5+C27+C28)/C30</f>
        <v>167.358674208701</v>
      </c>
      <c r="H47" s="41" t="n">
        <f aca="false">(NPV(0.09,D16:H16)+(H16*(1+0.03)/(0.09-0.03))/(1+0.09)^5+C27+C28)/C30</f>
        <v>177.252557823853</v>
      </c>
    </row>
    <row r="48" customFormat="false" ht="15" hidden="false" customHeight="false" outlineLevel="0" collapsed="false">
      <c r="A48" s="40" t="n">
        <v>0.095</v>
      </c>
      <c r="D48" s="41" t="n">
        <f aca="false">(NPV(0.095,D16:H16)+(H16*(1+0.015)/(0.095-0.015))/(1+0.095)^5+C27+C28)/C30</f>
        <v>142.988183438504</v>
      </c>
      <c r="E48" s="41" t="n">
        <f aca="false">(NPV(0.095,D16:H16)+(H16*(1+0.02)/(0.095-0.02))/(1+0.095)^5+C27+C28)/C30</f>
        <v>149.302548241807</v>
      </c>
      <c r="F48" s="41" t="n">
        <f aca="false">(NPV(0.095,D16:H16)+(H16*(1+0.0225)/(0.095-0.0225))/(1+0.095)^5+C27+C28)/C30</f>
        <v>152.786335719491</v>
      </c>
      <c r="G48" s="41" t="n">
        <f aca="false">(NPV(0.095,D16:H16)+(H16*(1+0.025)/(0.095-0.025))/(1+0.095)^5+C27+C28)/C30</f>
        <v>156.518965159867</v>
      </c>
      <c r="H48" s="41" t="n">
        <f aca="false">(NPV(0.095,D16:H16)+(H16*(1+0.03)/(0.095-0.03))/(1+0.095)^5+C27+C28)/C30</f>
        <v>164.845600065321</v>
      </c>
    </row>
    <row r="49" customFormat="false" ht="15" hidden="false" customHeight="false" outlineLevel="0" collapsed="false">
      <c r="A49" s="40" t="n">
        <v>0.1</v>
      </c>
      <c r="D49" s="41" t="n">
        <f aca="false">(NPV(0.1,D16:H16)+(H16*(1+0.015)/(0.1-0.015))/(1+0.1)^5+C27+C28)/C30</f>
        <v>135.453959688186</v>
      </c>
      <c r="E49" s="41" t="n">
        <f aca="false">(NPV(0.1,D16:H16)+(H16*(1+0.02)/(0.1-0.02))/(1+0.1)^5+C27+C28)/C30</f>
        <v>140.924846664953</v>
      </c>
      <c r="F49" s="42" t="n">
        <f aca="false">(NPV(0.1,D16:H16)+(H16*(1+0.0225)/(0.1-0.0225))/(1+0.1)^5+C27+C28)/C30</f>
        <v>143.925010490922</v>
      </c>
      <c r="G49" s="41" t="n">
        <f aca="false">(NPV(0.1,D16:H16)+(H16*(1+0.025)/(0.1-0.025))/(1+0.1)^5+C27+C28)/C30</f>
        <v>147.125185238622</v>
      </c>
      <c r="H49" s="41" t="n">
        <f aca="false">(NPV(0.1,D16:H16)+(H16*(1+0.03)/(0.1-0.03))/(1+0.1)^5+C27+C28)/C30</f>
        <v>154.211286465672</v>
      </c>
    </row>
    <row r="50" customFormat="false" ht="15" hidden="false" customHeight="false" outlineLevel="0" collapsed="false">
      <c r="A50" s="40" t="n">
        <v>0.105</v>
      </c>
      <c r="D50" s="41" t="n">
        <f aca="false">(NPV(0.105,D16:H16)+(H16*(1+0.015)/(0.105-0.015))/(1+0.105)^5+C27+C28)/C30</f>
        <v>128.758085873917</v>
      </c>
      <c r="E50" s="41" t="n">
        <f aca="false">(NPV(0.105,D16:H16)+(H16*(1+0.02)/(0.105-0.02))/(1+0.105)^5+C27+C28)/C30</f>
        <v>133.533673836818</v>
      </c>
      <c r="F50" s="41" t="n">
        <f aca="false">(NPV(0.105,D16:H16)+(H16*(1+0.0225)/(0.105-0.0225))/(1+0.105)^5+C27+C28)/C30</f>
        <v>136.138539998401</v>
      </c>
      <c r="G50" s="41" t="n">
        <f aca="false">(NPV(0.105,D16:H16)+(H16*(1+0.025)/(0.105-0.025))/(1+0.105)^5+C27+C28)/C30</f>
        <v>138.906210295083</v>
      </c>
      <c r="H50" s="41" t="n">
        <f aca="false">(NPV(0.105,D16:H16)+(H16*(1+0.03)/(0.105-0.03))/(1+0.105)^5+C27+C28)/C30</f>
        <v>144.995084947783</v>
      </c>
    </row>
    <row r="51" customFormat="false" ht="15" hidden="false" customHeight="false" outlineLevel="0" collapsed="false">
      <c r="A51" s="40" t="n">
        <v>0.11</v>
      </c>
      <c r="D51" s="41" t="n">
        <f aca="false">(NPV(0.11,D16:H16)+(H16*(1+0.015)/(0.11-0.015))/(1+0.11)^5+C27+C28)/C30</f>
        <v>122.768165379937</v>
      </c>
      <c r="E51" s="41" t="n">
        <f aca="false">(NPV(0.11,D16:H16)+(H16*(1+0.02)/(0.11-0.02))/(1+0.11)^5+C27+C28)/C30</f>
        <v>126.964589419254</v>
      </c>
      <c r="F51" s="41" t="n">
        <f aca="false">(NPV(0.11,D16:H16)+(H16*(1+0.0225)/(0.11-0.0225))/(1+0.11)^5+C27+C28)/C30</f>
        <v>129.242648183455</v>
      </c>
      <c r="G51" s="41" t="n">
        <f aca="false">(NPV(0.11,D16:H16)+(H16*(1+0.025)/(0.11-0.025))/(1+0.11)^5+C27+C28)/C30</f>
        <v>131.654710404374</v>
      </c>
      <c r="H51" s="41" t="n">
        <f aca="false">(NPV(0.11,D16:H16)+(H16*(1+0.03)/(0.11-0.03))/(1+0.11)^5+C27+C28)/C30</f>
        <v>136.931096512634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"/>
    <col collapsed="false" customWidth="true" hidden="false" outlineLevel="0" max="5" min="3" style="0" width="15"/>
  </cols>
  <sheetData>
    <row r="1" customFormat="false" ht="15.75" hidden="false" customHeight="true" outlineLevel="0" collapsed="false">
      <c r="A1" s="11" t="s">
        <v>78</v>
      </c>
      <c r="B1" s="12"/>
      <c r="C1" s="12"/>
      <c r="D1" s="12"/>
      <c r="E1" s="12"/>
    </row>
    <row r="2" customFormat="false" ht="16.4" hidden="false" customHeight="false" outlineLevel="0" collapsed="false">
      <c r="C2" s="43" t="s">
        <v>79</v>
      </c>
      <c r="D2" s="44" t="s">
        <v>80</v>
      </c>
      <c r="E2" s="45" t="s">
        <v>81</v>
      </c>
    </row>
    <row r="3" customFormat="false" ht="15" hidden="false" customHeight="false" outlineLevel="0" collapsed="false">
      <c r="A3" s="13" t="s">
        <v>82</v>
      </c>
    </row>
    <row r="4" customFormat="false" ht="15" hidden="false" customHeight="false" outlineLevel="0" collapsed="false">
      <c r="A4" s="14" t="s">
        <v>83</v>
      </c>
      <c r="C4" s="15" t="n">
        <v>-0.09</v>
      </c>
      <c r="D4" s="15" t="n">
        <v>-0.061</v>
      </c>
      <c r="E4" s="15" t="n">
        <v>-0.04</v>
      </c>
    </row>
    <row r="5" customFormat="false" ht="15" hidden="false" customHeight="false" outlineLevel="0" collapsed="false">
      <c r="A5" s="14" t="s">
        <v>84</v>
      </c>
      <c r="C5" s="15" t="n">
        <v>-0.01</v>
      </c>
      <c r="D5" s="15" t="n">
        <v>0.028</v>
      </c>
      <c r="E5" s="15" t="n">
        <v>0.06</v>
      </c>
    </row>
    <row r="6" customFormat="false" ht="15" hidden="false" customHeight="false" outlineLevel="0" collapsed="false">
      <c r="A6" s="14" t="s">
        <v>85</v>
      </c>
      <c r="C6" s="15" t="n">
        <v>0.125</v>
      </c>
      <c r="D6" s="15" t="n">
        <v>0.139</v>
      </c>
      <c r="E6" s="15" t="n">
        <v>0.15</v>
      </c>
    </row>
    <row r="7" customFormat="false" ht="15" hidden="false" customHeight="false" outlineLevel="0" collapsed="false">
      <c r="A7" s="14" t="s">
        <v>86</v>
      </c>
      <c r="C7" s="15" t="n">
        <v>0.12</v>
      </c>
      <c r="D7" s="15" t="n">
        <v>0.155</v>
      </c>
      <c r="E7" s="15" t="n">
        <v>0.19</v>
      </c>
    </row>
    <row r="8" customFormat="false" ht="15" hidden="false" customHeight="false" outlineLevel="0" collapsed="false">
      <c r="A8" s="14" t="s">
        <v>32</v>
      </c>
      <c r="C8" s="15" t="n">
        <v>0.11</v>
      </c>
      <c r="D8" s="15" t="n">
        <v>0.1</v>
      </c>
      <c r="E8" s="15" t="n">
        <v>0.09</v>
      </c>
    </row>
    <row r="9" customFormat="false" ht="15" hidden="false" customHeight="false" outlineLevel="0" collapsed="false">
      <c r="A9" s="14" t="s">
        <v>87</v>
      </c>
      <c r="C9" s="15" t="n">
        <v>0.015</v>
      </c>
      <c r="D9" s="15" t="n">
        <v>0.0225</v>
      </c>
      <c r="E9" s="15" t="n">
        <v>0.03</v>
      </c>
    </row>
    <row r="11" customFormat="false" ht="15" hidden="false" customHeight="false" outlineLevel="0" collapsed="false">
      <c r="A11" s="13" t="s">
        <v>88</v>
      </c>
    </row>
    <row r="12" customFormat="false" ht="15" hidden="false" customHeight="false" outlineLevel="0" collapsed="false">
      <c r="A12" s="46" t="s">
        <v>89</v>
      </c>
      <c r="C12" s="47" t="n">
        <f aca="false">11102600*(1+C4)</f>
        <v>10103366</v>
      </c>
      <c r="D12" s="47" t="n">
        <f aca="false">11102600*(1+D4)</f>
        <v>10425341.4</v>
      </c>
      <c r="E12" s="47" t="n">
        <f aca="false">11102600*(1+E4)</f>
        <v>10658496</v>
      </c>
    </row>
    <row r="13" customFormat="false" ht="15" hidden="false" customHeight="false" outlineLevel="0" collapsed="false">
      <c r="A13" s="46" t="s">
        <v>90</v>
      </c>
      <c r="C13" s="47" t="n">
        <f aca="false">C12*(1+C5)</f>
        <v>10002332.34</v>
      </c>
      <c r="D13" s="47" t="n">
        <f aca="false">D12*(1+D5)</f>
        <v>10717250.9592</v>
      </c>
      <c r="E13" s="47" t="n">
        <f aca="false">E12*(1+E5)</f>
        <v>11298005.76</v>
      </c>
    </row>
    <row r="14" customFormat="false" ht="15" hidden="false" customHeight="false" outlineLevel="0" collapsed="false">
      <c r="A14" s="46" t="s">
        <v>91</v>
      </c>
      <c r="C14" s="47" t="n">
        <f aca="false">C13*(1+C5)</f>
        <v>9902309.0166</v>
      </c>
      <c r="D14" s="47" t="n">
        <f aca="false">D13*(1+D5)</f>
        <v>11017333.9860576</v>
      </c>
      <c r="E14" s="47" t="n">
        <f aca="false">E13*(1+E5)</f>
        <v>11975886.1056</v>
      </c>
    </row>
    <row r="15" customFormat="false" ht="15" hidden="false" customHeight="false" outlineLevel="0" collapsed="false">
      <c r="A15" s="46" t="s">
        <v>92</v>
      </c>
      <c r="C15" s="47" t="n">
        <f aca="false">C14*(1+C5)</f>
        <v>9803285.926434</v>
      </c>
      <c r="D15" s="47" t="n">
        <f aca="false">D14*(1+D5)</f>
        <v>11325819.3376672</v>
      </c>
      <c r="E15" s="47" t="n">
        <f aca="false">E14*(1+E5)</f>
        <v>12694439.271936</v>
      </c>
    </row>
    <row r="16" customFormat="false" ht="15" hidden="false" customHeight="false" outlineLevel="0" collapsed="false">
      <c r="A16" s="46" t="s">
        <v>93</v>
      </c>
      <c r="C16" s="47" t="n">
        <f aca="false">C15*(1+C5)</f>
        <v>9705253.06716966</v>
      </c>
      <c r="D16" s="47" t="n">
        <f aca="false">D15*(1+D5)</f>
        <v>11642942.2791219</v>
      </c>
      <c r="E16" s="47" t="n">
        <f aca="false">E15*(1+E5)</f>
        <v>13456105.6282522</v>
      </c>
    </row>
    <row r="17" customFormat="false" ht="15" hidden="false" customHeight="false" outlineLevel="0" collapsed="false">
      <c r="A17" s="46" t="s">
        <v>94</v>
      </c>
      <c r="C17" s="48" t="n">
        <f aca="false">C6+(C7-C6)*0/4</f>
        <v>0.125</v>
      </c>
      <c r="D17" s="48" t="n">
        <f aca="false">D6+(D7-D6)*0/4</f>
        <v>0.139</v>
      </c>
      <c r="E17" s="48" t="n">
        <f aca="false">E6+(E7-E6)*0/4</f>
        <v>0.15</v>
      </c>
    </row>
    <row r="18" customFormat="false" ht="15" hidden="false" customHeight="false" outlineLevel="0" collapsed="false">
      <c r="A18" s="46" t="s">
        <v>95</v>
      </c>
      <c r="C18" s="48" t="n">
        <f aca="false">C6+(C7-C6)*1/4</f>
        <v>0.12375</v>
      </c>
      <c r="D18" s="48" t="n">
        <f aca="false">D6+(D7-D6)*1/4</f>
        <v>0.143</v>
      </c>
      <c r="E18" s="48" t="n">
        <f aca="false">E6+(E7-E6)*1/4</f>
        <v>0.16</v>
      </c>
    </row>
    <row r="19" customFormat="false" ht="15" hidden="false" customHeight="false" outlineLevel="0" collapsed="false">
      <c r="A19" s="46" t="s">
        <v>96</v>
      </c>
      <c r="C19" s="48" t="n">
        <f aca="false">C6+(C7-C6)*2/4</f>
        <v>0.1225</v>
      </c>
      <c r="D19" s="48" t="n">
        <f aca="false">D6+(D7-D6)*2/4</f>
        <v>0.147</v>
      </c>
      <c r="E19" s="48" t="n">
        <f aca="false">E6+(E7-E6)*2/4</f>
        <v>0.17</v>
      </c>
    </row>
    <row r="20" customFormat="false" ht="15" hidden="false" customHeight="false" outlineLevel="0" collapsed="false">
      <c r="A20" s="46" t="s">
        <v>97</v>
      </c>
      <c r="C20" s="48" t="n">
        <f aca="false">C6+(C7-C6)*3/4</f>
        <v>0.12125</v>
      </c>
      <c r="D20" s="48" t="n">
        <f aca="false">D6+(D7-D6)*3/4</f>
        <v>0.151</v>
      </c>
      <c r="E20" s="48" t="n">
        <f aca="false">E6+(E7-E6)*3/4</f>
        <v>0.18</v>
      </c>
    </row>
    <row r="21" customFormat="false" ht="15" hidden="false" customHeight="false" outlineLevel="0" collapsed="false">
      <c r="A21" s="46" t="s">
        <v>98</v>
      </c>
      <c r="C21" s="48" t="n">
        <f aca="false">C6+(C7-C6)*4/4</f>
        <v>0.12</v>
      </c>
      <c r="D21" s="48" t="n">
        <f aca="false">D6+(D7-D6)*4/4</f>
        <v>0.155</v>
      </c>
      <c r="E21" s="48" t="n">
        <f aca="false">E6+(E7-E6)*4/4</f>
        <v>0.19</v>
      </c>
    </row>
    <row r="22" customFormat="false" ht="15" hidden="false" customHeight="false" outlineLevel="0" collapsed="false">
      <c r="A22" s="46" t="s">
        <v>99</v>
      </c>
      <c r="C22" s="47" t="n">
        <f aca="false">(C12*C17)*(1-0.27)+C12*0.045-C12*0.05-0.075*(C12-11102600)</f>
        <v>946357.8675</v>
      </c>
      <c r="D22" s="47" t="n">
        <f aca="false">(D12*D17)*(1-0.27)+D12*0.045-D12*0.05-0.075*(D12-11102600)</f>
        <v>1056527.079858</v>
      </c>
      <c r="E22" s="47" t="n">
        <f aca="false">(E12*E17)*(1-0.27)+E12*0.045-E12*0.05-0.075*(E12-11102600)</f>
        <v>1147120.632</v>
      </c>
    </row>
    <row r="23" customFormat="false" ht="15" hidden="false" customHeight="false" outlineLevel="0" collapsed="false">
      <c r="A23" s="46" t="s">
        <v>100</v>
      </c>
      <c r="C23" s="47" t="n">
        <f aca="false">(C13*C18)*(1-0.27)+C13*0.045-C13*0.05-0.075*(C13-C12)</f>
        <v>861151.56056475</v>
      </c>
      <c r="D23" s="47" t="n">
        <f aca="false">(D13*D18)*(1-0.27)+D13*0.045-D13*0.05-0.075*(D13-D12)</f>
        <v>1043294.35589489</v>
      </c>
      <c r="E23" s="47" t="n">
        <f aca="false">(E13*E18)*(1-0.27)+E13*0.045-E13*0.05-0.075*(E13-E12)</f>
        <v>1215153.811968</v>
      </c>
    </row>
    <row r="24" customFormat="false" ht="15" hidden="false" customHeight="false" outlineLevel="0" collapsed="false">
      <c r="A24" s="46" t="s">
        <v>101</v>
      </c>
      <c r="C24" s="47" t="n">
        <f aca="false">(C14*C19)*(1-0.27)+C14*0.045-C14*0.05-0.075*(C14-C13)</f>
        <v>843504.187981455</v>
      </c>
      <c r="D24" s="47" t="n">
        <f aca="false">(D14*D19)*(1-0.27)+D14*0.045-D14*0.05-0.075*(D14-D13)</f>
        <v>1104677.21309923</v>
      </c>
      <c r="E24" s="47" t="n">
        <f aca="false">(E14*E19)*(1-0.27)+E14*0.045-E14*0.05-0.075*(E14-E13)</f>
        <v>1375487.00925696</v>
      </c>
    </row>
    <row r="25" customFormat="false" ht="15" hidden="false" customHeight="false" outlineLevel="0" collapsed="false">
      <c r="A25" s="46" t="s">
        <v>102</v>
      </c>
      <c r="C25" s="47" t="n">
        <f aca="false">(C15*C20)*(1-0.27)+C15*0.045-C15*0.05-0.075*(C15-C14)</f>
        <v>826123.647693769</v>
      </c>
      <c r="D25" s="47" t="n">
        <f aca="false">(D15*D20)*(1-0.27)+D15*0.045-D15*0.05-0.075*(D15-D14)</f>
        <v>1168679.567532</v>
      </c>
      <c r="E25" s="47" t="n">
        <f aca="false">(E15*E20)*(1-0.27)+E15*0.045-E15*0.05-0.075*(E15-E14)</f>
        <v>1550685.63649751</v>
      </c>
    </row>
    <row r="26" customFormat="false" ht="15" hidden="false" customHeight="false" outlineLevel="0" collapsed="false">
      <c r="A26" s="46" t="s">
        <v>103</v>
      </c>
      <c r="C26" s="47" t="n">
        <f aca="false">(C16*C21)*(1-0.27)+C16*0.045-C16*0.05-0.075*(C16-C15)</f>
        <v>809006.367793039</v>
      </c>
      <c r="D26" s="47" t="n">
        <f aca="false">(D16*D21)*(1-0.27)+D16*0.045-D16*0.05-0.075*(D16-D15)</f>
        <v>1235399.98687793</v>
      </c>
      <c r="E26" s="47" t="n">
        <f aca="false">(E16*E21)*(1-0.27)+E16*0.045-E16*0.05-0.075*(E16-E15)</f>
        <v>1741956.3457736</v>
      </c>
    </row>
    <row r="28" customFormat="false" ht="15" hidden="false" customHeight="false" outlineLevel="0" collapsed="false">
      <c r="A28" s="18" t="s">
        <v>104</v>
      </c>
      <c r="C28" s="27" t="n">
        <f aca="false">NPV(C8,C22,C23,C24,C25,C26)+(C26*(1+C9)/(C8-C9))/(1+C8)^5</f>
        <v>8322119.25789168</v>
      </c>
      <c r="D28" s="27" t="n">
        <f aca="false">NPV(D8,D22,D23,D24,D25,D26)+(D26*(1+D9)/(D8-D9))/(1+D8)^5</f>
        <v>14338565.1306866</v>
      </c>
      <c r="E28" s="27" t="n">
        <f aca="false">NPV(E8,E22,E23,E24,E25,E26)+(E26*(1+E9)/(E8-E9))/(1+E8)^5</f>
        <v>24803277.9120851</v>
      </c>
    </row>
    <row r="29" customFormat="false" ht="15" hidden="false" customHeight="false" outlineLevel="0" collapsed="false">
      <c r="A29" s="49" t="s">
        <v>105</v>
      </c>
      <c r="C29" s="50" t="n">
        <f aca="false">(C28+1807202-0)/111380</f>
        <v>90.9438073073414</v>
      </c>
      <c r="D29" s="51" t="n">
        <f aca="false">(D28+1807202-0)/111380</f>
        <v>144.961098318249</v>
      </c>
      <c r="E29" s="50" t="n">
        <f aca="false">(E28+1807202-0)/111380</f>
        <v>238.916142144775</v>
      </c>
    </row>
    <row r="30" customFormat="false" ht="15" hidden="false" customHeight="false" outlineLevel="0" collapsed="false">
      <c r="A30" s="18" t="s">
        <v>106</v>
      </c>
      <c r="C30" s="52" t="n">
        <f aca="false">C29/100-1</f>
        <v>-0.0905619269265863</v>
      </c>
      <c r="D30" s="52" t="n">
        <f aca="false">D29/100-1</f>
        <v>0.449610983182494</v>
      </c>
      <c r="E30" s="52" t="n">
        <f aca="false">E29/100-1</f>
        <v>1.38916142144775</v>
      </c>
    </row>
    <row r="32" customFormat="false" ht="15" hidden="false" customHeight="false" outlineLevel="0" collapsed="false">
      <c r="A32" s="16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"/>
    <col collapsed="false" customWidth="true" hidden="false" outlineLevel="0" max="6" min="3" style="0" width="14"/>
  </cols>
  <sheetData>
    <row r="1" customFormat="false" ht="15.75" hidden="false" customHeight="true" outlineLevel="0" collapsed="false">
      <c r="A1" s="11" t="s">
        <v>108</v>
      </c>
      <c r="B1" s="12"/>
      <c r="C1" s="12"/>
      <c r="D1" s="12"/>
      <c r="E1" s="12"/>
      <c r="F1" s="12"/>
    </row>
    <row r="3" customFormat="false" ht="15" hidden="false" customHeight="false" outlineLevel="0" collapsed="false">
      <c r="A3" s="13" t="s">
        <v>109</v>
      </c>
    </row>
    <row r="4" customFormat="false" ht="15" hidden="false" customHeight="false" outlineLevel="0" collapsed="false">
      <c r="A4" s="14" t="s">
        <v>110</v>
      </c>
      <c r="C4" s="24" t="n">
        <v>11102600</v>
      </c>
    </row>
    <row r="5" customFormat="false" ht="15" hidden="false" customHeight="false" outlineLevel="0" collapsed="false">
      <c r="A5" s="14" t="s">
        <v>111</v>
      </c>
      <c r="C5" s="25" t="n">
        <f aca="false">2210615+496228</f>
        <v>2706843</v>
      </c>
    </row>
    <row r="6" customFormat="false" ht="15" hidden="false" customHeight="false" outlineLevel="0" collapsed="false">
      <c r="A6" s="14" t="s">
        <v>112</v>
      </c>
      <c r="C6" s="34" t="n">
        <v>9.61</v>
      </c>
    </row>
    <row r="7" customFormat="false" ht="15" hidden="false" customHeight="false" outlineLevel="0" collapsed="false">
      <c r="A7" s="14" t="s">
        <v>113</v>
      </c>
      <c r="C7" s="24" t="n">
        <v>1807202</v>
      </c>
    </row>
    <row r="8" customFormat="false" ht="15" hidden="false" customHeight="false" outlineLevel="0" collapsed="false">
      <c r="A8" s="14" t="s">
        <v>114</v>
      </c>
      <c r="C8" s="24" t="n">
        <v>111380</v>
      </c>
    </row>
    <row r="9" customFormat="false" ht="15" hidden="false" customHeight="false" outlineLevel="0" collapsed="false">
      <c r="A9" s="14" t="s">
        <v>67</v>
      </c>
      <c r="C9" s="34" t="n">
        <v>100</v>
      </c>
    </row>
    <row r="10" customFormat="false" ht="15" hidden="false" customHeight="false" outlineLevel="0" collapsed="false">
      <c r="A10" s="53" t="s">
        <v>115</v>
      </c>
      <c r="C10" s="54" t="n">
        <f aca="false">(C9*C8-C7)/C5</f>
        <v>3.44711459068738</v>
      </c>
    </row>
    <row r="11" customFormat="false" ht="15" hidden="false" customHeight="false" outlineLevel="0" collapsed="false">
      <c r="A11" s="53" t="s">
        <v>116</v>
      </c>
      <c r="C11" s="54" t="n">
        <f aca="false">C9/C6</f>
        <v>10.4058272632674</v>
      </c>
    </row>
    <row r="13" customFormat="false" ht="15" hidden="false" customHeight="false" outlineLevel="0" collapsed="false">
      <c r="A13" s="13" t="s">
        <v>117</v>
      </c>
    </row>
    <row r="14" customFormat="false" ht="28.35" hidden="false" customHeight="false" outlineLevel="0" collapsed="false">
      <c r="A14" s="55" t="s">
        <v>118</v>
      </c>
      <c r="C14" s="56" t="s">
        <v>119</v>
      </c>
      <c r="D14" s="56" t="s">
        <v>120</v>
      </c>
      <c r="E14" s="56" t="s">
        <v>121</v>
      </c>
      <c r="F14" s="56" t="s">
        <v>122</v>
      </c>
    </row>
    <row r="15" customFormat="false" ht="15" hidden="false" customHeight="false" outlineLevel="0" collapsed="false">
      <c r="A15" s="14" t="s">
        <v>123</v>
      </c>
      <c r="C15" s="57" t="n">
        <v>4.5</v>
      </c>
      <c r="D15" s="57" t="n">
        <v>7.5</v>
      </c>
      <c r="E15" s="58" t="n">
        <f aca="false">(C5*C15+C7)/C8</f>
        <v>125.588036451787</v>
      </c>
      <c r="F15" s="58" t="n">
        <f aca="false">(C5*D15+C7)/C8</f>
        <v>198.496359310469</v>
      </c>
    </row>
    <row r="16" customFormat="false" ht="15" hidden="false" customHeight="false" outlineLevel="0" collapsed="false">
      <c r="A16" s="14" t="s">
        <v>124</v>
      </c>
      <c r="C16" s="57" t="n">
        <v>10</v>
      </c>
      <c r="D16" s="57" t="n">
        <v>18</v>
      </c>
      <c r="E16" s="58" t="n">
        <f aca="false">C6*C16</f>
        <v>96.1</v>
      </c>
      <c r="F16" s="58" t="n">
        <f aca="false">C6*D16</f>
        <v>172.98</v>
      </c>
    </row>
    <row r="17" customFormat="false" ht="15" hidden="false" customHeight="false" outlineLevel="0" collapsed="false">
      <c r="A17" s="14" t="s">
        <v>125</v>
      </c>
      <c r="C17" s="59" t="s">
        <v>126</v>
      </c>
      <c r="D17" s="59" t="s">
        <v>126</v>
      </c>
      <c r="E17" s="58" t="n">
        <f aca="false">Scenarios!C29</f>
        <v>90.9438073073414</v>
      </c>
      <c r="F17" s="58" t="n">
        <f aca="false">Scenarios!E29</f>
        <v>238.916142144775</v>
      </c>
    </row>
    <row r="19" customFormat="false" ht="16.4" hidden="false" customHeight="false" outlineLevel="0" collapsed="false">
      <c r="A19" s="60" t="s">
        <v>127</v>
      </c>
      <c r="C19" s="61" t="n">
        <v>100</v>
      </c>
    </row>
    <row r="20" customFormat="false" ht="15" hidden="false" customHeight="false" outlineLevel="0" collapsed="false">
      <c r="A20" s="16" t="s">
        <v>128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2026-09-06T18:14:45Z</dcterms:created>
  <dc:creator>openpyxl</dc:creator>
  <dc:description/>
  <dc:language>en-US</dc:language>
  <cp:lastModifiedBy/>
  <dcterms:modified xsi:type="dcterms:W3CDTF">2026-09-06T18:14:45Z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
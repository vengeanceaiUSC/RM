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Bridge'!F$35)</f>
        <v/>
      </c>
      <c r="G48" s="42">
        <f>'NOPAT Bridge'!F37</f>
        <v/>
      </c>
      <c r="H48" s="42">
        <f>H43*(1-'NOPAT Bridge'!F$35)</f>
        <v/>
      </c>
    </row>
    <row r="49">
      <c r="A49" s="41" t="inlineStr">
        <is>
          <t xml:space="preserve">  NOPAT – year 2</t>
        </is>
      </c>
      <c r="F49" s="42">
        <f>F44*(1-'NOPAT Bridge'!G$35)</f>
        <v/>
      </c>
      <c r="G49" s="42">
        <f>'NOPAT Bridge'!G37</f>
        <v/>
      </c>
      <c r="H49" s="42">
        <f>H44*(1-'NOPAT Bridge'!G$35)</f>
        <v/>
      </c>
    </row>
    <row r="50">
      <c r="A50" s="41" t="inlineStr">
        <is>
          <t xml:space="preserve">  NOPAT – year 3</t>
        </is>
      </c>
      <c r="F50" s="42">
        <f>F45*(1-'NOPAT Bridge'!H$35)</f>
        <v/>
      </c>
      <c r="G50" s="42">
        <f>'NOPAT Bridge'!H37</f>
        <v/>
      </c>
      <c r="H50" s="42">
        <f>H45*(1-'NOPAT Bridge'!H$35)</f>
        <v/>
      </c>
    </row>
    <row r="51">
      <c r="A51" s="41" t="inlineStr">
        <is>
          <t xml:space="preserve">  NOPAT – year 4</t>
        </is>
      </c>
      <c r="F51" s="42">
        <f>F46*(1-'NOPAT Bridge'!I$35)</f>
        <v/>
      </c>
      <c r="G51" s="42">
        <f>'NOPAT Bridge'!I37</f>
        <v/>
      </c>
      <c r="H51" s="42">
        <f>H46*(1-'NOPAT Bridge'!I$35)</f>
        <v/>
      </c>
    </row>
    <row r="52">
      <c r="A52" s="41" t="inlineStr">
        <is>
          <t xml:space="preserve">  NOPAT – year 5</t>
        </is>
      </c>
      <c r="F52" s="42">
        <f>F47*(1-'NOPAT Bridge'!J$35)</f>
        <v/>
      </c>
      <c r="G52" s="42">
        <f>'NOPAT Bridge'!J37</f>
        <v/>
      </c>
      <c r="H52" s="42">
        <f>H47*(1-'NOPAT Bridge'!J$35)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(1 = yes; diluted-shares / UFCF convention)</t>
        </is>
      </c>
      <c r="B7" s="17" t="inlineStr">
        <is>
          <t>Not % of revenue — SBC add-back flag (1 = yes). UFCF uses diluted shares; add back non-cash SBC to EBIT. FY25 SBC $62,203k scaled with revenue in forecast.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($000). Flag = 1 adds back to EBIT (diluted-shares UFCF convention).</t>
        </is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</row>
    <row r="8" ht="28" customHeight="1">
      <c r="A8" s="16" t="inlineStr">
        <is>
          <t>Phase 3: Store-channel EBIT margin %</t>
        </is>
      </c>
      <c r="B8" s="17" t="inlineStr">
        <is>
          <t>18.6% EBIT margin on store-channel revenue. Calibrated so FY25 channel EBIT ≈ reported EBIT.</t>
        </is>
      </c>
      <c r="C8" s="24" t="inlineStr">
        <is>
          <t>NOPAT Bridge tab: channel margin calibration</t>
        </is>
      </c>
      <c r="D8" s="19" t="inlineStr">
        <is>
          <t>Channel margin assumption — calibrated so FY25 store rev × 18.6% + e-comm × 23.6% + other × 9.1% ≈ reported EBIT.</t>
        </is>
      </c>
      <c r="E8" s="20" t="n">
        <v>0.186</v>
      </c>
      <c r="F8" s="20" t="n">
        <v>0.186</v>
      </c>
      <c r="G8" s="20" t="n">
        <v>0.186</v>
      </c>
      <c r="H8" s="20" t="n">
        <v>0.186</v>
      </c>
      <c r="I8" s="20" t="n">
        <v>0.186</v>
      </c>
      <c r="J8" s="20" t="n">
        <v>0.186</v>
      </c>
    </row>
    <row r="9" ht="28" customHeight="1">
      <c r="A9" s="16" t="inlineStr">
        <is>
          <t>Phase 3: E-commerce EBIT margin %</t>
        </is>
      </c>
      <c r="B9" s="17" t="inlineStr">
        <is>
          <t>23.6% EBIT margin on e-commerce revenue. Higher than stores (no occupancy).</t>
        </is>
      </c>
      <c r="C9" s="24" t="inlineStr">
        <is>
          <t>NOPAT Bridge tab: channel margin calibration</t>
        </is>
      </c>
      <c r="D9" s="19" t="inlineStr">
        <is>
          <t>E-commerce EBIT margin 23.6% — higher than stores (no occupancy drag).</t>
        </is>
      </c>
      <c r="E9" s="20" t="n">
        <v>0.236</v>
      </c>
      <c r="F9" s="20" t="n">
        <v>0.236</v>
      </c>
      <c r="G9" s="20" t="n">
        <v>0.236</v>
      </c>
      <c r="H9" s="20" t="n">
        <v>0.236</v>
      </c>
      <c r="I9" s="20" t="n">
        <v>0.236</v>
      </c>
      <c r="J9" s="20" t="n">
        <v>0.236</v>
      </c>
    </row>
    <row r="10" ht="28" customHeight="1">
      <c r="A10" s="16" t="inlineStr">
        <is>
          <t>Phase 3: Other-channels EBIT margin %</t>
        </is>
      </c>
      <c r="B10" s="17" t="inlineStr">
        <is>
          <t>9.1% EBIT margin on wholesale/license/outlets — lower-margin residual channel.</t>
        </is>
      </c>
      <c r="C10" s="24" t="inlineStr">
        <is>
          <t>NOPAT Bridge tab: channel margin calibration</t>
        </is>
      </c>
      <c r="D10" s="19" t="inlineStr">
        <is>
          <t>Other channels 9.1% — wholesale/license/outlets residual margin.</t>
        </is>
      </c>
      <c r="E10" s="20" t="n">
        <v>0.091</v>
      </c>
      <c r="F10" s="20" t="n">
        <v>0.091</v>
      </c>
      <c r="G10" s="20" t="n">
        <v>0.091</v>
      </c>
      <c r="H10" s="20" t="n">
        <v>0.091</v>
      </c>
      <c r="I10" s="20" t="n">
        <v>0.091</v>
      </c>
      <c r="J10" s="20" t="n">
        <v>0.091</v>
      </c>
    </row>
    <row r="11" ht="28" customHeight="1">
      <c r="A11" s="16" t="inlineStr">
        <is>
          <t>Phase 4: Terminal marginal tax rate</t>
        </is>
      </c>
      <c r="B11" s="17" t="inlineStr">
        <is>
          <t>30% statutory marginal rate. t_operating transitions here over the 5-year forecast.</t>
        </is>
      </c>
      <c r="C11" s="18" t="inlineStr">
        <is>
          <t>Q2 FY2026 outlook: tax rate ≈ 30%</t>
        </is>
      </c>
      <c r="D11" s="19" t="inlineStr">
        <is>
          <t>Ctrl+F "a tax rate of approximately 30%" → terminal marginal rate for t_operating glide path.</t>
        </is>
      </c>
      <c r="E11" s="20" t="n">
        <v>0.3</v>
      </c>
      <c r="F11" s="20" t="n">
        <v>0.3</v>
      </c>
      <c r="G11" s="20" t="n">
        <v>0.3</v>
      </c>
      <c r="H11" s="20" t="n">
        <v>0.3</v>
      </c>
      <c r="I11" s="20" t="n">
        <v>0.3</v>
      </c>
      <c r="J11" s="20" t="n">
        <v>0.3</v>
      </c>
    </row>
    <row r="12" ht="28" customHeight="1">
      <c r="A12" s="16" t="inlineStr">
        <is>
          <t>Phase 2: R&amp;D / software amortization period (years)</t>
        </is>
      </c>
      <c r="B12" s="17" t="inlineStr">
        <is>
          <t>Not % of revenue — amortization period (years) if R&amp;D/software is capitalized. LULU: no separate R&amp;D cap.</t>
        </is>
      </c>
      <c r="C12" s="24" t="inlineStr">
        <is>
          <t>NOPAT Bridge: capitalization convention</t>
        </is>
      </c>
      <c r="D12" s="19" t="inlineStr">
        <is>
          <t>Amortization period if R&amp;D capitalized (3–5 yr convention). LULU: no separate R&amp;D capitalization.</t>
        </is>
      </c>
      <c r="E12" s="40" t="n">
        <v>4</v>
      </c>
      <c r="F12" s="40" t="n">
        <v>4</v>
      </c>
      <c r="G12" s="40" t="n">
        <v>4</v>
      </c>
      <c r="H12" s="40" t="n">
        <v>4</v>
      </c>
      <c r="I12" s="40" t="n">
        <v>4</v>
      </c>
      <c r="J12" s="40" t="n">
        <v>4</v>
      </c>
    </row>
    <row r="14" hidden="1" outlineLevel="1">
      <c r="A14" s="72" t="inlineStr">
        <is>
          <t>Phase 1 — Operating normalization</t>
        </is>
      </c>
    </row>
    <row r="15" hidden="1" outlineLevel="1" ht="28" customHeight="1">
      <c r="A15" s="16" t="inlineStr">
        <is>
          <t>Reported operating income (EBIT)</t>
        </is>
      </c>
      <c r="B15" s="17" t="inlineStr">
        <is>
          <t>FY25: reported operating income from 10-K. Forecast: Scenarios base-case EBIT (margin path).</t>
        </is>
      </c>
      <c r="C15" s="18" t="inlineStr">
        <is>
          <t>LULU FY2025 10-K: Income from operations</t>
        </is>
      </c>
      <c r="D15" s="19" t="inlineStr">
        <is>
          <t>Ctrl+F "Income from operations" → 2,210,615 ($000). Forecast links to Scenarios EBIT.</t>
        </is>
      </c>
      <c r="E15" s="73" t="n">
        <v>2210615</v>
      </c>
      <c r="F15" s="74">
        <f>Scenarios!G43</f>
        <v/>
      </c>
      <c r="G15" s="74">
        <f>Scenarios!G44</f>
        <v/>
      </c>
      <c r="H15" s="74">
        <f>Scenarios!G45</f>
        <v/>
      </c>
      <c r="I15" s="74">
        <f>Scenarios!G46</f>
        <v/>
      </c>
      <c r="J15" s="74">
        <f>Scenarios!G47</f>
        <v/>
      </c>
    </row>
    <row r="16" hidden="1" outlineLevel="1" ht="28" customHeight="1">
      <c r="A16" s="16" t="inlineStr">
        <is>
          <t>+ Impairment / intangible amortization (add-back)</t>
        </is>
      </c>
      <c r="B16" s="17" t="inlineStr">
        <is>
          <t>Add back intangible amortization / impairments. FY25 = other operating expense amortization run-rate.</t>
        </is>
      </c>
      <c r="C16" s="18" t="inlineStr">
        <is>
          <t>LULU FY2025 10-K: amortization of intangible assets</t>
        </is>
      </c>
      <c r="D16" s="19" t="inlineStr">
        <is>
          <t>Ctrl+F "Amortization of intangible assets" → other operating expense run-rate (add-back).</t>
        </is>
      </c>
      <c r="E16" s="73" t="n">
        <v>6961</v>
      </c>
      <c r="F16" s="74" t="n">
        <v>0</v>
      </c>
      <c r="G16" s="74" t="n">
        <v>0</v>
      </c>
      <c r="H16" s="74" t="n">
        <v>0</v>
      </c>
      <c r="I16" s="74" t="n">
        <v>0</v>
      </c>
      <c r="J16" s="74" t="n">
        <v>0</v>
      </c>
    </row>
    <row r="17" hidden="1" outlineLevel="1" ht="28" customHeight="1">
      <c r="A17" s="16" t="inlineStr">
        <is>
          <t>+ Restructuring costs (add-back)</t>
        </is>
      </c>
      <c r="B17" s="17" t="inlineStr">
        <is>
          <t>Add back restructuring (severance, store closures). LULU FY25: none identified.</t>
        </is>
      </c>
      <c r="C17" s="18" t="inlineStr">
        <is>
          <t>LULU FY2025 10-K: restructuring charges</t>
        </is>
      </c>
      <c r="D17" s="19" t="inlineStr">
        <is>
          <t>Ctrl+F "restructuring" → none material in FY25 10-K.</t>
        </is>
      </c>
      <c r="E17" s="73" t="n">
        <v>0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Legal / M&amp;A one-offs (add-back)</t>
        </is>
      </c>
      <c r="B18" s="17" t="inlineStr">
        <is>
          <t>Strip one-off legal / M&amp;A advisory fees. LULU FY25: none identified.</t>
        </is>
      </c>
      <c r="C18" s="18" t="inlineStr">
        <is>
          <t>LULU FY2025 10-K: SG&amp;A one-offs</t>
        </is>
      </c>
      <c r="D18" s="19" t="inlineStr">
        <is>
          <t>One-off legal/M&amp;A fees in SG&amp;A — none identified FY25.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42" customHeight="1">
      <c r="A19" s="16" t="inlineStr">
        <is>
          <t>+ Stock-based compensation (add-back if flag = 1)</t>
        </is>
      </c>
      <c r="B19" s="17" t="inlineStr">
        <is>
          <t>Not % of revenue — SBC add-back flag (1 = yes). UFCF uses diluted shares; add back non-cash SBC to EBIT. FY25 SBC $62,203k scaled with revenue in forecast.</t>
        </is>
      </c>
      <c r="C19" s="18" t="inlineStr">
        <is>
          <t>LULU CF statement (10-K): stock-based compensation</t>
        </is>
      </c>
      <c r="D19" s="19" t="inlineStr">
        <is>
          <t>Ctrl+F "Stock-based compensation expense"
→ 62,203 ($000). Flag = 1 adds back to EBIT (diluted-shares UFCF convention).</t>
        </is>
      </c>
      <c r="E19" s="73" t="n">
        <v>62203</v>
      </c>
      <c r="F19" s="74">
        <f>Scenarios!G23/11102600*62203*$E$7</f>
        <v/>
      </c>
      <c r="G19" s="74">
        <f>Scenarios!G24/11102600*62203*$E$7</f>
        <v/>
      </c>
      <c r="H19" s="74">
        <f>Scenarios!G25/11102600*62203*$E$7</f>
        <v/>
      </c>
      <c r="I19" s="74">
        <f>Scenarios!G26/11102600*62203*$E$7</f>
        <v/>
      </c>
      <c r="J19" s="74">
        <f>Scenarios!G27/11102600*62203*$E$7</f>
        <v/>
      </c>
    </row>
    <row r="20" hidden="1" outlineLevel="1" ht="28" customHeight="1">
      <c r="A20" s="23">
        <f> Adjusted EBIT (Phase 1)</f>
        <v/>
      </c>
      <c r="B20" s="17" t="inlineStr">
        <is>
          <t>Phase 1 adjusted EBIT = reported + non-recurring add-backs + optional SBC.</t>
        </is>
      </c>
      <c r="C20" s="24" t="inlineStr">
        <is>
          <t>NOPAT Bridge tab: Phase 1 subtotal</t>
        </is>
      </c>
      <c r="D20" s="19" t="inlineStr">
        <is>
          <t>Sum of reported EBIT + Phase 1 add-backs on this tab.</t>
        </is>
      </c>
      <c r="F20" s="25">
        <f>F15+F16+F17+F18+F19</f>
        <v/>
      </c>
      <c r="G20" s="25">
        <f>G15+G16+G17+G18+G19</f>
        <v/>
      </c>
      <c r="H20" s="25">
        <f>H15+H16+H17+H18+H19</f>
        <v/>
      </c>
      <c r="I20" s="25">
        <f>I15+I16+I17+I18+I19</f>
        <v/>
      </c>
      <c r="J20" s="25">
        <f>J15+J16+J17+J18+J19</f>
        <v/>
      </c>
    </row>
    <row r="21" hidden="1" outlineLevel="1">
      <c r="A21" s="72" t="inlineStr">
        <is>
          <t>Phase 2 — Lease &amp; capitalization (ASC 842 / IFRS 16)</t>
        </is>
      </c>
    </row>
    <row r="22" hidden="1" outlineLevel="1" ht="42" customHeight="1">
      <c r="A22" s="16" t="inlineStr">
        <is>
          <t>+ Implied lease interest expense (reclass from rent)</t>
        </is>
      </c>
      <c r="B22" s="17" t="inlineStr">
        <is>
          <t>Not % of revenue — implied lease interest ($1,028k FY25). Reclass from rent to unlevered EBIT; scales with revenue in forecast.</t>
        </is>
      </c>
      <c r="C22" s="18" t="inlineStr">
        <is>
          <t>LULU FY2025 10-K: interest on lease liabilities (supplemental)</t>
        </is>
      </c>
      <c r="D22" s="19" t="inlineStr">
        <is>
          <t>Ctrl+F "Interest paid on lease liabilities"
→ 1,028 ($000) supplemental cash-flow disclosure. Reclass to unlevered EBIT.</t>
        </is>
      </c>
      <c r="E22" s="73" t="n">
        <v>1028</v>
      </c>
      <c r="F22" s="74">
        <f>1028*(Scenarios!G23/11102600)</f>
        <v/>
      </c>
      <c r="G22" s="74">
        <f>1028*(Scenarios!G24/11102600)</f>
        <v/>
      </c>
      <c r="H22" s="74">
        <f>1028*(Scenarios!G25/11102600)</f>
        <v/>
      </c>
      <c r="I22" s="74">
        <f>1028*(Scenarios!G26/11102600)</f>
        <v/>
      </c>
      <c r="J22" s="74">
        <f>1028*(Scenarios!G27/11102600)</f>
        <v/>
      </c>
    </row>
    <row r="23" hidden="1" outlineLevel="1" ht="28" customHeight="1">
      <c r="A23" s="16" t="inlineStr">
        <is>
          <t>+ Capitalize R&amp;D / software (current-year expense)</t>
        </is>
      </c>
      <c r="B23" s="17" t="inlineStr">
        <is>
          <t>Capitalize multi-year software/R&amp;D. LULU: immaterial separate R&amp;D line — held at $0.</t>
        </is>
      </c>
      <c r="C23" s="18" t="inlineStr">
        <is>
          <t>LULU FY2025 10-K: R&amp;D / software expense</t>
        </is>
      </c>
      <c r="D23" s="19" t="inlineStr">
        <is>
          <t>R&amp;D / software capitalization — LULU immaterial; held at $0.</t>
        </is>
      </c>
      <c r="E23" s="73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</row>
    <row r="24" hidden="1" outlineLevel="1" ht="28" customHeight="1">
      <c r="A24" s="16" t="inlineStr">
        <is>
          <t>− Amortization of prior capitalized intangibles</t>
        </is>
      </c>
      <c r="B24" s="17" t="inlineStr">
        <is>
          <t>Amortization of prior capitalized intangibles. LULU: flows through existing D&amp;A.</t>
        </is>
      </c>
      <c r="C24" s="18" t="inlineStr">
        <is>
          <t>LULU FY2025 10-K: intangible amortization</t>
        </is>
      </c>
      <c r="D24" s="19" t="inlineStr">
        <is>
          <t>Amortization of prior capitalized intangibles — netted in D&amp;A line.</t>
        </is>
      </c>
      <c r="E24" s="73" t="n">
        <v>6961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23">
        <f> EBIT after lease &amp; capitalization (Phase 2)</f>
        <v/>
      </c>
      <c r="B25" s="17" t="inlineStr">
        <is>
          <t>Phase 2 EBIT = Phase 1 + lease interest reclass + R&amp;D cap − amortization.</t>
        </is>
      </c>
      <c r="C25" s="24" t="inlineStr">
        <is>
          <t>NOPAT Bridge tab: Phase 2 subtotal</t>
        </is>
      </c>
      <c r="D25" s="19" t="inlineStr">
        <is>
          <t>Phase 1 + lease interest + R&amp;D cap − amortization.</t>
        </is>
      </c>
      <c r="F25" s="25">
        <f>F20+F22+F23-F24</f>
        <v/>
      </c>
      <c r="G25" s="25">
        <f>G20+G22+G23-G24</f>
        <v/>
      </c>
      <c r="H25" s="25">
        <f>H20+H22+H23-H24</f>
        <v/>
      </c>
      <c r="I25" s="25">
        <f>I20+I22+I23-I24</f>
        <v/>
      </c>
      <c r="J25" s="25">
        <f>J20+J22+J23-J24</f>
        <v/>
      </c>
    </row>
    <row r="26" hidden="1" outlineLevel="1">
      <c r="A26" s="72" t="inlineStr">
        <is>
          <t>Phase 3 — Segment / channel EBIT (driver-based)</t>
        </is>
      </c>
    </row>
    <row r="27" hidden="1" outlineLevel="1" ht="28" customHeight="1">
      <c r="A27" s="16" t="inlineStr">
        <is>
          <t xml:space="preserve">  Store-channel revenue</t>
        </is>
      </c>
      <c r="B27" s="17" t="inlineStr">
        <is>
          <t>Not % of revenue — store-channel revenue from Revenue Drivers tab.</t>
        </is>
      </c>
      <c r="C27" s="18" t="inlineStr">
        <is>
          <t>Revenue Drivers tab: store-channel revenue</t>
        </is>
      </c>
      <c r="D27" s="19" t="inlineStr">
        <is>
          <t>Revenue Drivers tab → store-channel revenue row.</t>
        </is>
      </c>
      <c r="E27" s="73" t="n">
        <v>5049744</v>
      </c>
      <c r="F27" s="74">
        <f>'Revenue Drivers'!F31</f>
        <v/>
      </c>
      <c r="G27" s="74">
        <f>'Revenue Drivers'!G31</f>
        <v/>
      </c>
      <c r="H27" s="74">
        <f>'Revenue Drivers'!H31</f>
        <v/>
      </c>
      <c r="I27" s="74">
        <f>'Revenue Drivers'!I31</f>
        <v/>
      </c>
      <c r="J27" s="74">
        <f>'Revenue Drivers'!J31</f>
        <v/>
      </c>
    </row>
    <row r="28" hidden="1" outlineLevel="1" ht="28" customHeight="1">
      <c r="A28" s="16" t="inlineStr">
        <is>
          <t xml:space="preserve">  E-commerce revenue</t>
        </is>
      </c>
      <c r="B28" s="17" t="inlineStr">
        <is>
          <t>Not % of revenue — e-commerce revenue from Revenue Drivers tab.</t>
        </is>
      </c>
      <c r="C28" s="18" t="inlineStr">
        <is>
          <t>Revenue Drivers tab: e-commerce revenue</t>
        </is>
      </c>
      <c r="D28" s="19" t="inlineStr">
        <is>
          <t>Revenue Drivers tab → e-commerce revenue row.</t>
        </is>
      </c>
      <c r="E28" s="73" t="n">
        <v>4918697</v>
      </c>
      <c r="F28" s="74">
        <f>'Revenue Drivers'!F41</f>
        <v/>
      </c>
      <c r="G28" s="74">
        <f>'Revenue Drivers'!G41</f>
        <v/>
      </c>
      <c r="H28" s="74">
        <f>'Revenue Drivers'!H41</f>
        <v/>
      </c>
      <c r="I28" s="74">
        <f>'Revenue Drivers'!I41</f>
        <v/>
      </c>
      <c r="J28" s="74">
        <f>'Revenue Drivers'!J41</f>
        <v/>
      </c>
    </row>
    <row r="29" hidden="1" outlineLevel="1" ht="28" customHeight="1">
      <c r="A29" s="16" t="inlineStr">
        <is>
          <t xml:space="preserve">  Other channels revenue</t>
        </is>
      </c>
      <c r="B29" s="17" t="inlineStr">
        <is>
          <t>Not % of revenue — wholesale/license/outlet revenue from Revenue Drivers tab.</t>
        </is>
      </c>
      <c r="C29" s="18" t="inlineStr">
        <is>
          <t>Revenue Drivers tab: other channels revenue</t>
        </is>
      </c>
      <c r="D29" s="19" t="inlineStr">
        <is>
          <t>Revenue Drivers tab → other channels revenue row.</t>
        </is>
      </c>
      <c r="E29" s="73" t="n">
        <v>1134159</v>
      </c>
      <c r="F29" s="74">
        <f>'Revenue Drivers'!F45</f>
        <v/>
      </c>
      <c r="G29" s="74">
        <f>'Revenue Drivers'!G45</f>
        <v/>
      </c>
      <c r="H29" s="74">
        <f>'Revenue Drivers'!H45</f>
        <v/>
      </c>
      <c r="I29" s="74">
        <f>'Revenue Drivers'!I45</f>
        <v/>
      </c>
      <c r="J29" s="74">
        <f>'Revenue Drivers'!J45</f>
        <v/>
      </c>
    </row>
    <row r="30" hidden="1" outlineLevel="1" ht="28" customHeight="1">
      <c r="A30" s="23" t="inlineStr">
        <is>
          <t xml:space="preserve">  Channel EBIT (= Sum Rev_i x Margin_i)</t>
        </is>
      </c>
      <c r="B30" s="17" t="inlineStr">
        <is>
          <t>Phase 3 channel EBIT = Σ(Revenue_i × Margin_i). FY26 adds Scenarios tariff refund.</t>
        </is>
      </c>
      <c r="C30" s="24" t="inlineStr">
        <is>
          <t>NOPAT Bridge tab: channel EBIT formula</t>
        </is>
      </c>
      <c r="D30" s="19" t="inlineStr">
        <is>
          <t>Σ channel revenue × margin. FY26 adds Scenarios tariff refund cell.</t>
        </is>
      </c>
      <c r="F30" s="69">
        <f>F27*E$8+F28*E$9+F29*E$10+Scenarios!G7</f>
        <v/>
      </c>
      <c r="G30" s="69">
        <f>G27*E$8+G28*E$9+G29*E$10</f>
        <v/>
      </c>
      <c r="H30" s="69">
        <f>H27*E$8+H28*E$9+H29*E$10</f>
        <v/>
      </c>
      <c r="I30" s="69">
        <f>I27*E$8+I28*E$9+I29*E$10</f>
        <v/>
      </c>
      <c r="J30" s="69">
        <f>J27*E$8+J28*E$9+J29*E$10</f>
        <v/>
      </c>
    </row>
    <row r="31" hidden="1" outlineLevel="1" ht="28" customHeight="1">
      <c r="A31" s="23">
        <f> EBIT after channel mix (Phase 3)</f>
        <v/>
      </c>
      <c r="B31" s="17" t="inlineStr">
        <is>
          <t>Channel-mix EBIT output (Phase 3). Check row vs Scenarios shows channel vs margin-path gap.</t>
        </is>
      </c>
      <c r="C31" s="24" t="inlineStr">
        <is>
          <t>NOPAT Bridge tab: Phase 3 subtotal</t>
        </is>
      </c>
      <c r="D31" s="19" t="inlineStr">
        <is>
          <t>Channel EBIT subtotal (Phase 3). Compare Check row vs Scenarios.</t>
        </is>
      </c>
      <c r="E31" s="75" t="n">
        <v>2203273.345</v>
      </c>
      <c r="F31" s="25">
        <f>F30</f>
        <v/>
      </c>
      <c r="G31" s="25">
        <f>G30</f>
        <v/>
      </c>
      <c r="H31" s="25">
        <f>H30</f>
        <v/>
      </c>
      <c r="I31" s="25">
        <f>I30</f>
        <v/>
      </c>
      <c r="J31" s="25">
        <f>J30</f>
        <v/>
      </c>
    </row>
    <row r="32" hidden="1" outlineLevel="1" ht="28" customHeight="1">
      <c r="A32" s="23">
        <f> Normalized EBIT (tax base for NOPAT)</f>
        <v/>
      </c>
      <c r="B32" s="17" t="inlineStr">
        <is>
          <t>FY25: Phases 1–2 walk-through. Forecast: Scenarios base EBIT — tax base for NOPAT.</t>
        </is>
      </c>
      <c r="C32" s="24" t="inlineStr">
        <is>
          <t>Scenarios tab: base-case EBIT (forecast)</t>
        </is>
      </c>
      <c r="D32" s="19" t="inlineStr">
        <is>
          <t>FY25: Phase 1–2 formula. Forecast: Scenarios base EBIT (tax base).</t>
        </is>
      </c>
      <c r="E32" s="25">
        <f>E20+E22+E23-E24</f>
        <v/>
      </c>
      <c r="F32" s="25">
        <f>Scenarios!G43</f>
        <v/>
      </c>
      <c r="G32" s="25">
        <f>Scenarios!G44</f>
        <v/>
      </c>
      <c r="H32" s="25">
        <f>Scenarios!G45</f>
        <v/>
      </c>
      <c r="I32" s="25">
        <f>Scenarios!G46</f>
        <v/>
      </c>
      <c r="J32" s="25">
        <f>Scenarios!G47</f>
        <v/>
      </c>
    </row>
    <row r="33" hidden="1" outlineLevel="1">
      <c r="A33" s="16" t="inlineStr">
        <is>
          <t xml:space="preserve">  Check vs Scenarios EBIT (base case)</t>
        </is>
      </c>
      <c r="F33" s="74">
        <f>F32-Scenarios!G43</f>
        <v/>
      </c>
      <c r="G33" s="74">
        <f>G32-Scenarios!G44</f>
        <v/>
      </c>
      <c r="H33" s="74">
        <f>H32-Scenarios!G45</f>
        <v/>
      </c>
      <c r="I33" s="74">
        <f>I32-Scenarios!G46</f>
        <v/>
      </c>
      <c r="J33" s="74">
        <f>J32-Scenarios!G47</f>
        <v/>
      </c>
    </row>
    <row r="34" hidden="1" outlineLevel="1">
      <c r="A34" s="72" t="inlineStr">
        <is>
          <t>Phase 4 — Tax normalization to NOPAT</t>
        </is>
      </c>
    </row>
    <row r="35" hidden="1" outlineLevel="1" ht="70" customHeight="1">
      <c r="A35" s="16" t="inlineStr">
        <is>
          <t>Operating effective tax rate (t_operating)</t>
        </is>
      </c>
      <c r="B35" s="17" t="inlineStr">
        <is>
          <t>Operating effective tax rate: (tax + interest shield) ÷ (EBT + interest). Transitions from FY25 t_operating toward 30% marginal over 5 years.</t>
        </is>
      </c>
      <c r="C35" s="18" t="inlineStr">
        <is>
          <t>LULU FY2025 10-K: income tax &amp; interest expense</t>
        </is>
      </c>
      <c r="D35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5" s="76" t="n">
        <v>0.2946847649213503</v>
      </c>
      <c r="F35" s="32">
        <f>0.29468476492135026+(F$11-0.29468476492135026)*1/5</f>
        <v/>
      </c>
      <c r="G35" s="32">
        <f>0.29468476492135026+(G$11-0.29468476492135026)*2/5</f>
        <v/>
      </c>
      <c r="H35" s="32">
        <f>0.29468476492135026+(H$11-0.29468476492135026)*3/5</f>
        <v/>
      </c>
      <c r="I35" s="32">
        <f>0.29468476492135026+(I$11-0.29468476492135026)*4/5</f>
        <v/>
      </c>
      <c r="J35" s="32">
        <f>0.29468476492135026+(J$11-0.29468476492135026)*5/5</f>
        <v/>
      </c>
    </row>
    <row r="36" hidden="1" outlineLevel="1" ht="28" customHeight="1">
      <c r="A36" s="16" t="inlineStr">
        <is>
          <t>Unlevered tax on normalized EBIT</t>
        </is>
      </c>
      <c r="B36" s="17" t="inlineStr">
        <is>
          <t>Unlevered tax = normalized EBIT × t_operating. Strips debt-interest tax shield from GAAP rate.</t>
        </is>
      </c>
      <c r="C36" s="24" t="inlineStr">
        <is>
          <t>NOPAT Bridge tab: unlevered tax expense</t>
        </is>
      </c>
      <c r="D36" s="19" t="inlineStr">
        <is>
          <t>Normalized EBIT × t_operating — unlevered tax (no debt shield).</t>
        </is>
      </c>
      <c r="F36" s="74">
        <f>F32*F35</f>
        <v/>
      </c>
      <c r="G36" s="74">
        <f>G32*G35</f>
        <v/>
      </c>
      <c r="H36" s="74">
        <f>H32*H35</f>
        <v/>
      </c>
      <c r="I36" s="74">
        <f>I32*I35</f>
        <v/>
      </c>
      <c r="J36" s="74">
        <f>J32*J35</f>
        <v/>
      </c>
    </row>
    <row r="37" hidden="1" outlineLevel="1" ht="28" customHeight="1">
      <c r="A37" s="23" t="inlineStr">
        <is>
          <t>NORMALIZED NOPAT</t>
        </is>
      </c>
      <c r="B37" s="17" t="inlineStr">
        <is>
          <t>NORMALIZED NOPAT = EBIT_norm × (1 − t_operating). Scenarios base case links here.</t>
        </is>
      </c>
      <c r="C37" s="24" t="inlineStr">
        <is>
          <t>NOPAT Bridge tab: normalized NOPAT</t>
        </is>
      </c>
      <c r="D37" s="19" t="inlineStr">
        <is>
          <t>EBIT_norm − unlevered tax. Scenarios base-case NOPAT links to this row.</t>
        </is>
      </c>
      <c r="F37" s="25">
        <f>F32-F36</f>
        <v/>
      </c>
      <c r="G37" s="25">
        <f>G32-G36</f>
        <v/>
      </c>
      <c r="H37" s="25">
        <f>H32-H36</f>
        <v/>
      </c>
      <c r="I37" s="25">
        <f>I32-I36</f>
        <v/>
      </c>
      <c r="J37" s="25">
        <f>J32-J36</f>
        <v/>
      </c>
    </row>
    <row r="39">
      <c r="A39" s="72" t="inlineStr">
        <is>
          <t>Phase 5 — Agent workflow (execution steps)</t>
        </is>
      </c>
    </row>
    <row r="40">
      <c r="A40" s="60" t="inlineStr">
        <is>
          <t>1. Clean base</t>
        </is>
      </c>
      <c r="B40" s="77" t="inlineStr">
        <is>
          <t>SEC 10-K income statement</t>
        </is>
      </c>
      <c r="D40" s="26" t="inlineStr">
        <is>
          <t>Add back impairments, restructuring, M&amp;A; optional SBC add-back.</t>
        </is>
      </c>
      <c r="F40" s="78" t="inlineStr">
        <is>
          <t>EBIT_adj (Phase 1)</t>
        </is>
      </c>
    </row>
    <row r="41">
      <c r="A41" s="60" t="inlineStr">
        <is>
          <t>2. Capitalize R&amp;D</t>
        </is>
      </c>
      <c r="B41" s="77" t="inlineStr">
        <is>
          <t>SG&amp;A footnotes</t>
        </is>
      </c>
      <c r="D41" s="26" t="inlineStr">
        <is>
          <t>Capitalize multi-year software/R&amp;D; amortize over N years.</t>
        </is>
      </c>
      <c r="F41" s="78" t="inlineStr">
        <is>
          <t>EBIT_lease-adj (Phase 2)</t>
        </is>
      </c>
    </row>
    <row r="42">
      <c r="A42" s="60" t="inlineStr">
        <is>
          <t>3. Lease shift</t>
        </is>
      </c>
      <c r="B42" s="77" t="inlineStr">
        <is>
          <t>ASC 842 lease footnote</t>
        </is>
      </c>
      <c r="D42" s="26" t="inlineStr">
        <is>
          <t>Add implied lease interest; standardize to unlevered EBIT.</t>
        </is>
      </c>
      <c r="F42" s="78" t="inlineStr">
        <is>
          <t>EBIT_capitalized</t>
        </is>
      </c>
    </row>
    <row r="43">
      <c r="A43" s="60" t="inlineStr">
        <is>
          <t>4. Segment mix</t>
        </is>
      </c>
      <c r="B43" s="77" t="inlineStr">
        <is>
          <t>Revenue Drivers tab</t>
        </is>
      </c>
      <c r="D43" s="26" t="inlineStr">
        <is>
          <t>Blend store / e-comm / other EBIT margins by channel revenue share.</t>
        </is>
      </c>
      <c r="F43" s="78" t="inlineStr">
        <is>
          <t>Forecast EBIT</t>
        </is>
      </c>
    </row>
    <row r="44">
      <c r="A44" s="60" t="inlineStr">
        <is>
          <t>5. NOPAT bridge</t>
        </is>
      </c>
      <c r="B44" s="77" t="inlineStr">
        <is>
          <t>Normalized EBIT &amp; t_operating</t>
        </is>
      </c>
      <c r="D44" s="26" t="inlineStr">
        <is>
          <t>NOPAT = EBIT x (1 - t); transition t toward marginal rate.</t>
        </is>
      </c>
      <c r="F44" s="78" t="inlineStr">
        <is>
          <t>Normalized NOPAT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11" r:id="rId2"/>
    <hyperlink xmlns:r="http://schemas.openxmlformats.org/officeDocument/2006/relationships" ref="C15" r:id="rId3"/>
    <hyperlink xmlns:r="http://schemas.openxmlformats.org/officeDocument/2006/relationships" ref="E15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2" r:id="rId13"/>
    <hyperlink xmlns:r="http://schemas.openxmlformats.org/officeDocument/2006/relationships" ref="E22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ref="C27" location="'Revenue Drivers'!B31"/>
    <hyperlink xmlns:r="http://schemas.openxmlformats.org/officeDocument/2006/relationships" ref="E27" r:id="rId19"/>
    <hyperlink ref="C28" location="'Revenue Drivers'!B41"/>
    <hyperlink xmlns:r="http://schemas.openxmlformats.org/officeDocument/2006/relationships" ref="E28" r:id="rId20"/>
    <hyperlink ref="C29" location="'Revenue Drivers'!B45"/>
    <hyperlink xmlns:r="http://schemas.openxmlformats.org/officeDocument/2006/relationships" ref="E29" r:id="rId21"/>
    <hyperlink xmlns:r="http://schemas.openxmlformats.org/officeDocument/2006/relationships" ref="E31" r:id="rId22"/>
    <hyperlink xmlns:r="http://schemas.openxmlformats.org/officeDocument/2006/relationships" ref="C35" r:id="rId23"/>
    <hyperlink xmlns:r="http://schemas.openxmlformats.org/officeDocument/2006/relationships" ref="E35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9" t="inlineStr">
        <is>
          <t>Justification (~20 words)  [cols B–D: click + to expand]</t>
        </is>
      </c>
      <c r="C2" s="79" t="inlineStr">
        <is>
          <t>Source (click)</t>
        </is>
      </c>
      <c r="D2" s="79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9" t="inlineStr">
        <is>
          <t>Alt. source  [cols L–M: click + to expand]</t>
        </is>
      </c>
      <c r="M2" s="79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Bridge'!F36</f>
        <v/>
      </c>
      <c r="G13" s="74">
        <f>-'NOPAT Bridge'!G36</f>
        <v/>
      </c>
      <c r="H13" s="74">
        <f>-'NOPAT Bridge'!H36</f>
        <v/>
      </c>
      <c r="I13" s="74">
        <f>-'NOPAT Bridge'!I36</f>
        <v/>
      </c>
      <c r="J13" s="74">
        <f>-'NOPAT Bridge'!J36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92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3">
        <f>E46</f>
        <v/>
      </c>
      <c r="M63" s="94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4">
        <f>E44*E63</f>
        <v/>
      </c>
    </row>
    <row r="65">
      <c r="A65" s="16" t="inlineStr">
        <is>
          <t>PV of terminal value</t>
        </is>
      </c>
      <c r="E65" s="74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8">
        <f>(E66+E50+E51)/E55</f>
        <v/>
      </c>
    </row>
    <row r="69">
      <c r="A69" s="92" t="inlineStr">
        <is>
          <t>TERMINAL VALUE RECONCILIATION (GORDON vs EXIT MULTIPLE)</t>
        </is>
      </c>
      <c r="B69" s="13" t="n"/>
      <c r="C69" s="13" t="n"/>
      <c r="D69" s="13" t="n"/>
    </row>
    <row r="70">
      <c r="A70" s="99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100">
        <f>E46</f>
        <v/>
      </c>
      <c r="C72" s="100">
        <f>E63</f>
        <v/>
      </c>
      <c r="D72" s="100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101">
        <f>E56</f>
        <v/>
      </c>
      <c r="C74" s="101">
        <f>E67</f>
        <v/>
      </c>
      <c r="D74" s="101">
        <f>B74-C74</f>
        <v/>
      </c>
    </row>
    <row r="75">
      <c r="A75" s="67" t="inlineStr">
        <is>
          <t>Sanity check: multiples within ±1.5 turns?</t>
        </is>
      </c>
      <c r="B75" s="102">
        <f>IF(ABS(D72)&lt;=1.5,"PASS","REVIEW")</f>
        <v/>
      </c>
      <c r="C75" s="103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92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4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5" t="n">
        <v>0.015</v>
      </c>
      <c r="G79" s="105" t="n">
        <v>0.02</v>
      </c>
      <c r="H79" s="105" t="n">
        <v>0.0225</v>
      </c>
      <c r="I79" s="105" t="n">
        <v>0.025</v>
      </c>
      <c r="J79" s="105" t="n">
        <v>0.03</v>
      </c>
      <c r="L79" s="94" t="inlineStr">
        <is>
          <t>Scenarios: terminal g</t>
        </is>
      </c>
    </row>
    <row r="80" ht="28" customHeight="1">
      <c r="A80" s="105" t="n">
        <v>0.095</v>
      </c>
      <c r="C80" s="94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6">
        <f>(NPV(0.095,F35:J35)+(J35*(1+0.015)/(0.095-0.015))/(1+0.095)^5+E50+E51)/E55</f>
        <v/>
      </c>
      <c r="G80" s="106">
        <f>(NPV(0.095,F35:J35)+(J35*(1+0.02)/(0.095-0.02))/(1+0.095)^5+E50+E51)/E55</f>
        <v/>
      </c>
      <c r="H80" s="106">
        <f>(NPV(0.095,F35:J35)+(J35*(1+0.0225)/(0.095-0.0225))/(1+0.095)^5+E50+E51)/E55</f>
        <v/>
      </c>
      <c r="I80" s="106">
        <f>(NPV(0.095,F35:J35)+(J35*(1+0.025)/(0.095-0.025))/(1+0.095)^5+E50+E51)/E55</f>
        <v/>
      </c>
      <c r="J80" s="106">
        <f>(NPV(0.095,F35:J35)+(J35*(1+0.03)/(0.095-0.03))/(1+0.095)^5+E50+E51)/E55</f>
        <v/>
      </c>
      <c r="L80" s="94" t="inlineStr">
        <is>
          <t>WACC tab</t>
        </is>
      </c>
    </row>
    <row r="81" ht="28" customHeight="1">
      <c r="A81" s="105" t="n">
        <v>0.1</v>
      </c>
      <c r="D81" s="19" t="inlineStr">
        <is>
          <t>Ctrl+F "4.23%" (2025 implied ERP). Sensitivity WACC axis brackets the 10.5% base.</t>
        </is>
      </c>
      <c r="F81" s="106">
        <f>(NPV(0.1,F35:J35)+(J35*(1+0.015)/(0.1-0.015))/(1+0.1)^5+E50+E51)/E55</f>
        <v/>
      </c>
      <c r="G81" s="106">
        <f>(NPV(0.1,F35:J35)+(J35*(1+0.02)/(0.1-0.02))/(1+0.1)^5+E50+E51)/E55</f>
        <v/>
      </c>
      <c r="H81" s="106">
        <f>(NPV(0.1,F35:J35)+(J35*(1+0.0225)/(0.1-0.0225))/(1+0.1)^5+E50+E51)/E55</f>
        <v/>
      </c>
      <c r="I81" s="106">
        <f>(NPV(0.1,F35:J35)+(J35*(1+0.025)/(0.1-0.025))/(1+0.1)^5+E50+E51)/E55</f>
        <v/>
      </c>
      <c r="J81" s="106">
        <f>(NPV(0.1,F35:J35)+(J35*(1+0.03)/(0.1-0.03))/(1+0.1)^5+E50+E51)/E55</f>
        <v/>
      </c>
      <c r="L81" s="94" t="inlineStr">
        <is>
          <t>WACC tab</t>
        </is>
      </c>
    </row>
    <row r="82" ht="28" customHeight="1">
      <c r="A82" s="105" t="n">
        <v>0.105</v>
      </c>
      <c r="D82" s="19" t="inlineStr">
        <is>
          <t>Ctrl+F "4.23%" (2025 implied ERP). Sensitivity WACC axis brackets the 10.5% base.</t>
        </is>
      </c>
      <c r="F82" s="106">
        <f>(NPV(0.105,F35:J35)+(J35*(1+0.015)/(0.105-0.015))/(1+0.105)^5+E50+E51)/E55</f>
        <v/>
      </c>
      <c r="G82" s="106">
        <f>(NPV(0.105,F35:J35)+(J35*(1+0.02)/(0.105-0.02))/(1+0.105)^5+E50+E51)/E55</f>
        <v/>
      </c>
      <c r="H82" s="107">
        <f>(NPV(0.105,F35:J35)+(J35*(1+0.0225)/(0.105-0.0225))/(1+0.105)^5+E50+E51)/E55</f>
        <v/>
      </c>
      <c r="I82" s="106">
        <f>(NPV(0.105,F35:J35)+(J35*(1+0.025)/(0.105-0.025))/(1+0.105)^5+E50+E51)/E55</f>
        <v/>
      </c>
      <c r="J82" s="106">
        <f>(NPV(0.105,F35:J35)+(J35*(1+0.03)/(0.105-0.03))/(1+0.105)^5+E50+E51)/E55</f>
        <v/>
      </c>
      <c r="L82" s="94" t="inlineStr">
        <is>
          <t>WACC tab</t>
        </is>
      </c>
    </row>
    <row r="83" ht="28" customHeight="1">
      <c r="A83" s="105" t="n">
        <v>0.11</v>
      </c>
      <c r="D83" s="19" t="inlineStr">
        <is>
          <t>Ctrl+F "4.23%" (2025 implied ERP). Sensitivity WACC axis brackets the 10.5% base.</t>
        </is>
      </c>
      <c r="F83" s="106">
        <f>(NPV(0.11,F35:J35)+(J35*(1+0.015)/(0.11-0.015))/(1+0.11)^5+E50+E51)/E55</f>
        <v/>
      </c>
      <c r="G83" s="106">
        <f>(NPV(0.11,F35:J35)+(J35*(1+0.02)/(0.11-0.02))/(1+0.11)^5+E50+E51)/E55</f>
        <v/>
      </c>
      <c r="H83" s="106">
        <f>(NPV(0.11,F35:J35)+(J35*(1+0.0225)/(0.11-0.0225))/(1+0.11)^5+E50+E51)/E55</f>
        <v/>
      </c>
      <c r="I83" s="106">
        <f>(NPV(0.11,F35:J35)+(J35*(1+0.025)/(0.11-0.025))/(1+0.11)^5+E50+E51)/E55</f>
        <v/>
      </c>
      <c r="J83" s="106">
        <f>(NPV(0.11,F35:J35)+(J35*(1+0.03)/(0.11-0.03))/(1+0.11)^5+E50+E51)/E55</f>
        <v/>
      </c>
      <c r="L83" s="94" t="inlineStr">
        <is>
          <t>WACC tab</t>
        </is>
      </c>
    </row>
    <row r="84" ht="28" customHeight="1">
      <c r="A84" s="105" t="n">
        <v>0.115</v>
      </c>
      <c r="D84" s="19" t="inlineStr">
        <is>
          <t>Ctrl+F "4.23%" (2025 implied ERP). Sensitivity WACC axis brackets the 10.5% base.</t>
        </is>
      </c>
      <c r="F84" s="106">
        <f>(NPV(0.115,F35:J35)+(J35*(1+0.015)/(0.115-0.015))/(1+0.115)^5+E50+E51)/E55</f>
        <v/>
      </c>
      <c r="G84" s="106">
        <f>(NPV(0.115,F35:J35)+(J35*(1+0.02)/(0.115-0.02))/(1+0.115)^5+E50+E51)/E55</f>
        <v/>
      </c>
      <c r="H84" s="106">
        <f>(NPV(0.115,F35:J35)+(J35*(1+0.0225)/(0.115-0.0225))/(1+0.115)^5+E50+E51)/E55</f>
        <v/>
      </c>
      <c r="I84" s="106">
        <f>(NPV(0.115,F35:J35)+(J35*(1+0.025)/(0.115-0.025))/(1+0.115)^5+E50+E51)/E55</f>
        <v/>
      </c>
      <c r="J84" s="106">
        <f>(NPV(0.115,F35:J35)+(J35*(1+0.03)/(0.115-0.03))/(1+0.115)^5+E50+E51)/E55</f>
        <v/>
      </c>
      <c r="L84" s="94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4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3" t="inlineStr">
        <is>
          <t xml:space="preserve">  memo: current EV / EBITDA</t>
        </is>
      </c>
      <c r="E11" s="108">
        <f>(E10*E9-E8)/E5</f>
        <v/>
      </c>
    </row>
    <row r="12">
      <c r="A12" s="103" t="inlineStr">
        <is>
          <t xml:space="preserve">  memo: current P / E (FY2026E)</t>
        </is>
      </c>
      <c r="E12" s="108">
        <f>E10/E7</f>
        <v/>
      </c>
    </row>
    <row r="14">
      <c r="A14" s="14" t="inlineStr">
        <is>
          <t>EXIT MULTIPLE BUILD — FY2030E TERMINAL YEAR</t>
        </is>
      </c>
    </row>
    <row r="15">
      <c r="A15" s="10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9" t="inlineStr">
        <is>
          <t>Company</t>
        </is>
      </c>
      <c r="B18" s="109" t="inlineStr">
        <is>
          <t>Justification</t>
        </is>
      </c>
      <c r="C18" s="109" t="inlineStr">
        <is>
          <t>Source</t>
        </is>
      </c>
      <c r="D18" s="109" t="inlineStr">
        <is>
          <t>Ctrl+F / proof</t>
        </is>
      </c>
      <c r="E18" s="110" t="inlineStr">
        <is>
          <t>EV/EBITDA</t>
        </is>
      </c>
      <c r="I18" s="110" t="inlineStr">
        <is>
          <t>EV ($000)</t>
        </is>
      </c>
      <c r="J18" s="11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1">
        <f>IF(J19&lt;=0,"n.m.",I19/J19)</f>
        <v/>
      </c>
      <c r="I19" s="112" t="n">
        <v>11890440</v>
      </c>
      <c r="J19" s="11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1">
        <f>IF(J20&lt;=0,"n.m.",I20/J20)</f>
        <v/>
      </c>
      <c r="I20" s="112" t="n">
        <v>3208397</v>
      </c>
      <c r="J20" s="11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1">
        <f>IF(J21&lt;=0,"n.m.",I21/J21)</f>
        <v/>
      </c>
      <c r="I21" s="112" t="n">
        <v>35661944</v>
      </c>
      <c r="J21" s="11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1">
        <f>IF(J22&lt;=0,"n.m.",I22/J22)</f>
        <v/>
      </c>
      <c r="I22" s="112" t="n">
        <v>58972350</v>
      </c>
      <c r="J22" s="11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1">
        <f>IF(J23&lt;=0,"n.m.",I23/J23)</f>
        <v/>
      </c>
      <c r="I23" s="112" t="n">
        <v>10555510</v>
      </c>
      <c r="J23" s="11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1">
        <f>IF(J24&lt;=0,"n.m.",I24/J24)</f>
        <v/>
      </c>
      <c r="I24" s="112" t="n">
        <v>27284350</v>
      </c>
      <c r="J24" s="11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1">
        <f>IF(J25&lt;=0,"n.m.",I25/J25)</f>
        <v/>
      </c>
      <c r="I25" s="112" t="n">
        <v>7153911</v>
      </c>
      <c r="J25" s="11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1">
        <f>IF(J26&lt;=0,"n.m.",I26/J26)</f>
        <v/>
      </c>
      <c r="I26" s="112" t="n">
        <v>616045</v>
      </c>
      <c r="J26" s="11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1">
        <f>IF(J27&lt;=0,"n.m.",I27/J27)</f>
        <v/>
      </c>
      <c r="I27" s="112" t="n">
        <v>9422753</v>
      </c>
      <c r="J27" s="11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1">
        <f>IF(J28&lt;=0,"n.m.",I28/J28)</f>
        <v/>
      </c>
      <c r="I28" s="112" t="n">
        <v>1598873</v>
      </c>
      <c r="J28" s="11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1">
        <f>IF(J29&lt;=0,"n.m.",I29/J29)</f>
        <v/>
      </c>
      <c r="I29" s="112" t="n">
        <v>5236269</v>
      </c>
      <c r="J29" s="11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3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1">
        <f>AVERAGE(E19,E21,E22,E23,E24,E25,E26,E27,E28,E29)</f>
        <v/>
      </c>
    </row>
    <row r="41">
      <c r="A41" s="10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0">
        <f>DCF!E63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9" t="inlineStr">
        <is>
          <t>Method</t>
        </is>
      </c>
      <c r="B56" s="109" t="inlineStr">
        <is>
          <t>Justification</t>
        </is>
      </c>
      <c r="C56" s="109" t="inlineStr">
        <is>
          <t>Source</t>
        </is>
      </c>
      <c r="D56" s="109" t="inlineStr">
        <is>
          <t>Ctrl+F</t>
        </is>
      </c>
      <c r="E56" s="110" t="inlineStr">
        <is>
          <t>Low mult.</t>
        </is>
      </c>
      <c r="F56" s="110" t="inlineStr">
        <is>
          <t>High mult.</t>
        </is>
      </c>
      <c r="G56" s="110" t="inlineStr">
        <is>
          <t>Implied px (low)</t>
        </is>
      </c>
      <c r="H56" s="11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6" t="n">
        <v>5</v>
      </c>
      <c r="F57" s="116" t="n">
        <v>8</v>
      </c>
      <c r="G57" s="117">
        <f>(E6*E57+E8)/E9</f>
        <v/>
      </c>
      <c r="H57" s="117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4">
        <f>DCF!E63</f>
        <v/>
      </c>
      <c r="G58" s="11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6" t="n">
        <v>10</v>
      </c>
      <c r="F59" s="116" t="n">
        <v>18</v>
      </c>
      <c r="G59" s="117">
        <f>E7*E59</f>
        <v/>
      </c>
      <c r="H59" s="117">
        <f>E7*F59</f>
        <v/>
      </c>
    </row>
    <row r="60">
      <c r="A60" s="16" t="inlineStr">
        <is>
          <t>DCF (bear – bull)</t>
        </is>
      </c>
      <c r="E60" s="119" t="inlineStr">
        <is>
          <t>—</t>
        </is>
      </c>
      <c r="F60" s="119" t="inlineStr">
        <is>
          <t>—</t>
        </is>
      </c>
      <c r="G60" s="117">
        <f>Scenarios!F130</f>
        <v/>
      </c>
      <c r="H60" s="117">
        <f>Scenarios!H130</f>
        <v/>
      </c>
    </row>
    <row r="62" ht="28" customHeight="1">
      <c r="A62" s="120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2026-09-08T00:14:09Z</dcterms:created>
  <dcterms:modified xmlns:dcterms="http://purl.org/dc/terms/" xmlns:xsi="http://www.w3.org/2001/XMLSchema-instance" xsi:type="dcterms:W3CDTF">2026-09-08T00:14:09Z</dcterms:modified>
</cp:coreProperties>
</file>
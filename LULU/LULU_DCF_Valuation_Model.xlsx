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www.stern.nyu.edu/~adamodar/New_Home_Page/datafile/Betas.html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30%”); FY25 effective was 29.5%.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(5Y) — levered βL</t>
        </is>
      </c>
      <c r="B17" s="17" t="inlineStr">
        <is>
          <t>StockAnalysis Beta (5Y) 0.86 is levered equity βL — the starting point for the unlever / relever chain below.</t>
        </is>
      </c>
      <c r="C17" s="18" t="inlineStr">
        <is>
          <t>StockAnalysis: LULU Beta (5Y)</t>
        </is>
      </c>
      <c r="D17" s="19" t="inlineStr">
        <is>
          <t>Ctrl+F "Beta (5Y)" → 0.86. Levered equity βL (StockAnalysis).</t>
        </is>
      </c>
      <c r="E17" s="27" t="n">
        <v>0.86</v>
      </c>
    </row>
    <row r="18" ht="28" customHeight="1">
      <c r="A18" s="16" t="inlineStr">
        <is>
          <t>Unlevered βu (Hamada; funded D/E only)</t>
        </is>
      </c>
      <c r="B18" s="17" t="inlineStr">
        <is>
          <t>βu = βL ÷ [1 + (1−T) × funded D/E]. No term loans → funded D/E = 0, so βu = 0.86.</t>
        </is>
      </c>
      <c r="C18" s="24" t="inlineStr">
        <is>
          <t>WACC tab: Hamada unlever (funded D/E)</t>
        </is>
      </c>
      <c r="D18" s="19" t="inlineStr">
        <is>
          <t>βu = E[βL] ÷ (1 + (1−T) × E[funded debt] ÷ E[market equity]). Funded debt = $0 → βu = 0.86.</t>
        </is>
      </c>
      <c r="E18" s="28">
        <f>E17/(1+(1-E5)*E13/E10)</f>
        <v/>
      </c>
    </row>
    <row r="19" ht="28" customHeight="1">
      <c r="A19" s="16" t="inlineStr">
        <is>
          <t>Sector βu benchmark (Damodaran Special Lines) — not used</t>
        </is>
      </c>
      <c r="B19" s="17" t="inlineStr">
        <is>
          <t>Damodaran unlevered Retail (Special Lines) βu 0.95 shown as a sector benchmark only — not the WACC input.</t>
        </is>
      </c>
      <c r="C19" s="18" t="inlineStr">
        <is>
          <t>Damodaran: US betas by sector (Jan 2026)</t>
        </is>
      </c>
      <c r="D19" s="19" t="inlineStr">
        <is>
          <t>Ctrl+F "Retail (Special Lines)" → Unlevered beta 0.95 (βu). Sector benchmark only — not used in WACC.</t>
        </is>
      </c>
      <c r="E19" s="27" t="n">
        <v>0.95</v>
      </c>
    </row>
    <row r="20" ht="150" customHeight="1">
      <c r="A20" s="23" t="inlineStr">
        <is>
          <t>Beta used (relevered for lease debt)</t>
        </is>
      </c>
      <c r="B20" s="17" t="inlineStr">
        <is>
          <t>βL = βu × [1 + (1−T) × total debt equiv. / E]. Relevers company βu for ASC 842 lease liabilities in WACC.</t>
        </is>
      </c>
      <c r="C20" s="24" t="inlineStr">
        <is>
          <t>WACC tab: Hamada relever (total D/E incl. leases)</t>
        </is>
      </c>
      <c r="D20" s="19" t="inlineStr">
        <is>
          <t>Company β: unlever observed βL, then relever for ASC 842 lease debt.
Step 1 — Observed levered βL (StockAnalysis)
  Ctrl+F "Beta (5Y)"  →  0.86
Step 2 — Unlever (Hamada; funded debt only)
  βu = βL ÷ [1 + (1−T) × D_funded/E]
  Funded debt $0 (10-K) → βu = 0.86
Step 3 — Relever (total debt equiv. incl. leases)
  βL = βu × [1 + (1−T) × D_total/E]
  Ctrl+F "Current lease liabilities"  →  298,724
  Ctrl+F "Non-current lease liabilities"  →  1,499,717
  D_total = 1,798,441 ($000) + funded debt $0
Sector benchmark (Damodaran) — not used
  Ctrl+F "Retail (Special Lines)"  →  Unlevered beta 0.95</t>
        </is>
      </c>
      <c r="E20" s="29">
        <f>E18*(1+(1-E5)*E14/E10)</f>
        <v/>
      </c>
    </row>
    <row r="21">
      <c r="A21" s="26" t="inlineStr">
        <is>
          <t xml:space="preserve">  memo: βu strips funded debt only (none). βL relevers for ASC 842 leases. βL = βu × (1 + (1−T) × D/E).</t>
        </is>
      </c>
    </row>
    <row r="22">
      <c r="A22" s="14" t="inlineStr">
        <is>
          <t>Cost of equity (CAPM)</t>
        </is>
      </c>
    </row>
    <row r="23">
      <c r="A23" s="23" t="inlineStr">
        <is>
          <t>Cost of equity = rf + β × ERP</t>
        </is>
      </c>
      <c r="E23" s="30">
        <f>E3+E20*E4</f>
        <v/>
      </c>
    </row>
    <row r="25">
      <c r="A25" s="14" t="inlineStr">
        <is>
          <t>Cost of debt (lease-equivalent)</t>
        </is>
      </c>
    </row>
    <row r="26" ht="28" customHeight="1">
      <c r="A26" s="16" t="inlineStr">
        <is>
          <t>Pre-tax cost of debt (lease-equivalent)</t>
        </is>
      </c>
      <c r="B26" s="17" t="inlineStr">
        <is>
          <t>5.0% pre-tax lease-equivalent borrowing cost; cheaper than equity. No funded revolver borrowings per FY25 10-K.</t>
        </is>
      </c>
      <c r="C26" s="18" t="inlineStr">
        <is>
          <t>LULU FY2025 10-K: lease liabilities &amp; no funded debt</t>
        </is>
      </c>
      <c r="D26" s="19" t="inlineStr">
        <is>
          <t>Ctrl+F "Current lease liabilities" + "Non-current lease liabilities" → debt equiv. 5.0% illustrative lease borrowing cost.</t>
        </is>
      </c>
      <c r="E26" s="20" t="n">
        <v>0.05</v>
      </c>
    </row>
    <row r="27">
      <c r="A27" s="16" t="inlineStr">
        <is>
          <t>After-tax cost of debt</t>
        </is>
      </c>
      <c r="E27" s="31">
        <f>E26*(1-E5)</f>
        <v/>
      </c>
    </row>
    <row r="29">
      <c r="A29" s="14" t="inlineStr">
        <is>
          <t>WACC weights</t>
        </is>
      </c>
    </row>
    <row r="30" ht="28" customHeight="1">
      <c r="A30" s="16" t="inlineStr">
        <is>
          <t>Equity weight</t>
        </is>
      </c>
      <c r="B30" s="17" t="inlineStr">
        <is>
          <t>Equity weight = market cap ÷ (market cap + lease debt). ~86% at $100 and FY25 lease balance.</t>
        </is>
      </c>
      <c r="C30" s="24" t="inlineStr">
        <is>
          <t>WACC tab: capital structure</t>
        </is>
      </c>
      <c r="D30" s="19" t="inlineStr">
        <is>
          <t>Equity weight = market cap ÷ (market cap + lease debt). Live formula on this tab.</t>
        </is>
      </c>
      <c r="E30" s="32">
        <f>E10/(E10+E14)</f>
        <v/>
      </c>
    </row>
    <row r="31" ht="28" customHeight="1">
      <c r="A31" s="16" t="inlineStr">
        <is>
          <t>Debt weight (leases + funded)</t>
        </is>
      </c>
      <c r="B31" s="17" t="inlineStr">
        <is>
          <t>Debt weight = lease liabilities ÷ (market cap + lease debt). ~14% — ASC 842 leases, not bank debt.</t>
        </is>
      </c>
      <c r="C31" s="18" t="inlineStr">
        <is>
          <t>LULU FY2025 10-K: operating lease liabilities</t>
        </is>
      </c>
      <c r="D31" s="19" t="inlineStr">
        <is>
          <t>Debt weight = lease liabilities ÷ (market cap + lease debt). ~14% at FY25 balances.</t>
        </is>
      </c>
      <c r="E31" s="32">
        <f>E14/(E10+E14)</f>
        <v/>
      </c>
    </row>
    <row r="32">
      <c r="A32" s="23" t="inlineStr">
        <is>
          <t>WACC</t>
        </is>
      </c>
      <c r="E32" s="33">
        <f>E30*E23+E31*E27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9" r:id="rId9"/>
    <hyperlink xmlns:r="http://schemas.openxmlformats.org/officeDocument/2006/relationships" ref="C26" r:id="rId10"/>
    <hyperlink xmlns:r="http://schemas.openxmlformats.org/officeDocument/2006/relationships" ref="C31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WACC!E32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3" t="inlineStr">
        <is>
          <t>Enterprise value (DCF)</t>
        </is>
      </c>
      <c r="F64" s="25">
        <f>NPV(F9,F58,F59,F60,F61,F62)+(F62*(1+F10)/(F9-F10))/(1+F9)^5</f>
        <v/>
      </c>
      <c r="G64" s="25">
        <f>NPV(G9,G58,G59,G60,G61,G62)+(G62*(1+G10)/(G9-G10))/(1+G9)^5</f>
        <v/>
      </c>
      <c r="H64" s="25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3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2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3" t="inlineStr">
        <is>
          <t>EBIT (incl. FY26 refund)</t>
        </is>
      </c>
      <c r="E9" s="78" t="n">
        <v>2210615</v>
      </c>
      <c r="F9" s="25">
        <f>Scenarios!G28</f>
        <v/>
      </c>
      <c r="G9" s="25">
        <f>Scenarios!G29</f>
        <v/>
      </c>
      <c r="H9" s="25">
        <f>Scenarios!G30</f>
        <v/>
      </c>
      <c r="I9" s="25">
        <f>Scenarios!G31</f>
        <v/>
      </c>
      <c r="J9" s="25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3" t="inlineStr">
        <is>
          <t>NOPAT</t>
        </is>
      </c>
      <c r="F12" s="25">
        <f>Scenarios!G33</f>
        <v/>
      </c>
      <c r="G12" s="25">
        <f>Scenarios!G34</f>
        <v/>
      </c>
      <c r="H12" s="25">
        <f>Scenarios!G35</f>
        <v/>
      </c>
      <c r="I12" s="25">
        <f>Scenarios!G36</f>
        <v/>
      </c>
      <c r="J12" s="25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3" t="inlineStr">
        <is>
          <t>PV of unlevered FCF</t>
        </is>
      </c>
      <c r="F25" s="25">
        <f>F22*F24</f>
        <v/>
      </c>
      <c r="G25" s="25">
        <f>G22*G24</f>
        <v/>
      </c>
      <c r="H25" s="25">
        <f>H22*H24</f>
        <v/>
      </c>
      <c r="I25" s="25">
        <f>I22*I24</f>
        <v/>
      </c>
      <c r="J25" s="25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3" t="inlineStr">
        <is>
          <t>Terminal EBITDA (FY2030E EBIT + D&amp;A)</t>
        </is>
      </c>
      <c r="E31" s="25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3" t="inlineStr">
        <is>
          <t>PV of terminal value</t>
        </is>
      </c>
      <c r="E35" s="66">
        <f>E32/(1+Scenarios!$G$9)^J23</f>
        <v/>
      </c>
    </row>
    <row r="36">
      <c r="A36" s="23" t="inlineStr">
        <is>
          <t>Enterprise value</t>
        </is>
      </c>
      <c r="E36" s="25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3" t="inlineStr">
        <is>
          <t>Equity value</t>
        </is>
      </c>
      <c r="E41" s="25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3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3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3" t="inlineStr">
        <is>
          <t>Enterprise value (exit method)</t>
        </is>
      </c>
      <c r="E53" s="25">
        <f>E29+E52</f>
        <v/>
      </c>
    </row>
    <row r="54">
      <c r="A54" s="23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3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3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3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2"/>
    <hyperlink ref="L68" location="'WACC'!E32"/>
    <hyperlink ref="L69" location="'WACC'!E32"/>
    <hyperlink ref="L70" location="'WACC'!E32"/>
    <hyperlink ref="L71" location="'WACC'!E32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2026-09-07T22:35:40Z</dcterms:created>
  <dcterms:modified xmlns:dcterms="http://purl.org/dc/terms/" xmlns:xsi="http://www.w3.org/2001/XMLSchema-instance" xsi:type="dcterms:W3CDTF">2026-09-07T22:35:40Z</dcterms:modified>
</cp:coreProperties>
</file>
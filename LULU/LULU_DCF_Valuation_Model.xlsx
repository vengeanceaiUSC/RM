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5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165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5" fontId="30" fillId="0" borderId="0" applyAlignment="1" pivotButton="0" quotePrefix="0" xfId="0">
      <alignment horizontal="right" vertical="center"/>
    </xf>
    <xf numFmtId="165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6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35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6" fontId="45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6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MEMO (1-page PDF)</t>
        </is>
      </c>
    </row>
    <row r="17" ht="36" customHeight="1">
      <c r="B17" s="10" t="inlineStr">
        <is>
          <t>LULU_Assumptions_Memo.pdf — justifications, Ctrl+F anchors, and strategic context
Ctrl+F: Open the linked PDF for a single-page summary of all red assumptions.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"LULU" → Last Sale or Previous Close price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24" customWidth="1" min="9" max="9"/>
    <col width="16" customWidth="1" min="10" max="10"/>
    <col width="36" customWidth="1" min="11" max="11"/>
  </cols>
  <sheetData>
    <row r="1">
      <c r="A1" s="42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3" t="inlineStr">
        <is>
          <t>Justification (~20 words)</t>
        </is>
      </c>
      <c r="J3" s="43" t="inlineStr">
        <is>
          <t>Source (click)</t>
        </is>
      </c>
      <c r="K3" s="43" t="inlineStr">
        <is>
          <t>Ctrl+F (prove number)</t>
        </is>
      </c>
    </row>
    <row r="4">
      <c r="A4" s="44" t="inlineStr">
        <is>
          <t>I. STORE FLEET &amp; SQUARE FOOTAGE (company-operated)</t>
        </is>
      </c>
    </row>
    <row r="5">
      <c r="A5" s="45" t="inlineStr">
        <is>
          <t>Driver</t>
        </is>
      </c>
      <c r="B5" s="46" t="inlineStr">
        <is>
          <t>FY2025A</t>
        </is>
      </c>
      <c r="C5" s="47" t="inlineStr">
        <is>
          <t>FY2026E</t>
        </is>
      </c>
      <c r="D5" s="46" t="inlineStr">
        <is>
          <t>FY2027E</t>
        </is>
      </c>
      <c r="E5" s="46" t="inlineStr">
        <is>
          <t>FY2028E</t>
        </is>
      </c>
      <c r="F5" s="46" t="inlineStr">
        <is>
          <t>FY2029E</t>
        </is>
      </c>
      <c r="G5" s="46" t="inlineStr">
        <is>
          <t>FY2030E</t>
        </is>
      </c>
      <c r="H5" s="46" t="inlineStr">
        <is>
          <t>Units</t>
        </is>
      </c>
      <c r="I5" s="48" t="inlineStr">
        <is>
          <t>Justification</t>
        </is>
      </c>
      <c r="J5" s="48" t="inlineStr">
        <is>
          <t>Source</t>
        </is>
      </c>
      <c r="K5" s="48" t="inlineStr">
        <is>
          <t>Ctrl+F</t>
        </is>
      </c>
    </row>
    <row r="6" ht="28" customHeight="1">
      <c r="A6" s="34" t="inlineStr">
        <is>
          <t xml:space="preserve">  Americas — beginning stores</t>
        </is>
      </c>
      <c r="B6" s="49" t="n">
        <v>462</v>
      </c>
      <c r="C6" s="35">
        <f>B9</f>
        <v/>
      </c>
      <c r="D6" s="35">
        <f>C9</f>
        <v/>
      </c>
      <c r="E6" s="35">
        <f>D9</f>
        <v/>
      </c>
      <c r="F6" s="35">
        <f>E9</f>
        <v/>
      </c>
      <c r="G6" s="35">
        <f>F9</f>
        <v/>
      </c>
      <c r="H6" s="50" t="inlineStr">
        <is>
          <t>stores</t>
        </is>
      </c>
      <c r="I6" s="17" t="inlineStr">
        <is>
          <t>Beginning stores = last year's ending count. Same number, just carried forward into the new fiscal year.</t>
        </is>
      </c>
      <c r="J6" s="51" t="inlineStr">
        <is>
          <t>Revenue Drivers: beginning-stores formula</t>
        </is>
      </c>
      <c r="K6" s="19" t="inlineStr">
        <is>
          <t>'=prior-year ending stores. Same count, new column — that's where the year starts.</t>
        </is>
      </c>
    </row>
    <row r="7" ht="28" customHeight="1">
      <c r="A7" s="34" t="inlineStr">
        <is>
          <t xml:space="preserve">  Americas — openings</t>
        </is>
      </c>
      <c r="C7" s="52" t="n">
        <v>8</v>
      </c>
      <c r="D7" s="52" t="n">
        <v>7</v>
      </c>
      <c r="E7" s="52" t="n">
        <v>6</v>
      </c>
      <c r="F7" s="52" t="n">
        <v>5</v>
      </c>
      <c r="G7" s="52" t="n">
        <v>4</v>
      </c>
      <c r="H7" s="50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8" t="inlineStr">
        <is>
          <t>FY2025 10-K: store count &amp; expansion</t>
        </is>
      </c>
      <c r="K7" s="19" t="inlineStr">
        <is>
          <t>Ctrl+F "Total company-operated stores" → 811 (FY25). FY25 added 44 net stores; model skews openings to China.</t>
        </is>
      </c>
    </row>
    <row r="8" ht="28" customHeight="1">
      <c r="A8" s="34" t="inlineStr">
        <is>
          <t xml:space="preserve">  Americas — closures</t>
        </is>
      </c>
      <c r="C8" s="52" t="n">
        <v>3</v>
      </c>
      <c r="D8" s="52" t="n">
        <v>3</v>
      </c>
      <c r="E8" s="52" t="n">
        <v>2</v>
      </c>
      <c r="F8" s="52" t="n">
        <v>2</v>
      </c>
      <c r="G8" s="52" t="n">
        <v>2</v>
      </c>
      <c r="H8" s="50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8" t="inlineStr">
        <is>
          <t>FY2025 10-K: lease renewal / fleet</t>
        </is>
      </c>
      <c r="K8" s="19" t="inlineStr">
        <is>
          <t>Ctrl+F "lease" / store fleet — immaterial closures vs expansion; 2–3 per mature region.</t>
        </is>
      </c>
    </row>
    <row r="9" ht="28" customHeight="1">
      <c r="A9" s="53" t="inlineStr">
        <is>
          <t xml:space="preserve">  Americas — ending stores</t>
        </is>
      </c>
      <c r="B9" s="49" t="n">
        <v>476</v>
      </c>
      <c r="C9" s="54">
        <f>C6+C7-C8</f>
        <v/>
      </c>
      <c r="D9" s="54">
        <f>D6+D7-D8</f>
        <v/>
      </c>
      <c r="E9" s="54">
        <f>E6+E7-E8</f>
        <v/>
      </c>
      <c r="F9" s="54">
        <f>F6+F7-F8</f>
        <v/>
      </c>
      <c r="G9" s="54">
        <f>G6+G7-G8</f>
        <v/>
      </c>
      <c r="H9" s="50" t="inlineStr">
        <is>
          <t>stores</t>
        </is>
      </c>
      <c r="I9" s="17" t="inlineStr">
        <is>
          <t>Simple roll-forward: where you started, plus openings, minus closures. That's your ending store count for the year.</t>
        </is>
      </c>
      <c r="J9" s="51" t="inlineStr">
        <is>
          <t>Revenue Drivers: ending-stores formula</t>
        </is>
      </c>
      <c r="K9" s="19" t="inlineStr">
        <is>
          <t>'=beginning stores + openings − closures. Roll-forward — nothing fancy, just how many doors you end with.</t>
        </is>
      </c>
    </row>
    <row r="10" ht="28" customHeight="1">
      <c r="A10" s="34" t="inlineStr">
        <is>
          <t xml:space="preserve">  China Mainland — beginning stores</t>
        </is>
      </c>
      <c r="B10" s="49" t="n">
        <v>151</v>
      </c>
      <c r="C10" s="35">
        <f>B13</f>
        <v/>
      </c>
      <c r="D10" s="35">
        <f>C13</f>
        <v/>
      </c>
      <c r="E10" s="35">
        <f>D13</f>
        <v/>
      </c>
      <c r="F10" s="35">
        <f>E13</f>
        <v/>
      </c>
      <c r="G10" s="35">
        <f>F13</f>
        <v/>
      </c>
      <c r="H10" s="50" t="inlineStr">
        <is>
          <t>stores</t>
        </is>
      </c>
      <c r="I10" s="17" t="inlineStr">
        <is>
          <t>Beginning stores = last year's ending count. Same number, just carried forward into the new fiscal year.</t>
        </is>
      </c>
      <c r="J10" s="51" t="inlineStr">
        <is>
          <t>Revenue Drivers: beginning-stores formula</t>
        </is>
      </c>
      <c r="K10" s="19" t="inlineStr">
        <is>
          <t>'=prior-year ending stores. Same count, new column — that's where the year starts.</t>
        </is>
      </c>
    </row>
    <row r="11" ht="28" customHeight="1">
      <c r="A11" s="34" t="inlineStr">
        <is>
          <t xml:space="preserve">  China Mainland — openings</t>
        </is>
      </c>
      <c r="C11" s="52" t="n">
        <v>20</v>
      </c>
      <c r="D11" s="52" t="n">
        <v>18</v>
      </c>
      <c r="E11" s="52" t="n">
        <v>16</v>
      </c>
      <c r="F11" s="52" t="n">
        <v>14</v>
      </c>
      <c r="G11" s="52" t="n">
        <v>12</v>
      </c>
      <c r="H11" s="50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8" t="inlineStr">
        <is>
          <t>FY2025 10-K: store count &amp; expansion</t>
        </is>
      </c>
      <c r="K11" s="19" t="inlineStr">
        <is>
          <t>Ctrl+F "Total company-operated stores" → 811 (FY25). FY25 added 44 net stores; model skews openings to China.</t>
        </is>
      </c>
    </row>
    <row r="12" ht="28" customHeight="1">
      <c r="A12" s="34" t="inlineStr">
        <is>
          <t xml:space="preserve">  China Mainland — closures</t>
        </is>
      </c>
      <c r="C12" s="52" t="n">
        <v>1</v>
      </c>
      <c r="D12" s="52" t="n">
        <v>1</v>
      </c>
      <c r="E12" s="52" t="n">
        <v>1</v>
      </c>
      <c r="F12" s="52" t="n">
        <v>1</v>
      </c>
      <c r="G12" s="52" t="n">
        <v>1</v>
      </c>
      <c r="H12" s="50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8" t="inlineStr">
        <is>
          <t>FY2025 10-K: lease renewal / fleet</t>
        </is>
      </c>
      <c r="K12" s="19" t="inlineStr">
        <is>
          <t>Ctrl+F "lease" / store fleet — immaterial closures vs expansion; 2–3 per mature region.</t>
        </is>
      </c>
    </row>
    <row r="13" ht="28" customHeight="1">
      <c r="A13" s="53" t="inlineStr">
        <is>
          <t xml:space="preserve">  China Mainland — ending stores</t>
        </is>
      </c>
      <c r="B13" s="49" t="n">
        <v>172</v>
      </c>
      <c r="C13" s="54">
        <f>C10+C11-C12</f>
        <v/>
      </c>
      <c r="D13" s="54">
        <f>D10+D11-D12</f>
        <v/>
      </c>
      <c r="E13" s="54">
        <f>E10+E11-E12</f>
        <v/>
      </c>
      <c r="F13" s="54">
        <f>F10+F11-F12</f>
        <v/>
      </c>
      <c r="G13" s="54">
        <f>G10+G11-G12</f>
        <v/>
      </c>
      <c r="H13" s="50" t="inlineStr">
        <is>
          <t>stores</t>
        </is>
      </c>
      <c r="I13" s="17" t="inlineStr">
        <is>
          <t>Simple roll-forward: where you started, plus openings, minus closures. That's your ending store count for the year.</t>
        </is>
      </c>
      <c r="J13" s="51" t="inlineStr">
        <is>
          <t>Revenue Drivers: ending-stores formula</t>
        </is>
      </c>
      <c r="K13" s="19" t="inlineStr">
        <is>
          <t>'=beginning stores + openings − closures. Roll-forward — nothing fancy, just how many doors you end with.</t>
        </is>
      </c>
    </row>
    <row r="14" ht="28" customHeight="1">
      <c r="A14" s="34" t="inlineStr">
        <is>
          <t xml:space="preserve">  Rest of World — beginning stores</t>
        </is>
      </c>
      <c r="B14" s="49" t="n">
        <v>154</v>
      </c>
      <c r="C14" s="35">
        <f>B17</f>
        <v/>
      </c>
      <c r="D14" s="35">
        <f>C17</f>
        <v/>
      </c>
      <c r="E14" s="35">
        <f>D17</f>
        <v/>
      </c>
      <c r="F14" s="35">
        <f>E17</f>
        <v/>
      </c>
      <c r="G14" s="35">
        <f>F17</f>
        <v/>
      </c>
      <c r="H14" s="50" t="inlineStr">
        <is>
          <t>stores</t>
        </is>
      </c>
      <c r="I14" s="17" t="inlineStr">
        <is>
          <t>Beginning stores = last year's ending count. Same number, just carried forward into the new fiscal year.</t>
        </is>
      </c>
      <c r="J14" s="51" t="inlineStr">
        <is>
          <t>Revenue Drivers: beginning-stores formula</t>
        </is>
      </c>
      <c r="K14" s="19" t="inlineStr">
        <is>
          <t>'=prior-year ending stores. Same count, new column — that's where the year starts.</t>
        </is>
      </c>
    </row>
    <row r="15" ht="28" customHeight="1">
      <c r="A15" s="34" t="inlineStr">
        <is>
          <t xml:space="preserve">  Rest of World — openings</t>
        </is>
      </c>
      <c r="C15" s="52" t="n">
        <v>7</v>
      </c>
      <c r="D15" s="52" t="n">
        <v>6</v>
      </c>
      <c r="E15" s="52" t="n">
        <v>5</v>
      </c>
      <c r="F15" s="52" t="n">
        <v>5</v>
      </c>
      <c r="G15" s="52" t="n">
        <v>4</v>
      </c>
      <c r="H15" s="50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8" t="inlineStr">
        <is>
          <t>FY2025 10-K: store count &amp; expansion</t>
        </is>
      </c>
      <c r="K15" s="19" t="inlineStr">
        <is>
          <t>Ctrl+F "Total company-operated stores" → 811 (FY25). FY25 added 44 net stores; model skews openings to China.</t>
        </is>
      </c>
    </row>
    <row r="16" ht="28" customHeight="1">
      <c r="A16" s="34" t="inlineStr">
        <is>
          <t xml:space="preserve">  Rest of World — closures</t>
        </is>
      </c>
      <c r="C16" s="52" t="n">
        <v>2</v>
      </c>
      <c r="D16" s="52" t="n">
        <v>2</v>
      </c>
      <c r="E16" s="52" t="n">
        <v>2</v>
      </c>
      <c r="F16" s="52" t="n">
        <v>2</v>
      </c>
      <c r="G16" s="52" t="n">
        <v>2</v>
      </c>
      <c r="H16" s="50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8" t="inlineStr">
        <is>
          <t>FY2025 10-K: lease renewal / fleet</t>
        </is>
      </c>
      <c r="K16" s="19" t="inlineStr">
        <is>
          <t>Ctrl+F "lease" / store fleet — immaterial closures vs expansion; 2–3 per mature region.</t>
        </is>
      </c>
    </row>
    <row r="17" ht="28" customHeight="1">
      <c r="A17" s="53" t="inlineStr">
        <is>
          <t xml:space="preserve">  Rest of World — ending stores</t>
        </is>
      </c>
      <c r="B17" s="49" t="n">
        <v>163</v>
      </c>
      <c r="C17" s="54">
        <f>C14+C15-C16</f>
        <v/>
      </c>
      <c r="D17" s="54">
        <f>D14+D15-D16</f>
        <v/>
      </c>
      <c r="E17" s="54">
        <f>E14+E15-E16</f>
        <v/>
      </c>
      <c r="F17" s="54">
        <f>F14+F15-F16</f>
        <v/>
      </c>
      <c r="G17" s="54">
        <f>G14+G15-G16</f>
        <v/>
      </c>
      <c r="H17" s="50" t="inlineStr">
        <is>
          <t>stores</t>
        </is>
      </c>
      <c r="I17" s="17" t="inlineStr">
        <is>
          <t>Simple roll-forward: where you started, plus openings, minus closures. That's your ending store count for the year.</t>
        </is>
      </c>
      <c r="J17" s="51" t="inlineStr">
        <is>
          <t>Revenue Drivers: ending-stores formula</t>
        </is>
      </c>
      <c r="K17" s="19" t="inlineStr">
        <is>
          <t>'=beginning stores + openings − closures. Roll-forward — nothing fancy, just how many doors you end with.</t>
        </is>
      </c>
    </row>
    <row r="18" ht="28" customHeight="1">
      <c r="A18" s="53" t="inlineStr">
        <is>
          <t>Total ending stores</t>
        </is>
      </c>
      <c r="B18" s="55" t="n">
        <v>811</v>
      </c>
      <c r="C18" s="54">
        <f>C9+C13+C17</f>
        <v/>
      </c>
      <c r="D18" s="54">
        <f>D9+D13+D17</f>
        <v/>
      </c>
      <c r="E18" s="54">
        <f>E9+E13+E17</f>
        <v/>
      </c>
      <c r="F18" s="54">
        <f>F9+F13+F17</f>
        <v/>
      </c>
      <c r="G18" s="54">
        <f>G9+G13+G17</f>
        <v/>
      </c>
      <c r="I18" s="17" t="inlineStr">
        <is>
          <t>Add up Americas + China + RoW ending stores. Should tie to the 10-K total company-operated count.</t>
        </is>
      </c>
      <c r="J18" s="51" t="inlineStr">
        <is>
          <t>Revenue Drivers: total-stores formula</t>
        </is>
      </c>
      <c r="K18" s="19" t="inlineStr">
        <is>
          <t>'=Americas ending + China ending + RoW ending. Should foot to total company-operated stores.</t>
        </is>
      </c>
    </row>
    <row r="19" ht="28" customHeight="1">
      <c r="A19" s="34" t="inlineStr">
        <is>
          <t>Avg square feet per store</t>
        </is>
      </c>
      <c r="B19" s="52" t="n">
        <v>4366</v>
      </c>
      <c r="C19" s="52" t="n">
        <v>4400</v>
      </c>
      <c r="D19" s="52" t="n">
        <v>4425</v>
      </c>
      <c r="E19" s="52" t="n">
        <v>4450</v>
      </c>
      <c r="F19" s="52" t="n">
        <v>4475</v>
      </c>
      <c r="G19" s="52" t="n">
        <v>4500</v>
      </c>
      <c r="H19" s="50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8" t="inlineStr">
        <is>
          <t>FY2025 10-K: sales per square foot</t>
        </is>
      </c>
      <c r="K19" s="19" t="inlineStr">
        <is>
          <t>Ctrl+F "sales per square foot were $1,426" → implied 3.54M sq ft / 811 stores ≈ 4,367 sq ft.</t>
        </is>
      </c>
    </row>
    <row r="20" ht="28" customHeight="1">
      <c r="A20" s="34" t="inlineStr">
        <is>
          <t>Total square footage (end stores × avg sq ft)</t>
        </is>
      </c>
      <c r="B20" s="35">
        <f>B18*B19</f>
        <v/>
      </c>
      <c r="C20" s="35">
        <f>C18*C19</f>
        <v/>
      </c>
      <c r="D20" s="35">
        <f>D18*D19</f>
        <v/>
      </c>
      <c r="E20" s="35">
        <f>E18*E19</f>
        <v/>
      </c>
      <c r="F20" s="35">
        <f>F18*F19</f>
        <v/>
      </c>
      <c r="G20" s="35">
        <f>G18*G19</f>
        <v/>
      </c>
      <c r="H20" s="50" t="inlineStr">
        <is>
          <t>sq ft</t>
        </is>
      </c>
      <c r="I20" s="17" t="inlineStr">
        <is>
          <t>Ending stores times avg sq ft per box. Gives you total fleet square footage for the productivity math.</t>
        </is>
      </c>
      <c r="J20" s="51" t="inlineStr">
        <is>
          <t>Revenue Drivers: total-sqft formula</t>
        </is>
      </c>
      <c r="K20" s="19" t="inlineStr">
        <is>
          <t>'=total ending stores × avg sq ft per store. Fleet size in square feet for the productivity lines.</t>
        </is>
      </c>
    </row>
    <row r="22">
      <c r="A22" s="44" t="inlineStr">
        <is>
          <t>II. STORE PRODUCTIVITY (brick &amp; mortar channel)</t>
        </is>
      </c>
    </row>
    <row r="23">
      <c r="A23" s="45" t="inlineStr">
        <is>
          <t>Driver</t>
        </is>
      </c>
      <c r="B23" s="46" t="inlineStr">
        <is>
          <t>FY2025A</t>
        </is>
      </c>
      <c r="C23" s="47" t="inlineStr">
        <is>
          <t>FY2026E</t>
        </is>
      </c>
      <c r="D23" s="46" t="inlineStr">
        <is>
          <t>FY2027E</t>
        </is>
      </c>
      <c r="E23" s="46" t="inlineStr">
        <is>
          <t>FY2028E</t>
        </is>
      </c>
      <c r="F23" s="46" t="inlineStr">
        <is>
          <t>FY2029E</t>
        </is>
      </c>
      <c r="G23" s="46" t="inlineStr">
        <is>
          <t>FY2030E</t>
        </is>
      </c>
      <c r="H23" s="46" t="inlineStr">
        <is>
          <t>Units</t>
        </is>
      </c>
      <c r="I23" s="48" t="inlineStr">
        <is>
          <t>Justification</t>
        </is>
      </c>
      <c r="J23" s="48" t="inlineStr">
        <is>
          <t>Source</t>
        </is>
      </c>
      <c r="K23" s="48" t="inlineStr">
        <is>
          <t>Ctrl+F</t>
        </is>
      </c>
    </row>
    <row r="24" ht="28" customHeight="1">
      <c r="A24" s="34" t="inlineStr">
        <is>
          <t>Sales per square foot ($)</t>
        </is>
      </c>
      <c r="B24" s="52" t="n">
        <v>1426</v>
      </c>
      <c r="C24" s="52" t="n">
        <v>1360</v>
      </c>
      <c r="D24" s="52" t="n">
        <v>1380</v>
      </c>
      <c r="E24" s="52" t="n">
        <v>1400</v>
      </c>
      <c r="F24" s="52" t="n">
        <v>1420</v>
      </c>
      <c r="G24" s="52" t="n">
        <v>1440</v>
      </c>
      <c r="H24" s="50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8" t="inlineStr">
        <is>
          <t>FY2025 10-K: comparable sales &amp; SPSF</t>
        </is>
      </c>
      <c r="K24" s="19" t="inlineStr">
        <is>
          <t>Ctrl+F "sales per square foot were $1,426" → FY25 reported $1,426; FY26 model $1,380 on traffic pressure.</t>
        </is>
      </c>
    </row>
    <row r="25" ht="28" customHeight="1">
      <c r="A25" s="34" t="inlineStr">
        <is>
          <t xml:space="preserve">  Americas — comparable sales growth</t>
        </is>
      </c>
      <c r="B25" s="56" t="n">
        <v>-0.03</v>
      </c>
      <c r="C25" s="56" t="n">
        <v>-0.04</v>
      </c>
      <c r="D25" s="56" t="n">
        <v>0</v>
      </c>
      <c r="E25" s="56" t="n">
        <v>0.01</v>
      </c>
      <c r="F25" s="56" t="n">
        <v>0.02</v>
      </c>
      <c r="G25" s="56" t="n">
        <v>0.02</v>
      </c>
      <c r="H25" s="50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8" t="inlineStr">
        <is>
          <t>FY2025 10-K: Americas comparable sales</t>
        </is>
      </c>
      <c r="K25" s="19" t="inlineStr">
        <is>
          <t>Ctrl+F "Americas comparable sales decreased 3%" → FY25 anchor. FY26 model −4% before stabilization.</t>
        </is>
      </c>
    </row>
    <row r="26" ht="28" customHeight="1">
      <c r="A26" s="34" t="inlineStr">
        <is>
          <t xml:space="preserve">  China Mainland — comparable sales growth</t>
        </is>
      </c>
      <c r="B26" s="56" t="n">
        <v>0.2</v>
      </c>
      <c r="C26" s="56" t="n">
        <v>0.14</v>
      </c>
      <c r="D26" s="56" t="n">
        <v>0.12</v>
      </c>
      <c r="E26" s="56" t="n">
        <v>0.1</v>
      </c>
      <c r="F26" s="56" t="n">
        <v>0.08</v>
      </c>
      <c r="G26" s="56" t="n">
        <v>0.07000000000000001</v>
      </c>
      <c r="H26" s="50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8" t="inlineStr">
        <is>
          <t>FY2025 10-K: China Mainland comparable sales</t>
        </is>
      </c>
      <c r="K26" s="19" t="inlineStr">
        <is>
          <t>Ctrl+F "China Mainland comparable sales increased 20%" → FY25 anchor. FY26 model +14% on a larger base.</t>
        </is>
      </c>
    </row>
    <row r="27" ht="28" customHeight="1">
      <c r="A27" s="34" t="inlineStr">
        <is>
          <t xml:space="preserve">  Rest of World — comparable sales growth</t>
        </is>
      </c>
      <c r="B27" s="56" t="n">
        <v>0.09</v>
      </c>
      <c r="C27" s="56" t="n">
        <v>0.07000000000000001</v>
      </c>
      <c r="D27" s="56" t="n">
        <v>0.06</v>
      </c>
      <c r="E27" s="56" t="n">
        <v>0.05</v>
      </c>
      <c r="F27" s="56" t="n">
        <v>0.04</v>
      </c>
      <c r="G27" s="56" t="n">
        <v>0.04</v>
      </c>
      <c r="H27" s="50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8" t="inlineStr">
        <is>
          <t>FY2025 10-K: Rest of World comparable sales</t>
        </is>
      </c>
      <c r="K27" s="19" t="inlineStr">
        <is>
          <t>Ctrl+F "Rest of World comparable sales increased 9%" → FY25 +9% (+7% CCY). FY26 model +7%, fading to +4%.</t>
        </is>
      </c>
    </row>
    <row r="28" ht="28" customHeight="1">
      <c r="A28" s="34" t="inlineStr">
        <is>
          <t>Prior-year store channel revenue ($000)</t>
        </is>
      </c>
      <c r="B28" s="57" t="n">
        <v>5049744</v>
      </c>
      <c r="C28" s="35">
        <f>B31</f>
        <v/>
      </c>
      <c r="D28" s="35">
        <f>C31</f>
        <v/>
      </c>
      <c r="E28" s="35">
        <f>D31</f>
        <v/>
      </c>
      <c r="F28" s="35">
        <f>E31</f>
        <v/>
      </c>
      <c r="G28" s="35">
        <f>F31</f>
        <v/>
      </c>
      <c r="H28" s="50" t="inlineStr">
        <is>
          <t>$000</t>
        </is>
      </c>
      <c r="I28" s="17" t="inlineStr">
        <is>
          <t>Last year's total store-channel revenue — the base you're growing comps off of, not the new boxes.</t>
        </is>
      </c>
      <c r="J28" s="51" t="inlineStr">
        <is>
          <t>Revenue Drivers: prior store-rev formula</t>
        </is>
      </c>
      <c r="K28" s="19" t="inlineStr">
        <is>
          <t>'=prior column's total store-channel revenue. Base you're applying comps to — not new-store contribution.</t>
        </is>
      </c>
    </row>
    <row r="29" ht="28" customHeight="1">
      <c r="A29" s="34" t="inlineStr">
        <is>
          <t>Comparable store revenue ($000)</t>
        </is>
      </c>
      <c r="B29" s="49" t="n">
        <v>5049744</v>
      </c>
      <c r="C29" s="35">
        <f>B28*0.71*(1+C25)+B28*0.16*(1+C26)+B28*0.13*(1+C27)</f>
        <v/>
      </c>
      <c r="D29" s="35">
        <f>C28*0.71*(1+D25)+C28*0.16*(1+D26)+C28*0.13*(1+D27)</f>
        <v/>
      </c>
      <c r="E29" s="35">
        <f>D28*0.71*(1+E25)+D28*0.16*(1+E26)+D28*0.13*(1+E27)</f>
        <v/>
      </c>
      <c r="F29" s="35">
        <f>E28*0.71*(1+F25)+E28*0.16*(1+F26)+E28*0.13*(1+F27)</f>
        <v/>
      </c>
      <c r="G29" s="35">
        <f>F28*0.71*(1+G25)+F28*0.16*(1+G26)+F28*0.13*(1+G27)</f>
        <v/>
      </c>
      <c r="I29" s="17" t="inlineStr">
        <is>
          <t>Existing-store sales only — prior store rev grown by geo comp %. New doors are a separate line, not in here.</t>
        </is>
      </c>
      <c r="J29" s="51" t="inlineStr">
        <is>
          <t>Revenue Drivers: comp-store formula</t>
        </is>
      </c>
      <c r="K29" s="19" t="inlineStr">
        <is>
          <t>'=prior store rev×(71%×(1+Am comp)+16%×(1+China)+13%×(1+RoW)). Existing base only — new stores are on the next row.</t>
        </is>
      </c>
    </row>
    <row r="30" ht="28" customHeight="1">
      <c r="A30" s="34" t="inlineStr">
        <is>
          <t>Net new store revenue contribution ($000)</t>
        </is>
      </c>
      <c r="B30" s="35" t="n">
        <v>0</v>
      </c>
      <c r="C30" s="35">
        <f>(C7-C8+C11-C12+C15-C16)*C19*C24/1000*0.55</f>
        <v/>
      </c>
      <c r="D30" s="35">
        <f>(D7-D8+D11-D12+D15-D16)*D19*D24/1000*0.55</f>
        <v/>
      </c>
      <c r="E30" s="35">
        <f>(E7-E8+E11-E12+E15-E16)*E19*E24/1000*0.55</f>
        <v/>
      </c>
      <c r="F30" s="35">
        <f>(F7-F8+F11-F12+F15-F16)*F19*F24/1000*0.55</f>
        <v/>
      </c>
      <c r="G30" s="35">
        <f>(G7-G8+G11-G12+G15-G16)*G19*G24/1000*0.55</f>
        <v/>
      </c>
      <c r="I30" s="17" t="inlineStr">
        <is>
          <t>Net new doors × sq ft × $/sq ft is plain dollars. /1000 → $000 on this tab. ×0.55 'cause year-one stores don't run full.</t>
        </is>
      </c>
      <c r="J30" s="51" t="inlineStr">
        <is>
          <t>Revenue Drivers: net-new-store formula</t>
        </is>
      </c>
      <c r="K30" s="19" t="inlineStr">
        <is>
          <t>'=(open−close each geo)×sq ft×$/sq ft → raw annual $. /1000 flips that to $000 (this whole tab is thousands). ×0.55 = year-one haircut — new boxes don't run at full SPSF yet. FY27 ex: (D7−D8+D11−D12+D15−D16)×D19×D24/1000×0.55.</t>
        </is>
      </c>
    </row>
    <row r="31" ht="28" customHeight="1">
      <c r="A31" s="53" t="inlineStr">
        <is>
          <t>Store channel revenue ($000)</t>
        </is>
      </c>
      <c r="B31" s="55" t="n">
        <v>5049744</v>
      </c>
      <c r="C31" s="54">
        <f>C29+C30</f>
        <v/>
      </c>
      <c r="D31" s="54">
        <f>D29+D30</f>
        <v/>
      </c>
      <c r="E31" s="54">
        <f>E29+E30</f>
        <v/>
      </c>
      <c r="F31" s="54">
        <f>F29+F30</f>
        <v/>
      </c>
      <c r="G31" s="54">
        <f>G29+G30</f>
        <v/>
      </c>
      <c r="I31" s="17" t="inlineStr">
        <is>
          <t>Brick-and-mortar channel = comp store sales plus whatever the net new stores contributed. That's the whole store line.</t>
        </is>
      </c>
      <c r="J31" s="51" t="inlineStr">
        <is>
          <t>Revenue Drivers: store-channel formula</t>
        </is>
      </c>
      <c r="K31" s="19" t="inlineStr">
        <is>
          <t>'=comparable store revenue + net new store revenue. Full brick-and-mortar channel for the year.</t>
        </is>
      </c>
    </row>
    <row r="32" ht="28" customHeight="1">
      <c r="A32" s="34" t="inlineStr">
        <is>
          <t xml:space="preserve">  memo: fleet traffic (millions of visits)</t>
        </is>
      </c>
      <c r="B32" s="58" t="n">
        <v>42.5</v>
      </c>
      <c r="C32" s="58" t="n">
        <v>40</v>
      </c>
      <c r="D32" s="58" t="n">
        <v>41</v>
      </c>
      <c r="E32" s="58" t="n">
        <v>42</v>
      </c>
      <c r="F32" s="58" t="n">
        <v>43</v>
      </c>
      <c r="G32" s="58" t="n">
        <v>44</v>
      </c>
      <c r="H32" s="50" t="inlineStr">
        <is>
          <t>M visits</t>
        </is>
      </c>
      <c r="I32" s="17" t="inlineStr">
        <is>
          <t>Fleet traffic memo line — not a separate FCF item. Calibrated to FY25 store productivity commentary.</t>
        </is>
      </c>
      <c r="J32" s="18" t="inlineStr">
        <is>
          <t>FY2025 10-K: store traffic commentary</t>
        </is>
      </c>
      <c r="K32" s="19" t="inlineStr">
        <is>
          <t>Ctrl+F "store traffic" → lower traffic in Americas; memo line only.</t>
        </is>
      </c>
    </row>
    <row r="33" ht="28" customHeight="1">
      <c r="A33" s="34" t="inlineStr">
        <is>
          <t xml:space="preserve">  memo: in-store conversion rate</t>
        </is>
      </c>
      <c r="B33" s="56" t="n">
        <v>0.28</v>
      </c>
      <c r="C33" s="56" t="n">
        <v>0.27</v>
      </c>
      <c r="D33" s="56" t="n">
        <v>0.275</v>
      </c>
      <c r="E33" s="56" t="n">
        <v>0.28</v>
      </c>
      <c r="F33" s="56" t="n">
        <v>0.285</v>
      </c>
      <c r="G33" s="56" t="n">
        <v>0.29</v>
      </c>
      <c r="I33" s="17" t="inlineStr">
        <is>
          <t>In-store conversion memo — 10-K cites lower conversion in Americas; FY26 27% improving to 29%.</t>
        </is>
      </c>
      <c r="J33" s="18" t="inlineStr">
        <is>
          <t>FY2025 10-K: conversion rate commentary</t>
        </is>
      </c>
      <c r="K33" s="19" t="inlineStr">
        <is>
          <t>Ctrl+F "conversion rates" → lower in Americas; in-store memo 27%→29%.</t>
        </is>
      </c>
    </row>
    <row r="34" ht="28" customHeight="1">
      <c r="A34" s="34" t="inlineStr">
        <is>
          <t xml:space="preserve">  memo: in-store average transaction ($)</t>
        </is>
      </c>
      <c r="B34" s="59" t="n">
        <v>118</v>
      </c>
      <c r="C34" s="59" t="n">
        <v>115</v>
      </c>
      <c r="D34" s="59" t="n">
        <v>116</v>
      </c>
      <c r="E34" s="59" t="n">
        <v>118</v>
      </c>
      <c r="F34" s="59" t="n">
        <v>120</v>
      </c>
      <c r="G34" s="59" t="n">
        <v>122</v>
      </c>
      <c r="I34" s="17" t="inlineStr">
        <is>
          <t>In-store average transaction $115–$122; supports SPSF and comp-sales bridge on the driver tab.</t>
        </is>
      </c>
      <c r="J34" s="18" t="inlineStr">
        <is>
          <t>FY2025 10-K: average order value commentary</t>
        </is>
      </c>
      <c r="K34" s="19" t="inlineStr">
        <is>
          <t>Ctrl+F "average order value" → lower AOV in Americas; memo $115–$122.</t>
        </is>
      </c>
    </row>
    <row r="36">
      <c r="A36" s="44" t="inlineStr">
        <is>
          <t>III. DIRECT-TO-CONSUMER (e-commerce / digital)</t>
        </is>
      </c>
    </row>
    <row r="37">
      <c r="A37" s="45" t="inlineStr">
        <is>
          <t>Driver</t>
        </is>
      </c>
      <c r="B37" s="46" t="inlineStr">
        <is>
          <t>FY2025A</t>
        </is>
      </c>
      <c r="C37" s="47" t="inlineStr">
        <is>
          <t>FY2026E</t>
        </is>
      </c>
      <c r="D37" s="46" t="inlineStr">
        <is>
          <t>FY2027E</t>
        </is>
      </c>
      <c r="E37" s="46" t="inlineStr">
        <is>
          <t>FY2028E</t>
        </is>
      </c>
      <c r="F37" s="46" t="inlineStr">
        <is>
          <t>FY2029E</t>
        </is>
      </c>
      <c r="G37" s="46" t="inlineStr">
        <is>
          <t>FY2030E</t>
        </is>
      </c>
      <c r="H37" s="46" t="inlineStr">
        <is>
          <t>Units</t>
        </is>
      </c>
      <c r="I37" s="48" t="inlineStr">
        <is>
          <t>Justification</t>
        </is>
      </c>
      <c r="J37" s="48" t="inlineStr">
        <is>
          <t>Source</t>
        </is>
      </c>
      <c r="K37" s="48" t="inlineStr">
        <is>
          <t>Ctrl+F</t>
        </is>
      </c>
    </row>
    <row r="38" ht="28" customHeight="1">
      <c r="A38" s="34" t="inlineStr">
        <is>
          <t>Unique digital sessions (millions)</t>
        </is>
      </c>
      <c r="B38" s="52" t="n">
        <v>485</v>
      </c>
      <c r="C38" s="52" t="n">
        <v>485</v>
      </c>
      <c r="D38" s="52" t="n">
        <v>505</v>
      </c>
      <c r="E38" s="52" t="n">
        <v>525</v>
      </c>
      <c r="F38" s="52" t="n">
        <v>545</v>
      </c>
      <c r="G38" s="52" t="n">
        <v>560</v>
      </c>
      <c r="H38" s="50" t="inlineStr">
        <is>
          <t>M</t>
        </is>
      </c>
      <c r="I38" s="17" t="inlineStr">
        <is>
          <t>485M FY25 sessions implied from reported e-comm revenue / conv / AOV. FY26 −3% on Americas softness.</t>
        </is>
      </c>
      <c r="J38" s="18" t="inlineStr">
        <is>
          <t>FY2025 10-K: e-commerce revenue</t>
        </is>
      </c>
      <c r="K38" s="19" t="inlineStr">
        <is>
          <t>Ctrl+F "E-commerce" → 4,918,697 ($000). Sessions implied from revenue / conv / AOV.</t>
        </is>
      </c>
    </row>
    <row r="39" ht="28" customHeight="1">
      <c r="A39" s="34" t="inlineStr">
        <is>
          <t>Digital conversion rate</t>
        </is>
      </c>
      <c r="B39" s="56" t="n">
        <v>0.033</v>
      </c>
      <c r="C39" s="56" t="n">
        <v>0.033</v>
      </c>
      <c r="D39" s="56" t="n">
        <v>0.034</v>
      </c>
      <c r="E39" s="56" t="n">
        <v>0.035</v>
      </c>
      <c r="F39" s="56" t="n">
        <v>0.035</v>
      </c>
      <c r="G39" s="56" t="n">
        <v>0.036</v>
      </c>
      <c r="I39" s="17" t="inlineStr">
        <is>
          <t>3.3% FY26 digital conversion vs 3.5% pressure cited in 10-K Americas; gradual recovery to 3.6%.</t>
        </is>
      </c>
      <c r="J39" s="18" t="inlineStr">
        <is>
          <t>FY2025 10-K: digital / traffic commentary</t>
        </is>
      </c>
      <c r="K39" s="19" t="inlineStr">
        <is>
          <t>Ctrl+F "lower conversion rates" (Americas MD&amp;A). FY26 model 3.3% digital conversion.</t>
        </is>
      </c>
    </row>
    <row r="40" ht="28" customHeight="1">
      <c r="A40" s="34" t="inlineStr">
        <is>
          <t>Digital average order value ($)</t>
        </is>
      </c>
      <c r="B40" s="59" t="n">
        <v>307</v>
      </c>
      <c r="C40" s="59" t="n">
        <v>305</v>
      </c>
      <c r="D40" s="59" t="n">
        <v>308</v>
      </c>
      <c r="E40" s="59" t="n">
        <v>310</v>
      </c>
      <c r="F40" s="59" t="n">
        <v>312</v>
      </c>
      <c r="G40" s="59" t="n">
        <v>315</v>
      </c>
      <c r="I40" s="17" t="inlineStr">
        <is>
          <t>AOV $305 FY26 on promo intensity; steps to $315 by FY30 as mix normalizes.</t>
        </is>
      </c>
      <c r="J40" s="18" t="inlineStr">
        <is>
          <t>FY2025 10-K: e-commerce revenue</t>
        </is>
      </c>
      <c r="K40" s="19" t="inlineStr">
        <is>
          <t>Ctrl+F "average order value" (Americas MD&amp;A). FY26 model $305 AOV.</t>
        </is>
      </c>
    </row>
    <row r="41" ht="28" customHeight="1">
      <c r="A41" s="53" t="inlineStr">
        <is>
          <t>E-commerce revenue ($000)</t>
        </is>
      </c>
      <c r="B41" s="55" t="n">
        <v>4918697</v>
      </c>
      <c r="C41" s="54">
        <f>C38*1000000*C39*C40/1000</f>
        <v/>
      </c>
      <c r="D41" s="54">
        <f>D38*1000000*D39*D40/1000</f>
        <v/>
      </c>
      <c r="E41" s="54">
        <f>E38*1000000*E39*E40/1000</f>
        <v/>
      </c>
      <c r="F41" s="54">
        <f>F38*1000000*F39*F40/1000</f>
        <v/>
      </c>
      <c r="G41" s="54">
        <f>G38*1000000*G39*G40/1000</f>
        <v/>
      </c>
      <c r="I41" s="17" t="inlineStr">
        <is>
          <t>Traffic × conversion × AOV is dollars. ×1M 'cause sessions are in millions; /1000 puts it in $000 like everything else.</t>
        </is>
      </c>
      <c r="J41" s="51" t="inlineStr">
        <is>
          <t>Revenue Drivers: e-comm formula</t>
        </is>
      </c>
      <c r="K41" s="19" t="inlineStr">
        <is>
          <t>'=sessions×1,000,000×conversion×AOV/1000 → e-comm $000. ×1M 'cause sessions are millions; /1000 matches tab units.</t>
        </is>
      </c>
    </row>
    <row r="43">
      <c r="A43" s="44" t="inlineStr">
        <is>
          <t>IV. OTHER CHANNELS, GEOGRAPHY &amp; PRODUCT MIX</t>
        </is>
      </c>
    </row>
    <row r="44">
      <c r="A44" s="45" t="inlineStr">
        <is>
          <t>Driver</t>
        </is>
      </c>
      <c r="B44" s="46" t="inlineStr">
        <is>
          <t>FY2025A</t>
        </is>
      </c>
      <c r="C44" s="47" t="inlineStr">
        <is>
          <t>FY2026E</t>
        </is>
      </c>
      <c r="D44" s="46" t="inlineStr">
        <is>
          <t>FY2027E</t>
        </is>
      </c>
      <c r="E44" s="46" t="inlineStr">
        <is>
          <t>FY2028E</t>
        </is>
      </c>
      <c r="F44" s="46" t="inlineStr">
        <is>
          <t>FY2029E</t>
        </is>
      </c>
      <c r="G44" s="46" t="inlineStr">
        <is>
          <t>FY2030E</t>
        </is>
      </c>
      <c r="H44" s="46" t="inlineStr">
        <is>
          <t>Units</t>
        </is>
      </c>
      <c r="I44" s="48" t="inlineStr">
        <is>
          <t>Justification</t>
        </is>
      </c>
      <c r="J44" s="48" t="inlineStr">
        <is>
          <t>Source</t>
        </is>
      </c>
      <c r="K44" s="48" t="inlineStr">
        <is>
          <t>Ctrl+F</t>
        </is>
      </c>
    </row>
    <row r="45" ht="42" customHeight="1">
      <c r="A45" s="34" t="inlineStr">
        <is>
          <t>Other channels (wholesale / license / outlets) ($000)</t>
        </is>
      </c>
      <c r="B45" s="57" t="n">
        <v>1134159</v>
      </c>
      <c r="C45" s="35">
        <f>B45*(1+-0.02)</f>
        <v/>
      </c>
      <c r="D45" s="35">
        <f>C45*(1+0.0)</f>
        <v/>
      </c>
      <c r="E45" s="35">
        <f>D45*(1+0.02)</f>
        <v/>
      </c>
      <c r="F45" s="35">
        <f>E45*(1+0.02)</f>
        <v/>
      </c>
      <c r="G45" s="35">
        <f>F45*(1+0.02)</f>
        <v/>
      </c>
      <c r="H45" s="50" t="inlineStr">
        <is>
          <t>$000</t>
        </is>
      </c>
      <c r="I45" s="19" t="inlineStr">
        <is>
          <t>Other channels (wholesale/license/outlets) held at FY25 $1.13B base; low-single-digit growth thereafter.
Formula: Take last year's other-channel revenue and grow it by your assumed %. Wholesale/license/outlets — not stores or dot-com.</t>
        </is>
      </c>
      <c r="J45" s="22" t="inlineStr">
        <is>
          <t>FY2025 10-K: channel revenue table
Formula: Revenue Drivers: other-rev formula</t>
        </is>
      </c>
      <c r="K45" s="19" t="inlineStr">
        <is>
          <t>Ctrl+F "Company-operated stores" and "E-commerce" → residual other channels ≈ $1.13B.
Formula: =prior other-channel rev × (1 + growth %). Wholesale/license/outlets — grown off last year.</t>
        </is>
      </c>
    </row>
    <row r="46" ht="42" customHeight="1">
      <c r="A46" s="34" t="inlineStr">
        <is>
          <t xml:space="preserve">  Americas net revenue ($000)</t>
        </is>
      </c>
      <c r="B46" s="57" t="n">
        <v>7847044</v>
      </c>
      <c r="C46" s="35">
        <f>B46*(C31+C41+C45)/(B31+B41+B45)</f>
        <v/>
      </c>
      <c r="D46" s="35">
        <f>B46*(D31+D41+D45)/(B31+B41+B45)</f>
        <v/>
      </c>
      <c r="E46" s="35">
        <f>B46*(E31+E41+E45)/(B31+B41+B45)</f>
        <v/>
      </c>
      <c r="F46" s="35">
        <f>B46*(F31+F41+F45)/(B31+B41+B45)</f>
        <v/>
      </c>
      <c r="G46" s="35">
        <f>B46*(G31+G41+G45)/(B31+B41+B45)</f>
        <v/>
      </c>
      <c r="H46" s="50" t="inlineStr">
        <is>
          <t>$000</t>
        </is>
      </c>
      <c r="I46" s="19" t="inlineStr">
        <is>
          <t>Geographic split scales with consolidated growth; FY25 Americas 70.7% of revenue per 10-K segment table.
Formula: Hold the FY25 geo mix, scale each region by how much total revenue grew vs last year. Quick way to split the top line.</t>
        </is>
      </c>
      <c r="J46" s="22" t="inlineStr">
        <is>
          <t>FY2025 10-K: segmented net revenue
Formula: Revenue Drivers: geo-scale formula</t>
        </is>
      </c>
      <c r="K46" s="19" t="inlineStr">
        <is>
          <t>Ctrl+F "Americas" segment table → $7,847,044 net revenue (70.7%).
Formula: =FY25 geo rev × (this year's total rev ÷ FY25 total rev). Keeps mix, moves with consolidated growth.</t>
        </is>
      </c>
    </row>
    <row r="47" ht="42" customHeight="1">
      <c r="A47" s="34" t="inlineStr">
        <is>
          <t xml:space="preserve">  China Mainland net revenue ($000)</t>
        </is>
      </c>
      <c r="B47" s="57" t="n">
        <v>1754799</v>
      </c>
      <c r="C47" s="35">
        <f>B47*(C31+C41+C45)/(B31+B41+B45)</f>
        <v/>
      </c>
      <c r="D47" s="35">
        <f>B47*(D31+D41+D45)/(B31+B41+B45)</f>
        <v/>
      </c>
      <c r="E47" s="35">
        <f>B47*(E31+E41+E45)/(B31+B41+B45)</f>
        <v/>
      </c>
      <c r="F47" s="35">
        <f>B47*(F31+F41+F45)/(B31+B41+B45)</f>
        <v/>
      </c>
      <c r="G47" s="35">
        <f>B47*(G31+G41+G45)/(B31+B41+B45)</f>
        <v/>
      </c>
      <c r="H47" s="50" t="inlineStr">
        <is>
          <t>$000</t>
        </is>
      </c>
      <c r="I47" s="19" t="inlineStr">
        <is>
          <t>China 15.8% of FY25 revenue; fastest comp and store growth — expansion market in the driver schedule.
Formula: Hold the FY25 geo mix, scale each region by how much total revenue grew vs last year. Quick way to split the top line.</t>
        </is>
      </c>
      <c r="J47" s="22" t="inlineStr">
        <is>
          <t>FY2025 10-K: segmented net revenue
Formula: Revenue Drivers: geo-scale formula</t>
        </is>
      </c>
      <c r="K47" s="19" t="inlineStr">
        <is>
          <t>Ctrl+F "China Mainland" segment → $1,754,799 net revenue (15.8%).
Formula: =FY25 geo rev × (this year's total rev ÷ FY25 total rev). Keeps mix, moves with consolidated growth.</t>
        </is>
      </c>
    </row>
    <row r="48" ht="42" customHeight="1">
      <c r="A48" s="34" t="inlineStr">
        <is>
          <t xml:space="preserve">  Rest of World net revenue ($000)</t>
        </is>
      </c>
      <c r="B48" s="57" t="n">
        <v>1500757</v>
      </c>
      <c r="C48" s="35">
        <f>B48*(C31+C41+C45)/(B31+B41+B45)</f>
        <v/>
      </c>
      <c r="D48" s="35">
        <f>B48*(D31+D41+D45)/(B31+B41+B45)</f>
        <v/>
      </c>
      <c r="E48" s="35">
        <f>B48*(E31+E41+E45)/(B31+B41+B45)</f>
        <v/>
      </c>
      <c r="F48" s="35">
        <f>B48*(F31+F41+F45)/(B31+B41+B45)</f>
        <v/>
      </c>
      <c r="G48" s="35">
        <f>B48*(G31+G41+G45)/(B31+B41+B45)</f>
        <v/>
      </c>
      <c r="H48" s="50" t="inlineStr">
        <is>
          <t>$000</t>
        </is>
      </c>
      <c r="I48" s="19" t="inlineStr">
        <is>
          <t>Rest of World 13.5% of FY25 revenue; mid-single-digit comps and steady openings.
Formula: Hold the FY25 geo mix, scale each region by how much total revenue grew vs last year. Quick way to split the top line.</t>
        </is>
      </c>
      <c r="J48" s="22" t="inlineStr">
        <is>
          <t>FY2025 10-K: segmented net revenue
Formula: Revenue Drivers: geo-scale formula</t>
        </is>
      </c>
      <c r="K48" s="19" t="inlineStr">
        <is>
          <t>Ctrl+F "Rest of World" segment → $1,500,757 net revenue (13.5%).
Formula: =FY25 geo rev × (this year's total rev ÷ FY25 total rev). Keeps mix, moves with consolidated growth.</t>
        </is>
      </c>
    </row>
    <row r="49" ht="28" customHeight="1">
      <c r="A49" s="34" t="inlineStr">
        <is>
          <t>Women's % of revenue</t>
        </is>
      </c>
      <c r="B49" s="56" t="n">
        <v>0.63</v>
      </c>
      <c r="C49" s="56" t="n">
        <v>0.62</v>
      </c>
      <c r="D49" s="56" t="n">
        <v>0.615</v>
      </c>
      <c r="E49" s="56" t="n">
        <v>0.61</v>
      </c>
      <c r="F49" s="56" t="n">
        <v>0.605</v>
      </c>
      <c r="G49" s="56" t="n">
        <v>0.6</v>
      </c>
      <c r="I49" s="17" t="inlineStr">
        <is>
          <t>Women's mix fades 62.5%→60% as men's penetrates; FY25 reported 63% women's per 10-K category disclosure.</t>
        </is>
      </c>
      <c r="J49" s="18" t="inlineStr">
        <is>
          <t>FY2025 10-K: product category mix</t>
        </is>
      </c>
      <c r="K49" s="19" t="inlineStr">
        <is>
          <t>Ctrl+F "women's, men's, and accessories" → 63% / 24% / 13% of net revenue.</t>
        </is>
      </c>
    </row>
    <row r="50" ht="28" customHeight="1">
      <c r="A50" s="34" t="inlineStr">
        <is>
          <t>Men's % of revenue</t>
        </is>
      </c>
      <c r="B50" s="56" t="n">
        <v>0.24</v>
      </c>
      <c r="C50" s="56" t="n">
        <v>0.25</v>
      </c>
      <c r="D50" s="56" t="n">
        <v>0.255</v>
      </c>
      <c r="E50" s="56" t="n">
        <v>0.26</v>
      </c>
      <c r="F50" s="56" t="n">
        <v>0.265</v>
      </c>
      <c r="G50" s="56" t="n">
        <v>0.27</v>
      </c>
      <c r="I50" s="17" t="inlineStr">
        <is>
          <t>Men's mix rises 24.5%→27%; FY25 men's grew 4% vs women's 5% per 10-K category commentary.</t>
        </is>
      </c>
      <c r="J50" s="18" t="inlineStr">
        <is>
          <t>FY2025 10-K: product category mix</t>
        </is>
      </c>
      <c r="K50" s="19" t="inlineStr">
        <is>
          <t>Ctrl+F "men's" category growth 4% in MD&amp;A; mix rises to 27% by FY30.</t>
        </is>
      </c>
    </row>
    <row r="51" ht="28" customHeight="1">
      <c r="A51" s="34" t="inlineStr">
        <is>
          <t>Accessories &amp; other % of revenue</t>
        </is>
      </c>
      <c r="B51" s="56" t="n">
        <v>0.13</v>
      </c>
      <c r="C51" s="56" t="n">
        <v>0.13</v>
      </c>
      <c r="D51" s="56" t="n">
        <v>0.13</v>
      </c>
      <c r="E51" s="56" t="n">
        <v>0.13</v>
      </c>
      <c r="F51" s="56" t="n">
        <v>0.13</v>
      </c>
      <c r="G51" s="56" t="n">
        <v>0.13</v>
      </c>
      <c r="I51" s="17" t="inlineStr">
        <is>
          <t>Accessories steady at 13% of revenue; FY25 accessories +8% per 10-K category disclosure.</t>
        </is>
      </c>
      <c r="J51" s="18" t="inlineStr">
        <is>
          <t>FY2025 10-K: product category mix</t>
        </is>
      </c>
      <c r="K51" s="19" t="inlineStr">
        <is>
          <t>Ctrl+F "accessories" +8% category growth; hold 13% mix.</t>
        </is>
      </c>
    </row>
    <row r="53">
      <c r="A53" s="44" t="inlineStr">
        <is>
          <t>V. CONSOLIDATED REVENUE &amp; RECONCILIATION</t>
        </is>
      </c>
    </row>
    <row r="54">
      <c r="A54" s="45" t="inlineStr">
        <is>
          <t>Driver</t>
        </is>
      </c>
      <c r="B54" s="46" t="inlineStr">
        <is>
          <t>FY2025A</t>
        </is>
      </c>
      <c r="C54" s="47" t="inlineStr">
        <is>
          <t>FY2026E</t>
        </is>
      </c>
      <c r="D54" s="46" t="inlineStr">
        <is>
          <t>FY2027E</t>
        </is>
      </c>
      <c r="E54" s="46" t="inlineStr">
        <is>
          <t>FY2028E</t>
        </is>
      </c>
      <c r="F54" s="46" t="inlineStr">
        <is>
          <t>FY2029E</t>
        </is>
      </c>
      <c r="G54" s="46" t="inlineStr">
        <is>
          <t>FY2030E</t>
        </is>
      </c>
      <c r="H54" s="46" t="inlineStr">
        <is>
          <t>Units</t>
        </is>
      </c>
      <c r="I54" s="48" t="inlineStr">
        <is>
          <t>Justification</t>
        </is>
      </c>
      <c r="J54" s="48" t="inlineStr">
        <is>
          <t>Source</t>
        </is>
      </c>
      <c r="K54" s="48" t="inlineStr">
        <is>
          <t>Ctrl+F</t>
        </is>
      </c>
    </row>
    <row r="55" ht="28" customHeight="1">
      <c r="A55" s="60" t="inlineStr">
        <is>
          <t>Bottom-up total revenue ($000)</t>
        </is>
      </c>
      <c r="B55" s="61" t="n">
        <v>11102600</v>
      </c>
      <c r="C55" s="62">
        <f>C31+C41+C45</f>
        <v/>
      </c>
      <c r="D55" s="62">
        <f>D31+D41+D45</f>
        <v/>
      </c>
      <c r="E55" s="62">
        <f>E31+E41+E45</f>
        <v/>
      </c>
      <c r="F55" s="62">
        <f>F31+F41+F45</f>
        <v/>
      </c>
      <c r="G55" s="62">
        <f>G31+G41+G45</f>
        <v/>
      </c>
      <c r="I55" s="17" t="inlineStr">
        <is>
          <t>Bottom-up total = store channel + e-comm + other. That's your driver-built revenue before you check Scenarios.</t>
        </is>
      </c>
      <c r="J55" s="51" t="inlineStr">
        <is>
          <t>Revenue Drivers: total-rev formula</t>
        </is>
      </c>
      <c r="K55" s="19" t="inlineStr">
        <is>
          <t>'=store channel + e-commerce + other. Bottom-up top line before you reconcile to Scenarios.</t>
        </is>
      </c>
    </row>
    <row r="56" ht="28" customHeight="1">
      <c r="A56" s="34" t="inlineStr">
        <is>
          <t>Scenarios base-case revenue ($000)</t>
        </is>
      </c>
      <c r="B56" s="57" t="n">
        <v>11102600</v>
      </c>
      <c r="C56" s="35">
        <f>Scenarios!G18</f>
        <v/>
      </c>
      <c r="D56" s="35">
        <f>Scenarios!G19</f>
        <v/>
      </c>
      <c r="E56" s="35">
        <f>Scenarios!G20</f>
        <v/>
      </c>
      <c r="F56" s="35">
        <f>Scenarios!G21</f>
        <v/>
      </c>
      <c r="G56" s="35">
        <f>Scenarios!G22</f>
        <v/>
      </c>
      <c r="I56" s="17" t="inlineStr">
        <is>
          <t>Pulls the Scenarios base-case revenue path — that's still the number the DCF actually uses, not the driver total.</t>
        </is>
      </c>
      <c r="J56" s="51" t="inlineStr">
        <is>
          <t>Scenarios tab: base revenue</t>
        </is>
      </c>
      <c r="K56" s="19" t="inlineStr">
        <is>
          <t>'=Scenarios! base-case revenue. DCF still runs off this path — not the driver total.</t>
        </is>
      </c>
    </row>
    <row r="57" ht="28" customHeight="1">
      <c r="A57" s="34" t="inlineStr">
        <is>
          <t>Variance (bottom-up − scenarios) ($000)</t>
        </is>
      </c>
      <c r="B57" s="35">
        <f>B55-B56</f>
        <v/>
      </c>
      <c r="C57" s="35">
        <f>C55-C56</f>
        <v/>
      </c>
      <c r="D57" s="35">
        <f>D55-D56</f>
        <v/>
      </c>
      <c r="E57" s="35">
        <f>E55-E56</f>
        <v/>
      </c>
      <c r="F57" s="35">
        <f>F55-F56</f>
        <v/>
      </c>
      <c r="G57" s="35">
        <f>G55-G56</f>
        <v/>
      </c>
      <c r="I57" s="17" t="inlineStr">
        <is>
          <t>Driver-built revenue minus Scenarios revenue. Shows you how far off the bottom-up path is from what you're valuing on.</t>
        </is>
      </c>
      <c r="J57" s="51" t="inlineStr">
        <is>
          <t>Revenue Drivers: variance formula</t>
        </is>
      </c>
      <c r="K57" s="19" t="inlineStr">
        <is>
          <t>'=bottom-up total − Scenarios revenue. Positive = drivers above Scenarios; negative = below.</t>
        </is>
      </c>
    </row>
    <row r="58" ht="28" customHeight="1">
      <c r="A58" s="34" t="inlineStr">
        <is>
          <t>Variance (%)</t>
        </is>
      </c>
      <c r="B58" s="36">
        <f>IF(B56=0,"",B57/B56)</f>
        <v/>
      </c>
      <c r="C58" s="36">
        <f>IF(C56=0,"",C57/C56)</f>
        <v/>
      </c>
      <c r="D58" s="36">
        <f>IF(D56=0,"",D57/D56)</f>
        <v/>
      </c>
      <c r="E58" s="36">
        <f>IF(E56=0,"",E57/E56)</f>
        <v/>
      </c>
      <c r="F58" s="36">
        <f>IF(F56=0,"",F57/F56)</f>
        <v/>
      </c>
      <c r="G58" s="36">
        <f>IF(G56=0,"",G57/G56)</f>
        <v/>
      </c>
      <c r="I58" s="17" t="inlineStr">
        <is>
          <t>Variance as a percent of Scenarios revenue. Easy read on whether the driver schedule is close or way out of line.</t>
        </is>
      </c>
      <c r="J58" s="51" t="inlineStr">
        <is>
          <t>Revenue Drivers: variance % formula</t>
        </is>
      </c>
      <c r="K58" s="19" t="inlineStr">
        <is>
          <t>'=variance ÷ Scenarios revenue. Quick % read on how far the driver build is from the valuation path.</t>
        </is>
      </c>
    </row>
    <row r="59">
      <c r="A59" s="26" t="inlineStr">
        <is>
          <t>Note: DCF / Scenarios consolidated revenue is the valuation anchor. Drivers explain the path; minor variances are acceptable if documented.</t>
        </is>
      </c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3" t="inlineStr">
        <is>
          <t>Justification (~20 words)</t>
        </is>
      </c>
      <c r="C2" s="63" t="inlineStr">
        <is>
          <t>Source (click)</t>
        </is>
      </c>
      <c r="D2" s="63" t="inlineStr">
        <is>
          <t>Ctrl+F (prove number)</t>
        </is>
      </c>
      <c r="E2" s="64" t="inlineStr">
        <is>
          <t>FY2025A</t>
        </is>
      </c>
      <c r="F2" s="65" t="inlineStr">
        <is>
          <t>FY2026E</t>
        </is>
      </c>
      <c r="G2" s="65" t="inlineStr">
        <is>
          <t>FY2027E</t>
        </is>
      </c>
      <c r="H2" s="65" t="inlineStr">
        <is>
          <t>FY2028E</t>
        </is>
      </c>
      <c r="I2" s="65" t="inlineStr">
        <is>
          <t>FY2029E</t>
        </is>
      </c>
      <c r="J2" s="65" t="inlineStr">
        <is>
          <t>FY2030E</t>
        </is>
      </c>
      <c r="K2" s="66" t="inlineStr">
        <is>
          <t>Δ vs Scenarios</t>
        </is>
      </c>
      <c r="L2" s="63" t="inlineStr">
        <is>
          <t>Alt. source</t>
        </is>
      </c>
      <c r="M2" s="63" t="inlineStr">
        <is>
          <t>Alt. Ctrl+F</t>
        </is>
      </c>
    </row>
    <row r="3" ht="28" customHeight="1">
      <c r="A3" s="67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68" t="inlineStr">
        <is>
          <t>10-K</t>
        </is>
      </c>
      <c r="K3" s="69" t="inlineStr">
        <is>
          <t>(should be 0)</t>
        </is>
      </c>
    </row>
    <row r="4" ht="36" customHeight="1">
      <c r="A4" s="22" t="inlineStr">
        <is>
          <t>Assumptions Memo (PDF)
Ctrl+F: 1-page summary: justifications, Ctrl+F anchors, WACC, terminal multiple.</t>
        </is>
      </c>
      <c r="C4" s="70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1" t="n">
        <v>11102600</v>
      </c>
      <c r="F5" s="72">
        <f>Scenarios!G18</f>
        <v/>
      </c>
      <c r="G5" s="72">
        <f>Scenarios!G19</f>
        <v/>
      </c>
      <c r="H5" s="72">
        <f>Scenarios!G20</f>
        <v/>
      </c>
      <c r="I5" s="72">
        <f>Scenarios!G21</f>
        <v/>
      </c>
      <c r="J5" s="72">
        <f>Scenarios!G22</f>
        <v/>
      </c>
      <c r="K5" s="73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74">
        <f>F5/E5-1</f>
        <v/>
      </c>
      <c r="G6" s="74">
        <f>G5/F5-1</f>
        <v/>
      </c>
      <c r="H6" s="74">
        <f>H5/G5-1</f>
        <v/>
      </c>
      <c r="I6" s="74">
        <f>I5/H5-1</f>
        <v/>
      </c>
      <c r="J6" s="74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74">
        <f>Scenarios!G23</f>
        <v/>
      </c>
      <c r="G7" s="74">
        <f>Scenarios!G24</f>
        <v/>
      </c>
      <c r="H7" s="74">
        <f>Scenarios!G25</f>
        <v/>
      </c>
      <c r="I7" s="74">
        <f>Scenarios!G26</f>
        <v/>
      </c>
      <c r="J7" s="74">
        <f>Scenarios!G27</f>
        <v/>
      </c>
      <c r="K7" s="73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1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75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76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77" t="n">
        <v>0.1991078666258354</v>
      </c>
      <c r="F10" s="74">
        <f>F9/F5</f>
        <v/>
      </c>
      <c r="G10" s="74">
        <f>G9/G5</f>
        <v/>
      </c>
      <c r="H10" s="74">
        <f>H9/H5</f>
        <v/>
      </c>
      <c r="I10" s="74">
        <f>I9/I5</f>
        <v/>
      </c>
      <c r="J10" s="74">
        <f>J9/J5</f>
        <v/>
      </c>
    </row>
    <row r="11">
      <c r="A11" s="16" t="inlineStr">
        <is>
          <t>Less: cash taxes on EBIT</t>
        </is>
      </c>
      <c r="F11" s="72">
        <f>-Scenarios!G28*Scenarios!$G$11</f>
        <v/>
      </c>
      <c r="G11" s="72">
        <f>-Scenarios!G29*Scenarios!$G$11</f>
        <v/>
      </c>
      <c r="H11" s="72">
        <f>-Scenarios!G30*Scenarios!$G$11</f>
        <v/>
      </c>
      <c r="I11" s="72">
        <f>-Scenarios!G31*Scenarios!$G$11</f>
        <v/>
      </c>
      <c r="J11" s="72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76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2">
        <f>Scenarios!G38</f>
        <v/>
      </c>
      <c r="G14" s="72">
        <f>Scenarios!G39</f>
        <v/>
      </c>
      <c r="H14" s="72">
        <f>Scenarios!G40</f>
        <v/>
      </c>
      <c r="I14" s="72">
        <f>Scenarios!G41</f>
        <v/>
      </c>
      <c r="J14" s="72">
        <f>Scenarios!G42</f>
        <v/>
      </c>
      <c r="K14" s="73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2">
        <f>-Scenarios!G43</f>
        <v/>
      </c>
      <c r="G16" s="72">
        <f>-Scenarios!G44</f>
        <v/>
      </c>
      <c r="H16" s="72">
        <f>-Scenarios!G45</f>
        <v/>
      </c>
      <c r="I16" s="72">
        <f>-Scenarios!G46</f>
        <v/>
      </c>
      <c r="J16" s="72">
        <f>-Scenarios!G47</f>
        <v/>
      </c>
      <c r="K16" s="73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1" t="n">
        <v>190657</v>
      </c>
      <c r="F19" s="72">
        <f>Scenarios!G48</f>
        <v/>
      </c>
      <c r="G19" s="72">
        <f>Scenarios!G49</f>
        <v/>
      </c>
      <c r="H19" s="72">
        <f>Scenarios!G50</f>
        <v/>
      </c>
      <c r="I19" s="72">
        <f>Scenarios!G51</f>
        <v/>
      </c>
      <c r="J19" s="72">
        <f>Scenarios!G52</f>
        <v/>
      </c>
      <c r="K19" s="73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2">
        <f>-Scenarios!G53</f>
        <v/>
      </c>
      <c r="G20" s="72">
        <f>-Scenarios!G54</f>
        <v/>
      </c>
      <c r="H20" s="72">
        <f>-Scenarios!G55</f>
        <v/>
      </c>
      <c r="I20" s="72">
        <f>-Scenarios!G56</f>
        <v/>
      </c>
      <c r="J20" s="72">
        <f>-Scenarios!G57</f>
        <v/>
      </c>
      <c r="K20" s="73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78">
        <f>Scenarios!G58</f>
        <v/>
      </c>
      <c r="G22" s="78">
        <f>Scenarios!G59</f>
        <v/>
      </c>
      <c r="H22" s="78">
        <f>Scenarios!G60</f>
        <v/>
      </c>
      <c r="I22" s="78">
        <f>Scenarios!G61</f>
        <v/>
      </c>
      <c r="J22" s="78">
        <f>Scenarios!G62</f>
        <v/>
      </c>
      <c r="K22" s="76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79" t="n">
        <v>1</v>
      </c>
      <c r="G23" s="79" t="n">
        <v>2</v>
      </c>
      <c r="H23" s="79" t="n">
        <v>3</v>
      </c>
      <c r="I23" s="79" t="n">
        <v>4</v>
      </c>
      <c r="J23" s="79" t="n">
        <v>5</v>
      </c>
    </row>
    <row r="24">
      <c r="A24" s="16" t="inlineStr">
        <is>
          <t>Discount factor @ WACC</t>
        </is>
      </c>
      <c r="F24" s="80">
        <f>1/(1+Scenarios!$G$9)^F23</f>
        <v/>
      </c>
      <c r="G24" s="80">
        <f>1/(1+Scenarios!$G$9)^G23</f>
        <v/>
      </c>
      <c r="H24" s="80">
        <f>1/(1+Scenarios!$G$9)^H23</f>
        <v/>
      </c>
      <c r="I24" s="80">
        <f>1/(1+Scenarios!$G$9)^I23</f>
        <v/>
      </c>
      <c r="J24" s="80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81">
        <f>IF(COUNTIF(K5:K22,"CHECK")=0,"ALL OK","REVIEW")</f>
        <v/>
      </c>
    </row>
    <row r="28">
      <c r="A28" s="82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2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74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72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3">
        <f>E32/E31</f>
        <v/>
      </c>
    </row>
    <row r="34">
      <c r="A34" s="16" t="inlineStr">
        <is>
          <t xml:space="preserve">  memo: (UFCF₃₀ / EBITDA₃₀) × (1+g) / (WACC−g)</t>
        </is>
      </c>
      <c r="E34" s="83">
        <f>J22/E31*(1+Scenarios!$G$10)/(Scenarios!$G$9-Scenarios!$G$10)</f>
        <v/>
      </c>
    </row>
    <row r="35">
      <c r="A35" s="24" t="inlineStr">
        <is>
          <t>PV of terminal value</t>
        </is>
      </c>
      <c r="E35" s="62">
        <f>E32/(1+Scenarios!$G$9)^J23</f>
        <v/>
      </c>
    </row>
    <row r="36">
      <c r="A36" s="24" t="inlineStr">
        <is>
          <t>Enterprise value</t>
        </is>
      </c>
      <c r="E36" s="37">
        <f>E29+E35</f>
        <v/>
      </c>
    </row>
    <row r="37" ht="28" customHeight="1">
      <c r="A37" s="16" t="inlineStr">
        <is>
          <t>Plus: cash &amp; equivalents (FY2025)</t>
        </is>
      </c>
      <c r="C37" s="84" t="inlineStr">
        <is>
          <t>10-K</t>
        </is>
      </c>
      <c r="D37" s="19" t="inlineStr">
        <is>
          <t>Ctrl+F "Cash and cash equivalents" → 1,807,202 ($000) FY2025</t>
        </is>
      </c>
      <c r="E37" s="71" t="n">
        <v>1807202</v>
      </c>
    </row>
    <row r="38" ht="28" customHeight="1">
      <c r="A38" s="16" t="inlineStr">
        <is>
          <t>Less: total debt</t>
        </is>
      </c>
      <c r="C38" s="84" t="inlineStr">
        <is>
          <t>10-K</t>
        </is>
      </c>
      <c r="D38" s="19" t="inlineStr">
        <is>
          <t>Ctrl+F "no borrowings were outstanding under this facility" → no funded term debt</t>
        </is>
      </c>
      <c r="E38" s="71" t="n">
        <v>0</v>
      </c>
    </row>
    <row r="39">
      <c r="A39" s="24" t="inlineStr">
        <is>
          <t>Equity value</t>
        </is>
      </c>
      <c r="E39" s="37">
        <f>E36+E37+E38</f>
        <v/>
      </c>
    </row>
    <row r="40" ht="28" customHeight="1">
      <c r="A40" s="16" t="inlineStr">
        <is>
          <t>Diluted shares outstanding (000)</t>
        </is>
      </c>
      <c r="C40" s="84" t="inlineStr">
        <is>
          <t>10-K</t>
        </is>
      </c>
      <c r="D40" s="19" t="inlineStr">
        <is>
          <t>Ctrl+F "Diluted weighted-average number of shares outstanding" → 119,068 (000)</t>
        </is>
      </c>
      <c r="E40" s="71" t="n">
        <v>111380</v>
      </c>
    </row>
    <row r="41">
      <c r="A41" s="24" t="inlineStr">
        <is>
          <t>Implied value per share</t>
        </is>
      </c>
      <c r="E41" s="85">
        <f>E39/E40</f>
        <v/>
      </c>
      <c r="K41" s="76">
        <f>IF(ABS(E41-Scenarios!$G$65)&lt;0.05,"OK","CHECK")</f>
        <v/>
      </c>
    </row>
    <row r="42" ht="28" customHeight="1">
      <c r="A42" s="16" t="inlineStr">
        <is>
          <t>Current share price</t>
        </is>
      </c>
      <c r="C42" s="84" t="inlineStr">
        <is>
          <t>NASDAQ</t>
        </is>
      </c>
      <c r="D42" s="19" t="inlineStr">
        <is>
          <t>Ctrl+F "LULU" → Last Sale or Previous Close on NASDAQ quote page</t>
        </is>
      </c>
      <c r="E42" s="86" t="n">
        <v>100</v>
      </c>
    </row>
    <row r="43">
      <c r="A43" s="24" t="inlineStr">
        <is>
          <t>Implied upside / (downside)</t>
        </is>
      </c>
      <c r="E43" s="87">
        <f>E41/E42-1</f>
        <v/>
      </c>
    </row>
    <row r="44">
      <c r="A44" s="16" t="inlineStr">
        <is>
          <t xml:space="preserve">  memo: % of EV from terminal value</t>
        </is>
      </c>
      <c r="E44" s="74">
        <f>E35/E36</f>
        <v/>
      </c>
    </row>
    <row r="46">
      <c r="A46" s="82" t="inlineStr">
        <is>
          <t>CROSS-CHECK — EXIT MULTIPLE METHOD</t>
        </is>
      </c>
      <c r="B46" s="13" t="n"/>
      <c r="C46" s="13" t="n"/>
    </row>
    <row r="47">
      <c r="A47" s="15" t="inlineStr">
        <is>
          <t>Exit multiple is the Gordon identity — not a peer pick or an average</t>
        </is>
      </c>
    </row>
    <row r="48" ht="28" customHeight="1">
      <c r="A48" s="16" t="inlineStr">
        <is>
          <t>Selected exit EV/EBITDA (Gordon implied)</t>
        </is>
      </c>
      <c r="B48" s="17" t="inlineStr">
        <is>
          <t>Selected exit is Gordon TV / FY30 EBITDA. Identity: (UFCF/EBITDA)×(1+g)/(WACC−g). Not Deckers and not a peer average.</t>
        </is>
      </c>
      <c r="C48" s="18" t="inlineStr">
        <is>
          <t>DCF: Gordon implied exit (TV / FY30 EBITDA)</t>
        </is>
      </c>
      <c r="D48" s="19" t="inlineStr">
        <is>
          <t>No peer Ctrl+F. This cell = Gordon TV / FY30 EBITDA = (UFCF/EBITDA)×(1+g)/(WACC−g). WACC and g are sourced on those rows.</t>
        </is>
      </c>
      <c r="E48" s="83">
        <f>E33</f>
        <v/>
      </c>
      <c r="M48" s="84" t="inlineStr">
        <is>
          <t>Comps: Exit Multiple Build</t>
        </is>
      </c>
    </row>
    <row r="49">
      <c r="A49" s="16" t="inlineStr">
        <is>
          <t>Terminal value = Terminal EBITDA × exit multiple</t>
        </is>
      </c>
      <c r="E49" s="72">
        <f>E31*E48</f>
        <v/>
      </c>
    </row>
    <row r="50">
      <c r="A50" s="16" t="inlineStr">
        <is>
          <t>PV of terminal value</t>
        </is>
      </c>
      <c r="E50" s="72">
        <f>E49/(1+Scenarios!$G$9)^J23</f>
        <v/>
      </c>
    </row>
    <row r="51">
      <c r="A51" s="24" t="inlineStr">
        <is>
          <t>Enterprise value (exit method)</t>
        </is>
      </c>
      <c r="E51" s="37">
        <f>E29+E50</f>
        <v/>
      </c>
    </row>
    <row r="52">
      <c r="A52" s="24" t="inlineStr">
        <is>
          <t>Implied value per share (exit method)</t>
        </is>
      </c>
      <c r="E52" s="88">
        <f>(E51+E37+E38)/E40</f>
        <v/>
      </c>
    </row>
    <row r="54">
      <c r="A54" s="82" t="inlineStr">
        <is>
          <t>TERMINAL VALUE RECONCILIATION (GORDON vs EXIT MULTIPLE)</t>
        </is>
      </c>
      <c r="B54" s="13" t="n"/>
      <c r="C54" s="13" t="n"/>
      <c r="D54" s="13" t="n"/>
    </row>
    <row r="55">
      <c r="A55" s="89" t="inlineStr"/>
      <c r="B55" s="46" t="inlineStr">
        <is>
          <t>Gordon Growth</t>
        </is>
      </c>
      <c r="C55" s="46" t="inlineStr">
        <is>
          <t>Exit Multiple</t>
        </is>
      </c>
      <c r="D55" s="46" t="inlineStr">
        <is>
          <t>Variance</t>
        </is>
      </c>
    </row>
    <row r="56">
      <c r="A56" s="24" t="inlineStr">
        <is>
          <t>Terminal value ($)</t>
        </is>
      </c>
      <c r="B56" s="62">
        <f>E32</f>
        <v/>
      </c>
      <c r="C56" s="62">
        <f>E49</f>
        <v/>
      </c>
      <c r="D56" s="62">
        <f>B56-C56</f>
        <v/>
      </c>
    </row>
    <row r="57">
      <c r="A57" s="24" t="inlineStr">
        <is>
          <t>Exit EV/EBITDA (implied vs selected)</t>
        </is>
      </c>
      <c r="B57" s="90">
        <f>E33</f>
        <v/>
      </c>
      <c r="C57" s="90">
        <f>E48</f>
        <v/>
      </c>
      <c r="D57" s="90">
        <f>B57-C57</f>
        <v/>
      </c>
    </row>
    <row r="58">
      <c r="A58" s="16" t="inlineStr">
        <is>
          <t>Terminal value variance (%)</t>
        </is>
      </c>
      <c r="B58" s="74" t="inlineStr"/>
      <c r="C58" s="74" t="inlineStr"/>
      <c r="D58" s="74">
        <f>(B56-C56)/B56</f>
        <v/>
      </c>
    </row>
    <row r="59">
      <c r="A59" s="24" t="inlineStr">
        <is>
          <t>Implied share price</t>
        </is>
      </c>
      <c r="B59" s="91">
        <f>E41</f>
        <v/>
      </c>
      <c r="C59" s="91">
        <f>E52</f>
        <v/>
      </c>
      <c r="D59" s="91">
        <f>B59-C59</f>
        <v/>
      </c>
    </row>
    <row r="60">
      <c r="A60" s="60" t="inlineStr">
        <is>
          <t>Sanity check: multiples within ±1.5 turns?</t>
        </is>
      </c>
      <c r="B60" s="92">
        <f>IF(ABS(D57)&lt;=1.5,"PASS","REVIEW")</f>
        <v/>
      </c>
      <c r="C60" s="93">
        <f>TEXT(D57,"0.0")&amp;"x spread vs Gordon-implied exit"</f>
        <v/>
      </c>
      <c r="D60" s="26" t="inlineStr">
        <is>
          <t>Selected exit is the Gordon identity, so spread should be 0</t>
        </is>
      </c>
    </row>
    <row r="63">
      <c r="A63" s="82" t="inlineStr">
        <is>
          <t>SENSITIVITY — IMPLIED SHARE PRICE (WACC vs terminal growth)</t>
        </is>
      </c>
      <c r="B63" s="13" t="n"/>
      <c r="C63" s="13" t="n"/>
      <c r="D63" s="13" t="n"/>
      <c r="E63" s="13" t="n"/>
      <c r="F63" s="13" t="n"/>
      <c r="G63" s="13" t="n"/>
      <c r="H63" s="13" t="n"/>
    </row>
    <row r="64" ht="28" customHeight="1">
      <c r="A64" s="94" t="inlineStr">
        <is>
          <t>WACC \ g</t>
        </is>
      </c>
      <c r="B64" s="17" t="inlineStr">
        <is>
          <t>Terminal-g axis 1.5–3.0% brackets 2.25% base; bounded by long-run real GDP and inflation benchmarks.</t>
        </is>
      </c>
      <c r="C64" s="18" t="inlineStr">
        <is>
          <t>FRED: Real GDP (GDPC1)</t>
        </is>
      </c>
      <c r="D64" s="19" t="inlineStr">
        <is>
          <t>Ctrl+F "GDPC1" → bounds terminal-g sensitivity grid 1.5%–3.0%</t>
        </is>
      </c>
      <c r="F64" s="95" t="n">
        <v>0.015</v>
      </c>
      <c r="G64" s="95" t="n">
        <v>0.02</v>
      </c>
      <c r="H64" s="95" t="n">
        <v>0.0225</v>
      </c>
      <c r="I64" s="95" t="n">
        <v>0.025</v>
      </c>
      <c r="J64" s="95" t="n">
        <v>0.03</v>
      </c>
      <c r="L64" s="84" t="inlineStr">
        <is>
          <t>Scenarios: terminal g</t>
        </is>
      </c>
    </row>
    <row r="65" ht="28" customHeight="1">
      <c r="A65" s="95" t="n">
        <v>0.095</v>
      </c>
      <c r="C65" s="84" t="inlineStr">
        <is>
          <t>Damodaran: Historical Implied ERP</t>
        </is>
      </c>
      <c r="D65" s="19" t="inlineStr">
        <is>
          <t>Ctrl+F "4.23%" (2025 implied ERP). Sensitivity WACC axis brackets the 10.5% base.</t>
        </is>
      </c>
      <c r="F65" s="96">
        <f>(NPV(0.095,F22:J22)+(J22*(1+0.015)/(0.095-0.015))/(1+0.095)^5+E37+E38)/E40</f>
        <v/>
      </c>
      <c r="G65" s="96">
        <f>(NPV(0.095,F22:J22)+(J22*(1+0.02)/(0.095-0.02))/(1+0.095)^5+E37+E38)/E40</f>
        <v/>
      </c>
      <c r="H65" s="96">
        <f>(NPV(0.095,F22:J22)+(J22*(1+0.0225)/(0.095-0.0225))/(1+0.095)^5+E37+E38)/E40</f>
        <v/>
      </c>
      <c r="I65" s="96">
        <f>(NPV(0.095,F22:J22)+(J22*(1+0.025)/(0.095-0.025))/(1+0.095)^5+E37+E38)/E40</f>
        <v/>
      </c>
      <c r="J65" s="96">
        <f>(NPV(0.095,F22:J22)+(J22*(1+0.03)/(0.095-0.03))/(1+0.095)^5+E37+E38)/E40</f>
        <v/>
      </c>
      <c r="L65" s="84" t="inlineStr">
        <is>
          <t>WACC tab</t>
        </is>
      </c>
    </row>
    <row r="66" ht="28" customHeight="1">
      <c r="A66" s="95" t="n">
        <v>0.1</v>
      </c>
      <c r="D66" s="19" t="inlineStr">
        <is>
          <t>Ctrl+F "4.23%" (2025 implied ERP). Sensitivity WACC axis brackets the 10.5% base.</t>
        </is>
      </c>
      <c r="F66" s="96">
        <f>(NPV(0.1,F22:J22)+(J22*(1+0.015)/(0.1-0.015))/(1+0.1)^5+E37+E38)/E40</f>
        <v/>
      </c>
      <c r="G66" s="96">
        <f>(NPV(0.1,F22:J22)+(J22*(1+0.02)/(0.1-0.02))/(1+0.1)^5+E37+E38)/E40</f>
        <v/>
      </c>
      <c r="H66" s="96">
        <f>(NPV(0.1,F22:J22)+(J22*(1+0.0225)/(0.1-0.0225))/(1+0.1)^5+E37+E38)/E40</f>
        <v/>
      </c>
      <c r="I66" s="96">
        <f>(NPV(0.1,F22:J22)+(J22*(1+0.025)/(0.1-0.025))/(1+0.1)^5+E37+E38)/E40</f>
        <v/>
      </c>
      <c r="J66" s="96">
        <f>(NPV(0.1,F22:J22)+(J22*(1+0.03)/(0.1-0.03))/(1+0.1)^5+E37+E38)/E40</f>
        <v/>
      </c>
      <c r="L66" s="84" t="inlineStr">
        <is>
          <t>WACC tab</t>
        </is>
      </c>
    </row>
    <row r="67" ht="28" customHeight="1">
      <c r="A67" s="95" t="n">
        <v>0.105</v>
      </c>
      <c r="D67" s="19" t="inlineStr">
        <is>
          <t>Ctrl+F "4.23%" (2025 implied ERP). Sensitivity WACC axis brackets the 10.5% base.</t>
        </is>
      </c>
      <c r="F67" s="96">
        <f>(NPV(0.105,F22:J22)+(J22*(1+0.015)/(0.105-0.015))/(1+0.105)^5+E37+E38)/E40</f>
        <v/>
      </c>
      <c r="G67" s="96">
        <f>(NPV(0.105,F22:J22)+(J22*(1+0.02)/(0.105-0.02))/(1+0.105)^5+E37+E38)/E40</f>
        <v/>
      </c>
      <c r="H67" s="97">
        <f>(NPV(0.105,F22:J22)+(J22*(1+0.0225)/(0.105-0.0225))/(1+0.105)^5+E37+E38)/E40</f>
        <v/>
      </c>
      <c r="I67" s="96">
        <f>(NPV(0.105,F22:J22)+(J22*(1+0.025)/(0.105-0.025))/(1+0.105)^5+E37+E38)/E40</f>
        <v/>
      </c>
      <c r="J67" s="96">
        <f>(NPV(0.105,F22:J22)+(J22*(1+0.03)/(0.105-0.03))/(1+0.105)^5+E37+E38)/E40</f>
        <v/>
      </c>
      <c r="L67" s="84" t="inlineStr">
        <is>
          <t>WACC tab</t>
        </is>
      </c>
    </row>
    <row r="68" ht="28" customHeight="1">
      <c r="A68" s="95" t="n">
        <v>0.11</v>
      </c>
      <c r="D68" s="19" t="inlineStr">
        <is>
          <t>Ctrl+F "4.23%" (2025 implied ERP). Sensitivity WACC axis brackets the 10.5% base.</t>
        </is>
      </c>
      <c r="F68" s="96">
        <f>(NPV(0.11,F22:J22)+(J22*(1+0.015)/(0.11-0.015))/(1+0.11)^5+E37+E38)/E40</f>
        <v/>
      </c>
      <c r="G68" s="96">
        <f>(NPV(0.11,F22:J22)+(J22*(1+0.02)/(0.11-0.02))/(1+0.11)^5+E37+E38)/E40</f>
        <v/>
      </c>
      <c r="H68" s="96">
        <f>(NPV(0.11,F22:J22)+(J22*(1+0.0225)/(0.11-0.0225))/(1+0.11)^5+E37+E38)/E40</f>
        <v/>
      </c>
      <c r="I68" s="96">
        <f>(NPV(0.11,F22:J22)+(J22*(1+0.025)/(0.11-0.025))/(1+0.11)^5+E37+E38)/E40</f>
        <v/>
      </c>
      <c r="J68" s="96">
        <f>(NPV(0.11,F22:J22)+(J22*(1+0.03)/(0.11-0.03))/(1+0.11)^5+E37+E38)/E40</f>
        <v/>
      </c>
      <c r="L68" s="84" t="inlineStr">
        <is>
          <t>WACC tab</t>
        </is>
      </c>
    </row>
    <row r="69" ht="28" customHeight="1">
      <c r="A69" s="95" t="n">
        <v>0.115</v>
      </c>
      <c r="D69" s="19" t="inlineStr">
        <is>
          <t>Ctrl+F "4.23%" (2025 implied ERP). Sensitivity WACC axis brackets the 10.5% base.</t>
        </is>
      </c>
      <c r="F69" s="96">
        <f>(NPV(0.115,F22:J22)+(J22*(1+0.015)/(0.115-0.015))/(1+0.115)^5+E37+E38)/E40</f>
        <v/>
      </c>
      <c r="G69" s="96">
        <f>(NPV(0.115,F22:J22)+(J22*(1+0.02)/(0.115-0.02))/(1+0.115)^5+E37+E38)/E40</f>
        <v/>
      </c>
      <c r="H69" s="96">
        <f>(NPV(0.115,F22:J22)+(J22*(1+0.0225)/(0.115-0.0225))/(1+0.115)^5+E37+E38)/E40</f>
        <v/>
      </c>
      <c r="I69" s="96">
        <f>(NPV(0.115,F22:J22)+(J22*(1+0.025)/(0.115-0.025))/(1+0.115)^5+E37+E38)/E40</f>
        <v/>
      </c>
      <c r="J69" s="96">
        <f>(NPV(0.115,F22:J22)+(J22*(1+0.03)/(0.115-0.03))/(1+0.115)^5+E37+E38)/E40</f>
        <v/>
      </c>
      <c r="L69" s="84" t="inlineStr">
        <is>
          <t>WACC tab</t>
        </is>
      </c>
    </row>
    <row r="70" ht="28" customHeight="1">
      <c r="B70" s="17" t="inlineStr">
        <is>
          <t>Red WACC and g grid values bracket base case ±100bps discount rate and ±75bps terminal growth for sensitivity.</t>
        </is>
      </c>
      <c r="C70" s="18" t="inlineStr">
        <is>
          <t>Scenarios: WACC &amp; terminal g</t>
        </is>
      </c>
      <c r="D70" s="19" t="inlineStr">
        <is>
          <t>Scenarios tab → Ctrl+F "WACC" and "Terminal growth" rows (base-case inputs)</t>
        </is>
      </c>
      <c r="L70" s="84" t="inlineStr">
        <is>
          <t>FRED: Real GDP (GDPC1)</t>
        </is>
      </c>
      <c r="M70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0" r:id="rId21"/>
    <hyperlink xmlns:r="http://schemas.openxmlformats.org/officeDocument/2006/relationships" ref="E40" r:id="rId22"/>
    <hyperlink xmlns:r="http://schemas.openxmlformats.org/officeDocument/2006/relationships" ref="C42" r:id="rId23"/>
    <hyperlink xmlns:r="http://schemas.openxmlformats.org/officeDocument/2006/relationships" ref="E42" r:id="rId24"/>
    <hyperlink ref="C48" location="'DCF'!E33"/>
    <hyperlink ref="M48" location="'Comps'!A45"/>
    <hyperlink xmlns:r="http://schemas.openxmlformats.org/officeDocument/2006/relationships" ref="C64" r:id="rId25"/>
    <hyperlink ref="L64" location="'Scenarios'!G10"/>
    <hyperlink xmlns:r="http://schemas.openxmlformats.org/officeDocument/2006/relationships" ref="C65" r:id="rId26"/>
    <hyperlink ref="L65" location="'WACC'!E19"/>
    <hyperlink ref="L66" location="'WACC'!E19"/>
    <hyperlink ref="L67" location="'WACC'!E19"/>
    <hyperlink ref="L68" location="'WACC'!E19"/>
    <hyperlink ref="L69" location="'WACC'!E19"/>
    <hyperlink ref="C70" location="'Scenarios'!G9"/>
    <hyperlink xmlns:r="http://schemas.openxmlformats.org/officeDocument/2006/relationships" ref="L70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4" t="inlineStr">
        <is>
          <t>10-K</t>
        </is>
      </c>
      <c r="D4" s="19" t="inlineStr">
        <is>
          <t>Ctrl+F "Net revenue" → 11,102,600 ($000) in FY2025 column</t>
        </is>
      </c>
      <c r="E4" s="71" t="n">
        <v>11102600</v>
      </c>
    </row>
    <row r="5">
      <c r="A5" s="16" t="inlineStr">
        <is>
          <t>FY2025A EBITDA (EBIT + D&amp;A)</t>
        </is>
      </c>
      <c r="E5" s="72">
        <f>2210615+496228</f>
        <v/>
      </c>
    </row>
    <row r="6">
      <c r="A6" s="16" t="inlineStr">
        <is>
          <t>FY2030E terminal EBITDA (DCF EBIT + D&amp;A)</t>
        </is>
      </c>
      <c r="C6" s="84" t="inlineStr">
        <is>
          <t>↳ DCF base case</t>
        </is>
      </c>
      <c r="E6" s="72">
        <f>DCF!E31</f>
        <v/>
      </c>
    </row>
    <row r="7" ht="28" customHeight="1">
      <c r="A7" s="16" t="inlineStr">
        <is>
          <t>FY2026E diluted EPS (guidance midpoint)</t>
        </is>
      </c>
      <c r="C7" s="84" t="inlineStr">
        <is>
          <t>Release</t>
        </is>
      </c>
      <c r="D7" s="19" t="inlineStr">
        <is>
          <t>Ctrl+F "$9.48 to $9.73" → FY2026 diluted EPS guidance; model midpoint $9.61</t>
        </is>
      </c>
      <c r="E7" s="86" t="n">
        <v>9.609999999999999</v>
      </c>
    </row>
    <row r="8" ht="28" customHeight="1">
      <c r="A8" s="16" t="inlineStr">
        <is>
          <t>Cash &amp; equivalents</t>
        </is>
      </c>
      <c r="C8" s="84" t="inlineStr">
        <is>
          <t>10-K</t>
        </is>
      </c>
      <c r="D8" s="19" t="inlineStr">
        <is>
          <t>Ctrl+F "Cash and cash equivalents" → 1,807,202 ($000) FY2025</t>
        </is>
      </c>
      <c r="E8" s="71" t="n">
        <v>1807202</v>
      </c>
    </row>
    <row r="9" ht="28" customHeight="1">
      <c r="A9" s="16" t="inlineStr">
        <is>
          <t>Diluted shares (000)</t>
        </is>
      </c>
      <c r="C9" s="84" t="inlineStr">
        <is>
          <t>10-K</t>
        </is>
      </c>
      <c r="D9" s="19" t="inlineStr">
        <is>
          <t>Ctrl+F "Diluted weighted-average number of shares outstanding" → 119,068 (000)</t>
        </is>
      </c>
      <c r="E9" s="71" t="n">
        <v>111380</v>
      </c>
    </row>
    <row r="10" ht="28" customHeight="1">
      <c r="A10" s="16" t="inlineStr">
        <is>
          <t>Current share price</t>
        </is>
      </c>
      <c r="C10" s="84" t="inlineStr">
        <is>
          <t>NASDAQ</t>
        </is>
      </c>
      <c r="D10" s="19" t="inlineStr">
        <is>
          <t>Ctrl+F "LULU" → Last Sale or Previous Close on NASDAQ quote page</t>
        </is>
      </c>
      <c r="E10" s="86" t="n">
        <v>100</v>
      </c>
    </row>
    <row r="11">
      <c r="A11" s="93" t="inlineStr">
        <is>
          <t xml:space="preserve">  memo: current EV / EBITDA</t>
        </is>
      </c>
      <c r="E11" s="98">
        <f>(E10*E9-E8)/E5</f>
        <v/>
      </c>
    </row>
    <row r="12">
      <c r="A12" s="93" t="inlineStr">
        <is>
          <t xml:space="preserve">  memo: current P / E (FY2026E)</t>
        </is>
      </c>
      <c r="E12" s="98">
        <f>E10/E7</f>
        <v/>
      </c>
    </row>
    <row r="14">
      <c r="A14" s="14" t="inlineStr">
        <is>
          <t>EXIT MULTIPLE BUILD — FY2030E TERMINAL YEAR</t>
        </is>
      </c>
    </row>
    <row r="15">
      <c r="A15" s="93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99" t="inlineStr">
        <is>
          <t>Company</t>
        </is>
      </c>
      <c r="B18" s="99" t="inlineStr">
        <is>
          <t>Justification</t>
        </is>
      </c>
      <c r="C18" s="99" t="inlineStr">
        <is>
          <t>Source</t>
        </is>
      </c>
      <c r="D18" s="99" t="inlineStr">
        <is>
          <t>Ctrl+F / proof</t>
        </is>
      </c>
      <c r="E18" s="100" t="inlineStr">
        <is>
          <t>EV/EBITDA</t>
        </is>
      </c>
      <c r="I18" s="100" t="inlineStr">
        <is>
          <t>EV ($000)</t>
        </is>
      </c>
      <c r="J18" s="100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51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1">
        <f>IF(J19&lt;=0,"n.m.",I19/J19)</f>
        <v/>
      </c>
      <c r="I19" s="102" t="n">
        <v>11890440</v>
      </c>
      <c r="J19" s="102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51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1">
        <f>IF(J20&lt;=0,"n.m.",I20/J20)</f>
        <v/>
      </c>
      <c r="I20" s="102" t="n">
        <v>3208397</v>
      </c>
      <c r="J20" s="102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51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1">
        <f>IF(J21&lt;=0,"n.m.",I21/J21)</f>
        <v/>
      </c>
      <c r="I21" s="102" t="n">
        <v>35661944</v>
      </c>
      <c r="J21" s="102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51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1">
        <f>IF(J22&lt;=0,"n.m.",I22/J22)</f>
        <v/>
      </c>
      <c r="I22" s="102" t="n">
        <v>58972350</v>
      </c>
      <c r="J22" s="102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51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1">
        <f>IF(J23&lt;=0,"n.m.",I23/J23)</f>
        <v/>
      </c>
      <c r="I23" s="102" t="n">
        <v>10555510</v>
      </c>
      <c r="J23" s="102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51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1">
        <f>IF(J24&lt;=0,"n.m.",I24/J24)</f>
        <v/>
      </c>
      <c r="I24" s="102" t="n">
        <v>27284350</v>
      </c>
      <c r="J24" s="102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51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1">
        <f>IF(J25&lt;=0,"n.m.",I25/J25)</f>
        <v/>
      </c>
      <c r="I25" s="102" t="n">
        <v>7153911</v>
      </c>
      <c r="J25" s="102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51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1">
        <f>IF(J26&lt;=0,"n.m.",I26/J26)</f>
        <v/>
      </c>
      <c r="I26" s="102" t="n">
        <v>616045</v>
      </c>
      <c r="J26" s="102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51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1">
        <f>IF(J27&lt;=0,"n.m.",I27/J27)</f>
        <v/>
      </c>
      <c r="I27" s="102" t="n">
        <v>9422753</v>
      </c>
      <c r="J27" s="102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51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1">
        <f>IF(J28&lt;=0,"n.m.",I28/J28)</f>
        <v/>
      </c>
      <c r="I28" s="102" t="n">
        <v>1598873</v>
      </c>
      <c r="J28" s="102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51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1">
        <f>IF(J29&lt;=0,"n.m.",I29/J29)</f>
        <v/>
      </c>
      <c r="I29" s="102" t="n">
        <v>5236269</v>
      </c>
      <c r="J29" s="102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22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3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3" t="n">
        <v>2</v>
      </c>
    </row>
    <row r="35" ht="28" customHeight="1">
      <c r="A35" s="60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4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5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1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1">
        <f>AVERAGE(E19,E21,E22,E23,E24,E25,E26,E27,E28,E29)</f>
        <v/>
      </c>
    </row>
    <row r="41">
      <c r="A41" s="93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3">
        <f>DCF!E33</f>
        <v/>
      </c>
    </row>
    <row r="45">
      <c r="A45" s="60" t="inlineStr">
        <is>
          <t>Selected exit multiple (base case)</t>
        </is>
      </c>
      <c r="E45" s="90">
        <f>DCF!E48</f>
        <v/>
      </c>
    </row>
    <row r="46">
      <c r="A46" s="16" t="inlineStr">
        <is>
          <t>Spread (selected − Gordon implied)</t>
        </is>
      </c>
      <c r="E46" s="83">
        <f>E45-E44</f>
        <v/>
      </c>
    </row>
    <row r="47">
      <c r="A47" s="60" t="inlineStr">
        <is>
          <t>Rationale for selected exit (Gordon identity, not a peer pick)</t>
        </is>
      </c>
    </row>
    <row r="48">
      <c r="A48" s="34" t="inlineStr">
        <is>
          <t>•  Selected exit = Gordon TV / FY30 EBITDA. Identity: (UFCF/EBITDA)×(1+g)/(WACC−g). Live formula, not a typed 8.0x</t>
        </is>
      </c>
    </row>
    <row r="49">
      <c r="A49" s="34" t="inlineStr">
        <is>
          <t>•  At base WACC 10.5% and g 2.25% that identity is ~6.0x — the stale “Gordon ~7x / pick Deckers 8.0x” overlay is gone</t>
        </is>
      </c>
    </row>
    <row r="50">
      <c r="A50" s="34" t="inlineStr">
        <is>
          <t>•  PitchBook pubcomps (04-Sep-2026) are the current tape: each multiple is daily EV / TTM EBITDA</t>
        </is>
      </c>
    </row>
    <row r="51">
      <c r="A51" s="34" t="inlineStr">
        <is>
          <t>•  That tape is a check, not the exit. A 2.25% g / 15.5% OM year is not today’s NKE/WSM multiple</t>
        </is>
      </c>
    </row>
    <row r="52">
      <c r="A52" s="34" t="inlineStr">
        <is>
          <t>•  Alo has no EV/EBITDA print. Implied 5.0x is EV/Sales (unclosed $10bn ask / ~$2bn parent sales) — not the FY30 exit</t>
        </is>
      </c>
    </row>
    <row r="53">
      <c r="A53" s="34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99" t="inlineStr">
        <is>
          <t>Method</t>
        </is>
      </c>
      <c r="B56" s="99" t="inlineStr">
        <is>
          <t>Justification</t>
        </is>
      </c>
      <c r="C56" s="99" t="inlineStr">
        <is>
          <t>Source</t>
        </is>
      </c>
      <c r="D56" s="99" t="inlineStr">
        <is>
          <t>Ctrl+F</t>
        </is>
      </c>
      <c r="E56" s="100" t="inlineStr">
        <is>
          <t>Low mult.</t>
        </is>
      </c>
      <c r="F56" s="100" t="inlineStr">
        <is>
          <t>High mult.</t>
        </is>
      </c>
      <c r="G56" s="100" t="inlineStr">
        <is>
          <t>Implied px (low)</t>
        </is>
      </c>
      <c r="H56" s="100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0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6" t="n">
        <v>5</v>
      </c>
      <c r="F57" s="106" t="n">
        <v>8</v>
      </c>
      <c r="G57" s="107">
        <f>(E6*E57+E8)/E9</f>
        <v/>
      </c>
      <c r="H57" s="107">
        <f>(E6*F57+E8)/E9</f>
        <v/>
      </c>
    </row>
    <row r="58" ht="28" customHeight="1">
      <c r="A58" s="60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4">
        <f>DCF!E48</f>
        <v/>
      </c>
      <c r="G58" s="108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0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6" t="n">
        <v>10</v>
      </c>
      <c r="F59" s="106" t="n">
        <v>18</v>
      </c>
      <c r="G59" s="107">
        <f>E7*E59</f>
        <v/>
      </c>
      <c r="H59" s="107">
        <f>E7*F59</f>
        <v/>
      </c>
    </row>
    <row r="60">
      <c r="A60" s="16" t="inlineStr">
        <is>
          <t>DCF (bear – bull)</t>
        </is>
      </c>
      <c r="E60" s="109" t="inlineStr">
        <is>
          <t>—</t>
        </is>
      </c>
      <c r="F60" s="109" t="inlineStr">
        <is>
          <t>—</t>
        </is>
      </c>
      <c r="G60" s="107">
        <f>Scenarios!F65</f>
        <v/>
      </c>
      <c r="H60" s="107">
        <f>Scenarios!H65</f>
        <v/>
      </c>
    </row>
    <row r="62" ht="28" customHeight="1">
      <c r="A62" s="110" t="inlineStr">
        <is>
          <t>Current price</t>
        </is>
      </c>
      <c r="C62" s="84" t="inlineStr">
        <is>
          <t>NASDAQ</t>
        </is>
      </c>
      <c r="D62" s="19" t="inlineStr">
        <is>
          <t>Ctrl+F "LULU" → Last Sale or Previous Close on NASDAQ quote page</t>
        </is>
      </c>
      <c r="E62" s="111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48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2026-09-07T21:15:33Z</dcterms:created>
  <dcterms:modified xmlns:dcterms="http://purl.org/dc/terms/" xmlns:xsi="http://www.w3.org/2001/XMLSchema-instance" xsi:type="dcterms:W3CDTF">2026-09-07T21:15:33Z</dcterms:modified>
</cp:coreProperties>
</file>
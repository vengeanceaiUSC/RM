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#,##0;(#,##0)"/>
    <numFmt numFmtId="166" formatCode="$#,##0.00"/>
    <numFmt numFmtId="167" formatCode="#,##0.0"/>
    <numFmt numFmtId="168" formatCode="0.000"/>
    <numFmt numFmtId="169" formatCode="0.0x"/>
  </numFmts>
  <fonts count="52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b val="1"/>
      <color rgb="00FFFFFF"/>
      <sz val="10"/>
    </font>
    <font>
      <name val="Garamond"/>
      <i val="1"/>
      <color rgb="00F2F2F2"/>
      <sz val="9"/>
    </font>
    <font>
      <name val="Garamond"/>
      <b val="1"/>
      <color rgb="00C8102E"/>
      <sz val="8"/>
    </font>
    <font>
      <name val="Garamond"/>
      <i val="1"/>
      <color rgb="00F2F2F2"/>
      <sz val="7"/>
    </font>
    <font>
      <name val="Garamond"/>
      <color rgb="00000000"/>
      <sz val="8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1F2A44"/>
      <sz val="9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1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2" fontId="10" fillId="0" borderId="0" applyAlignment="1" pivotButton="0" quotePrefix="0" xfId="0">
      <alignment horizontal="right" vertical="center"/>
    </xf>
    <xf numFmtId="2" fontId="16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0" fontId="20" fillId="0" borderId="0" applyAlignment="1" pivotButton="0" quotePrefix="0" xfId="0">
      <alignment horizontal="left" vertical="center" indent="1"/>
    </xf>
    <xf numFmtId="165" fontId="21" fillId="0" borderId="1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5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0" fontId="24" fillId="0" borderId="0" applyAlignment="1" pivotButton="0" quotePrefix="0" xfId="0">
      <alignment horizontal="left" vertical="center" indent="1"/>
    </xf>
    <xf numFmtId="165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6" fontId="26" fillId="3" borderId="2" applyAlignment="1" pivotButton="0" quotePrefix="0" xfId="0">
      <alignment horizontal="right" vertical="center"/>
    </xf>
    <xf numFmtId="166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5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5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5" fontId="30" fillId="0" borderId="0" applyAlignment="1" pivotButton="0" quotePrefix="0" xfId="0">
      <alignment horizontal="right" vertical="center"/>
    </xf>
    <xf numFmtId="165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5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6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5" fontId="35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0" fillId="0" borderId="0" applyAlignment="1" pivotButton="0" quotePrefix="0" xfId="0">
      <alignment horizontal="left" vertical="center" indent="1"/>
    </xf>
    <xf numFmtId="0" fontId="34" fillId="0" borderId="0" applyAlignment="1" pivotButton="0" quotePrefix="0" xfId="0">
      <alignment horizontal="center" vertical="center" wrapText="1"/>
    </xf>
    <xf numFmtId="0" fontId="38" fillId="4" borderId="0" applyAlignment="1" pivotButton="0" quotePrefix="0" xfId="0">
      <alignment horizontal="center" vertical="center" wrapText="1"/>
    </xf>
    <xf numFmtId="0" fontId="40" fillId="0" borderId="0" applyAlignment="1" pivotButton="0" quotePrefix="0" xfId="0">
      <alignment horizontal="center" vertical="center" wrapText="1"/>
    </xf>
    <xf numFmtId="0" fontId="39" fillId="0" borderId="0" applyAlignment="1" pivotButton="0" quotePrefix="0" xfId="0">
      <alignment horizontal="left" vertical="center" indent="1"/>
    </xf>
    <xf numFmtId="0" fontId="37" fillId="0" borderId="0" applyAlignment="1" pivotButton="0" quotePrefix="0" xfId="0">
      <alignment horizontal="center" vertical="center" wrapText="1"/>
    </xf>
    <xf numFmtId="0" fontId="41" fillId="0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top" wrapText="1"/>
    </xf>
    <xf numFmtId="165" fontId="11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center" vertical="center" wrapText="1"/>
    </xf>
    <xf numFmtId="165" fontId="35" fillId="0" borderId="1" applyAlignment="1" pivotButton="0" quotePrefix="0" xfId="0">
      <alignment horizontal="right" vertical="center"/>
    </xf>
    <xf numFmtId="0" fontId="43" fillId="0" borderId="0" applyAlignment="1" pivotButton="0" quotePrefix="0" xfId="0">
      <alignment horizontal="center" vertical="center" wrapText="1"/>
    </xf>
    <xf numFmtId="164" fontId="11" fillId="0" borderId="0" applyAlignment="1" pivotButton="0" quotePrefix="0" xfId="0">
      <alignment horizontal="right" vertical="center"/>
    </xf>
    <xf numFmtId="165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4" fillId="0" borderId="0" applyAlignment="1" pivotButton="0" quotePrefix="0" xfId="0">
      <alignment horizontal="center" vertical="center" wrapText="1"/>
    </xf>
    <xf numFmtId="0" fontId="38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37" fillId="0" borderId="0" applyAlignment="1" pivotButton="0" quotePrefix="0" xfId="0">
      <alignment horizontal="left" vertical="center"/>
    </xf>
    <xf numFmtId="166" fontId="45" fillId="3" borderId="2" applyAlignment="1" pivotButton="0" quotePrefix="0" xfId="0">
      <alignment horizontal="right" vertical="center"/>
    </xf>
    <xf numFmtId="166" fontId="11" fillId="0" borderId="0" applyAlignment="1" pivotButton="0" quotePrefix="0" xfId="0">
      <alignment horizontal="right" vertical="center"/>
    </xf>
    <xf numFmtId="164" fontId="46" fillId="0" borderId="0" applyAlignment="1" pivotButton="0" quotePrefix="0" xfId="0">
      <alignment horizontal="right" vertical="center"/>
    </xf>
    <xf numFmtId="166" fontId="46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47" fillId="6" borderId="0" applyAlignment="1" pivotButton="0" quotePrefix="0" xfId="0">
      <alignment horizontal="center" vertical="center" wrapText="1"/>
    </xf>
    <xf numFmtId="164" fontId="48" fillId="6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6" fontId="49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8" fillId="2" borderId="0" applyAlignment="1" pivotButton="0" quotePrefix="0" xfId="0">
      <alignment horizontal="left" vertical="center" indent="1"/>
    </xf>
    <xf numFmtId="0" fontId="38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0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6" fontId="9" fillId="0" borderId="0" applyAlignment="1" pivotButton="0" quotePrefix="0" xfId="0">
      <alignment horizontal="center" vertical="center" wrapText="1"/>
    </xf>
    <xf numFmtId="166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6" fontId="5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LULU_Assumptions_Memo.pdf" TargetMode="External" Id="rId1"/><Relationship Type="http://schemas.openxmlformats.org/officeDocument/2006/relationships/hyperlink" Target="https://www.sec.gov/edgar/browse/?CIK=1397187&amp;owner=exclude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nasdaq.com/market-activity/stocks/lulu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stockanalysis.com/stocks/lulu/statistics/" TargetMode="External" Id="rId3"/><Relationship Type="http://schemas.openxmlformats.org/officeDocument/2006/relationships/hyperlink" Target="https://www.stern.nyu.edu/~adamodar/New_Home_Page/datafile/Betas.html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nasdaq.com/market-activity/stocks/lulu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tern.nyu.edu/~adamodar/New_Home_Page/datafile/Betas.html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LULU_Assumptions_Memo.pdf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corporate.lululemon.com/newsroom/press-releases/2026/09-03-2026-210528733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fred.stlouisfed.org/series/GDPC1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nasdaq.com/market-activity/stocks/lulu" TargetMode="External" Id="rId23"/><Relationship Type="http://schemas.openxmlformats.org/officeDocument/2006/relationships/hyperlink" Target="https://www.nasdaq.com/market-activity/stocks/lulu" TargetMode="External" Id="rId24"/><Relationship Type="http://schemas.openxmlformats.org/officeDocument/2006/relationships/hyperlink" Target="https://fred.stlouisfed.org/series/GDPC1" TargetMode="External" Id="rId25"/><Relationship Type="http://schemas.openxmlformats.org/officeDocument/2006/relationships/hyperlink" Target="https://www.stern.nyu.edu/~adamodar/New_Home_Page/datafile/histimpl.html" TargetMode="External" Id="rId26"/><Relationship Type="http://schemas.openxmlformats.org/officeDocument/2006/relationships/hyperlink" Target="https://fred.stlouisfed.org/series/GDPC1" TargetMode="External" Id="rId27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reuters.com/markets/deals/alo-yoga-parent-seeks-investment-10-bln-valuation-sources-2023-10-30/" TargetMode="External" Id="rId11"/><Relationship Type="http://schemas.openxmlformats.org/officeDocument/2006/relationships/hyperlink" Target="https://www.reuters.com/markets/deals/alo-yoga-parent-seeks-investment-10-bln-valuation-sources-2023-10-30/" TargetMode="External" Id="rId12"/><Relationship Type="http://schemas.openxmlformats.org/officeDocument/2006/relationships/hyperlink" Target="https://www.forbes.com/sites/jemimamcevoy/2025/04/01/the-founders-of-this-lululemon-rival-are-worth-nearly-5-billion-each/" TargetMode="External" Id="rId13"/><Relationship Type="http://schemas.openxmlformats.org/officeDocument/2006/relationships/hyperlink" Target="https://www.forbes.com/sites/jemimamcevoy/2025/04/01/the-founders-of-this-lululemon-rival-are-worth-nearly-5-billion-each/" TargetMode="External" Id="rId14"/><Relationship Type="http://schemas.openxmlformats.org/officeDocument/2006/relationships/hyperlink" Target="https://stockanalysis.com/stocks/lulu/statistics/" TargetMode="External" Id="rId15"/><Relationship Type="http://schemas.openxmlformats.org/officeDocument/2006/relationships/hyperlink" Target="https://stockanalysis.com/stocks/lulu/statistics/" TargetMode="External" Id="rId16"/><Relationship Type="http://schemas.openxmlformats.org/officeDocument/2006/relationships/hyperlink" Target="https://www.nasdaq.com/market-activity/stocks/lulu" TargetMode="External" Id="rId17"/><Relationship Type="http://schemas.openxmlformats.org/officeDocument/2006/relationships/hyperlink" Target="https://www.nasdaq.com/market-activity/stocks/lulu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cols B/C/D on every tab: Justification | Source | Ctrl+F</t>
        </is>
      </c>
    </row>
    <row r="14">
      <c r="B14" s="5" t="inlineStr">
        <is>
          <t>TABS</t>
        </is>
      </c>
    </row>
    <row r="15">
      <c r="B15" s="9" t="inlineStr">
        <is>
          <t>WACC  •  Revenue Drivers  •  Scenarios  •  DCF  •  Comps / Football Field</t>
        </is>
      </c>
    </row>
    <row r="16">
      <c r="B16" s="5" t="inlineStr">
        <is>
          <t>ASSUMPTIONS GUIDE (PDF — every tab)</t>
        </is>
      </c>
    </row>
    <row r="17" ht="36" customHeight="1">
      <c r="B17" s="10" t="inlineStr">
        <is>
          <t>LULU_Assumptions_Memo.pdf — full guide: every red assumption on WACC, Scenarios, Revenue Drivers, DCF, Comps &amp; 3-Statement
Ctrl+F: Open for justification, clickable source links, and Ctrl+F proof for every assumption.</t>
        </is>
      </c>
    </row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
Ctrl+F: Ctrl+F "10-K" → FY2025 accession 0001397187-26-000020</t>
        </is>
      </c>
    </row>
    <row r="21" ht="36" customHeight="1">
      <c r="B21" s="10" t="inlineStr">
        <is>
          <t>FY2025 Form 10-K (ended Feb 1, 2026)
Ctrl+F: Ctrl+F "Net revenue" → 11,102,600 or "Depreciation and amortization" → 496,228 on this 10-K HTML file</t>
        </is>
      </c>
    </row>
    <row r="22" ht="36" customHeight="1">
      <c r="B22" s="10" t="inlineStr">
        <is>
          <t>Market data &amp; Q2 FY2026 results (Sep 3, 2026 earnings release)
Ctrl+F: Ctrl+F "decline of 5% to 7%" | "$10.350 billion to $10.500 billion" | "$9.48 to $9.73"</t>
        </is>
      </c>
    </row>
    <row r="23" ht="36" customHeight="1">
      <c r="B23" s="10" t="inlineStr">
        <is>
          <t>Current share price (NASDAQ: LULU)
Ctrl+F: Ctrl+F "LULU" → Last Sale or Previous Close price</t>
        </is>
      </c>
    </row>
    <row r="25">
      <c r="B25" s="11" t="inlineStr">
        <is>
          <t>Built from scratch for the GIS IR selection assignment.</t>
        </is>
      </c>
    </row>
  </sheetData>
  <hyperlinks>
    <hyperlink xmlns:r="http://schemas.openxmlformats.org/officeDocument/2006/relationships" ref="B17" r:id="rId1"/>
    <hyperlink xmlns:r="http://schemas.openxmlformats.org/officeDocument/2006/relationships" ref="B20" r:id="rId2"/>
    <hyperlink xmlns:r="http://schemas.openxmlformats.org/officeDocument/2006/relationships" ref="B21" r:id="rId3"/>
    <hyperlink xmlns:r="http://schemas.openxmlformats.org/officeDocument/2006/relationships" ref="B22" r:id="rId4"/>
    <hyperlink xmlns:r="http://schemas.openxmlformats.org/officeDocument/2006/relationships" ref="B23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8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28" customHeight="1">
      <c r="A3" s="16" t="inlineStr">
        <is>
          <t>Risk-free rate (10-yr UST)</t>
        </is>
      </c>
      <c r="B3" s="17" t="inlineStr">
        <is>
          <t>4.8% risk-free = FRED DGS10 on 2026-09-03 (4.77%) rounded; replaces the stale 4.3% input.</t>
        </is>
      </c>
      <c r="C3" s="18" t="inlineStr">
        <is>
          <t>FRED: 10Y Treasury (DGS10)</t>
        </is>
      </c>
      <c r="D3" s="19" t="inlineStr">
        <is>
          <t>Ctrl+F "2026-09-03" → observation 4.77. Model uses 4.8%. Also Ctrl+F "DGS10" for the series title.</t>
        </is>
      </c>
      <c r="E3" s="20" t="n">
        <v>0.048</v>
      </c>
    </row>
    <row r="4" ht="28" customHeight="1">
      <c r="A4" s="16" t="inlineStr">
        <is>
          <t>Equity risk premium</t>
        </is>
      </c>
      <c r="B4" s="17" t="inlineStr">
        <is>
          <t>6.0% ERP is a conservative overlay vs Damodaran Jan-2026 implied 4.23%; used to keep CoE above the risk-free 4.8%.</t>
        </is>
      </c>
      <c r="C4" s="18" t="inlineStr">
        <is>
          <t>Damodaran: Historical Implied ERP</t>
        </is>
      </c>
      <c r="D4" s="19" t="inlineStr">
        <is>
          <t>Ctrl+F "4.23%" on the 2025 row (last data row). Header is "Implied ERP (FCFE)". Model uses 6.0%.</t>
        </is>
      </c>
      <c r="E4" s="20" t="n">
        <v>0.06</v>
      </c>
    </row>
    <row r="5" ht="28" customHeight="1">
      <c r="A5" s="16" t="inlineStr">
        <is>
          <t>Observed Beta (5Y) — not used in WACC</t>
        </is>
      </c>
      <c r="B5" s="17" t="inlineStr">
        <is>
          <t>StockAnalysis Beta (5Y) is 0.86. Company 5Y print; too calm after the guide cut, so not the WACC input.</t>
        </is>
      </c>
      <c r="C5" s="18" t="inlineStr">
        <is>
          <t>StockAnalysis: LULU Beta (5Y)</t>
        </is>
      </c>
      <c r="D5" s="19" t="inlineStr">
        <is>
          <t>Ctrl+F "Beta (5Y)" → 0.86. Company 5Y beta. Not the WACC input.</t>
        </is>
      </c>
      <c r="E5" s="21" t="n">
        <v>0.86</v>
      </c>
    </row>
    <row r="6" ht="28" customHeight="1">
      <c r="A6" s="16" t="inlineStr">
        <is>
          <t>Unlevered retail beta (Damodaran Special Lines)</t>
        </is>
      </c>
      <c r="B6" s="17" t="inlineStr">
        <is>
          <t>Damodaran unlevered Retail (Special Lines) β 0.95 is the starting point; we relever it for ASC 842 lease debt.</t>
        </is>
      </c>
      <c r="C6" s="18" t="inlineStr">
        <is>
          <t>Damodaran: US betas by sector (Jan 2026)</t>
        </is>
      </c>
      <c r="D6" s="19" t="inlineStr">
        <is>
          <t>Ctrl+F "Retail (Special Lines)" → Unlevered beta 0.95. Relever for ASC 842 lease debt on the next row.</t>
        </is>
      </c>
      <c r="E6" s="22" t="n">
        <v>0.95</v>
      </c>
    </row>
    <row r="7" ht="28" customHeight="1">
      <c r="A7" s="16" t="inlineStr">
        <is>
          <t>Tax rate</t>
        </is>
      </c>
      <c r="B7" s="17" t="inlineStr">
        <is>
          <t>30% cash tax matches FY2026 guidance (“approximately 30%”); FY25 effective was 29.5%.</t>
        </is>
      </c>
      <c r="C7" s="18" t="inlineStr">
        <is>
          <t>Q2 FY2026 outlook: tax rate ≈ 30%</t>
        </is>
      </c>
      <c r="D7" s="19" t="inlineStr">
        <is>
          <t>Ctrl+F "a tax rate of approximately 30%" on the FY2026 outlook paragraph.</t>
        </is>
      </c>
      <c r="E7" s="20" t="n">
        <v>0.3</v>
      </c>
    </row>
    <row r="9">
      <c r="A9" s="14" t="inlineStr">
        <is>
          <t>Capital structure (market values)</t>
        </is>
      </c>
    </row>
    <row r="10" ht="28" customHeight="1">
      <c r="A10" s="16" t="inlineStr">
        <is>
          <t>Market value of equity (price × diluted shares)</t>
        </is>
      </c>
      <c r="B10" s="17" t="inlineStr">
        <is>
          <t>Market equity = $100 share price × 111,380k diluted shares (FY25 10-K). Capital-structure weighting numerator.</t>
        </is>
      </c>
      <c r="C10" s="18" t="inlineStr">
        <is>
          <t>NASDAQ LULU last sale (current price)</t>
        </is>
      </c>
      <c r="D10" s="19" t="inlineStr">
        <is>
          <t>Ctrl+F "LULU" → $100 price × 111,380k diluted shares (FY25 10-K).</t>
        </is>
      </c>
      <c r="E10" s="23">
        <f>100.0*111380</f>
        <v/>
      </c>
    </row>
    <row r="11" ht="28" customHeight="1">
      <c r="A11" s="16" t="inlineStr">
        <is>
          <t>Operating lease liabilities (ASC 842 debt equiv.)</t>
        </is>
      </c>
      <c r="B11" s="17" t="inlineStr">
        <is>
          <t>ASC 842 operating lease liabilities = current + non-current ($1,798,441k FY25). Treated as debt equivalent in WACC and EV bridge.</t>
        </is>
      </c>
      <c r="C11" s="18" t="inlineStr">
        <is>
          <t>LULU FY2025 10-K: operating lease liabilities</t>
        </is>
      </c>
      <c r="D11" s="19" t="inlineStr">
        <is>
          <t>Ctrl+F "Current lease liabilities" → 298,724 | "Non-current lease liabilities" → 1,499,717 | sum = 1,798,441 ($000)</t>
        </is>
      </c>
      <c r="E11" s="24" t="n">
        <v>1798441</v>
      </c>
    </row>
    <row r="12">
      <c r="A12" s="25" t="inlineStr">
        <is>
          <t xml:space="preserve">  memo: current $298,724k + non-current $1,499,717k = $1,798,441k (FY25 10-K)</t>
        </is>
      </c>
    </row>
    <row r="13" ht="28" customHeight="1">
      <c r="A13" s="16" t="inlineStr">
        <is>
          <t>Funded debt (term loans / bonds)</t>
        </is>
      </c>
      <c r="B13" s="17" t="inlineStr">
        <is>
          <t>Funded term debt $0 — 10-K: no borrowings outstanding on the revolver. Leases are the only debt equivalent here.</t>
        </is>
      </c>
      <c r="C13" s="18" t="inlineStr">
        <is>
          <t>LULU FY2025 10-K (no funded debt)</t>
        </is>
      </c>
      <c r="D13" s="19" t="inlineStr">
        <is>
          <t>Ctrl+F "no borrowings were outstanding under this facility" → funded debt $0</t>
        </is>
      </c>
      <c r="E13" s="24" t="n">
        <v>0</v>
      </c>
    </row>
    <row r="14">
      <c r="A14" s="26" t="inlineStr">
        <is>
          <t>Total debt equivalents</t>
        </is>
      </c>
      <c r="E14" s="27">
        <f>E11+E13</f>
        <v/>
      </c>
    </row>
    <row r="16">
      <c r="A16" s="14" t="inlineStr">
        <is>
          <t>Cost of equity (CAPM) — relevered</t>
        </is>
      </c>
    </row>
    <row r="17" ht="150" customHeight="1">
      <c r="A17" s="26" t="inlineStr">
        <is>
          <t>Beta used (relevered for lease debt)</t>
        </is>
      </c>
      <c r="B17" s="17" t="inlineStr">
        <is>
          <t>Relevered β = βu × (1 + (1−T) × lease debt / market equity). No funded term loans — leases are the debt equivalent.</t>
        </is>
      </c>
      <c r="C17" s="18" t="inlineStr">
        <is>
          <t>Damodaran: relevered β for lease debt</t>
        </is>
      </c>
      <c r="D17" s="19" t="inlineStr">
        <is>
          <t>Relever Damodaran unlevered retail β for ASC 842 lease debt.
Unlevered β (Damodaran Jan 2026)
  Ctrl+F "Retail (Special Lines)"  →  Unlevered beta 0.95
  Do not take the levered Beta column (1.09)
Lease debt equivalent (FY25 10-K)
  Ctrl+F "Current lease liabilities"  →  298,724
  Ctrl+F "Non-current lease liabilities"  →  1,499,717
  Sum = 1,798,441 ($000). No funded term loans.
Company 5Y (StockAnalysis) — shown, not used
  Ctrl+F "Beta (5Y)"  →  0.86</t>
        </is>
      </c>
      <c r="E17" s="28">
        <f>E6*(1+(1-E7)*E11/E10)</f>
        <v/>
      </c>
    </row>
    <row r="18">
      <c r="A18" s="25" t="inlineStr">
        <is>
          <t xml:space="preserve">  memo: relever unlevered retail β for ASC 842 lease debt. βL = βu × (1 + (1−T) × D/E). No funded term loans.</t>
        </is>
      </c>
    </row>
    <row r="19">
      <c r="A19" s="26" t="inlineStr">
        <is>
          <t>Cost of equity = rf + β × ERP</t>
        </is>
      </c>
      <c r="E19" s="29">
        <f>E3+E17*E4</f>
        <v/>
      </c>
    </row>
    <row r="21">
      <c r="A21" s="14" t="inlineStr">
        <is>
          <t>Cost of debt (lease-equivalent)</t>
        </is>
      </c>
    </row>
    <row r="22" ht="28" customHeight="1">
      <c r="A22" s="16" t="inlineStr">
        <is>
          <t>Pre-tax cost of debt (lease-equivalent)</t>
        </is>
      </c>
      <c r="B22" s="17" t="inlineStr">
        <is>
          <t>5.0% pre-tax lease-equivalent borrowing cost; cheaper than equity. No funded revolver borrowings per FY25 10-K.</t>
        </is>
      </c>
      <c r="C22" s="18" t="inlineStr">
        <is>
          <t>LULU FY2025 10-K: lease liabilities &amp; no funded debt</t>
        </is>
      </c>
      <c r="D22" s="19" t="inlineStr">
        <is>
          <t>Ctrl+F "Current lease liabilities" + "Non-current lease liabilities" → debt equiv. 5.0% illustrative lease borrowing cost.</t>
        </is>
      </c>
      <c r="E22" s="20" t="n">
        <v>0.05</v>
      </c>
    </row>
    <row r="23">
      <c r="A23" s="16" t="inlineStr">
        <is>
          <t>After-tax cost of debt</t>
        </is>
      </c>
      <c r="E23" s="30">
        <f>E22*(1-E7)</f>
        <v/>
      </c>
    </row>
    <row r="25">
      <c r="A25" s="14" t="inlineStr">
        <is>
          <t>WACC weights</t>
        </is>
      </c>
    </row>
    <row r="26" ht="28" customHeight="1">
      <c r="A26" s="16" t="inlineStr">
        <is>
          <t>Equity weight</t>
        </is>
      </c>
      <c r="B26" s="17" t="inlineStr">
        <is>
          <t>Equity weight = market cap ÷ (market cap + lease debt). ~86% at $100 and FY25 lease balance.</t>
        </is>
      </c>
      <c r="C26" s="31" t="inlineStr">
        <is>
          <t>WACC tab: capital structure</t>
        </is>
      </c>
      <c r="D26" s="19" t="inlineStr">
        <is>
          <t>Equity weight = market cap ÷ (market cap + lease debt). Live formula on this tab.</t>
        </is>
      </c>
      <c r="E26" s="32">
        <f>E10/(E10+E14)</f>
        <v/>
      </c>
    </row>
    <row r="27" ht="28" customHeight="1">
      <c r="A27" s="16" t="inlineStr">
        <is>
          <t>Debt weight (leases + funded)</t>
        </is>
      </c>
      <c r="B27" s="17" t="inlineStr">
        <is>
          <t>Debt weight = lease liabilities ÷ (market cap + lease debt). ~14% — ASC 842 leases, not bank debt.</t>
        </is>
      </c>
      <c r="C27" s="18" t="inlineStr">
        <is>
          <t>LULU FY2025 10-K: operating lease liabilities</t>
        </is>
      </c>
      <c r="D27" s="19" t="inlineStr">
        <is>
          <t>Debt weight = lease liabilities ÷ (market cap + lease debt). ~14% at FY25 balances.</t>
        </is>
      </c>
      <c r="E27" s="32">
        <f>E14/(E10+E14)</f>
        <v/>
      </c>
    </row>
    <row r="28">
      <c r="A28" s="26" t="inlineStr">
        <is>
          <t>WACC</t>
        </is>
      </c>
      <c r="E28" s="33">
        <f>E26*E19+E27*E23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3" r:id="rId8"/>
    <hyperlink xmlns:r="http://schemas.openxmlformats.org/officeDocument/2006/relationships" ref="C17" r:id="rId9"/>
    <hyperlink xmlns:r="http://schemas.openxmlformats.org/officeDocument/2006/relationships" ref="C22" r:id="rId10"/>
    <hyperlink xmlns:r="http://schemas.openxmlformats.org/officeDocument/2006/relationships" ref="C27" r:id="rId1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8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28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2.3% FY27–30 growth matches StockAnalysis Revenue Growth Forecast (3Y) of 2.26%; next-year consensus is +2.64%.</t>
        </is>
      </c>
      <c r="C5" s="18" t="inlineStr">
        <is>
          <t>StockAnalysis: LULU 3Y revenue forecast</t>
        </is>
      </c>
      <c r="D5" s="19" t="inlineStr">
        <is>
          <t>Ctrl+F "Revenue Growth Forecast (3Y)" → 2.26%. That is the unique line (do not search "Net revenue"). Model FY27–30 uses 2.3%.</t>
        </is>
      </c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13.2% is the real/run-rate OM: Q2 18.8% minus 560bps of tariff refunds. FY26 then adds the $134.5M refund once on top.</t>
        </is>
      </c>
      <c r="C6" s="18" t="inlineStr">
        <is>
          <t>Q2 FY2026 release: 18.8% OM minus 560bps tariffs</t>
        </is>
      </c>
      <c r="D6" s="19" t="inlineStr">
        <is>
          <t>Ctrl+F "18.8%" (Q2 OM) and "560 basis points" (tariff boost). Real run-rate = 18.8% − 5.6% = 13.2%. Do not use "decreased 13%".</t>
        </is>
      </c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Add back $134.5M in FY26 only — already recognized (reduced COGS). +130bps on FY26 sales, not +560bps (that was Q2-only).</t>
        </is>
      </c>
      <c r="C7" s="18" t="inlineStr">
        <is>
          <t>Q2 FY2026 release: $134.5M IEEPA tariff refunds</t>
        </is>
      </c>
      <c r="D7" s="19" t="inlineStr">
        <is>
          <t>Ctrl+F "134.5 million" → IEEPA tariff refunds reduced COGS. Add this dollar amount to FY26 EBIT only. Full-year boost = 134.5 / FY26 sales ≈ 1.3ppt, not 5.6ppt.</t>
        </is>
      </c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FY30 15.5% is a partial recovery vs the FY25 10-K OM of 19.9% (unique Ctrl+F). Still well below the FY24 23.7% peak.</t>
        </is>
      </c>
      <c r="C8" s="18" t="inlineStr">
        <is>
          <t>FY2025 10-K: Operating margin 19.9% (one hit)</t>
        </is>
      </c>
      <c r="D8" s="19" t="inlineStr">
        <is>
          <t>Ctrl+F "19.9%" (one hit) → Operating margin decreased 380 basis points to 19.9%. That is FY25 OM. Do not search the words Income from operations (17 hits). Model FY30 15.5% is a partial-recovery assumption.</t>
        </is>
      </c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inlineStr">
        <is>
          <t>Base WACC from WACC tab (lease-adjusted CAPM). Bear/bull bracket ±100bps around the calculated base.</t>
        </is>
      </c>
      <c r="C9" s="18" t="inlineStr">
        <is>
          <t>WACC tab: CAPM build</t>
        </is>
      </c>
      <c r="D9" s="19" t="inlineStr">
        <is>
          <t>WACC tab → cell E (green) = rf 4.8% + β 0.95 × ERP 6.0% = 10.5%</t>
        </is>
      </c>
      <c r="F9" s="20" t="n">
        <v>0.11</v>
      </c>
      <c r="G9" s="32">
        <f>WACC!E28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inlineStr">
        <is>
          <t>2.25% terminal g sits next to FRED GDPC1 Q2/Q2 real GDP ≈ 2.1% (24,269.613 / 23,770.976 − 1).</t>
        </is>
      </c>
      <c r="C10" s="18" t="inlineStr">
        <is>
          <t>FRED: Real GDP (GDPC1)</t>
        </is>
      </c>
      <c r="D10" s="19" t="inlineStr">
        <is>
          <t>Ctrl+F "Q2 2026" → 24,269.613 and "Q2 2025" → 23,770.976. YoY = 2.1%. Model terminal g 2.25%.</t>
        </is>
      </c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inlineStr">
        <is>
          <t>30% cash tax from FY2026 outlook; FY25 10-K effective is 29.5% (659,784 / 2,238,967).</t>
        </is>
      </c>
      <c r="C11" s="18" t="inlineStr">
        <is>
          <t>Q2 FY2026 outlook: tax rate ≈ 30%</t>
        </is>
      </c>
      <c r="D11" s="19" t="inlineStr">
        <is>
          <t>Ctrl+F "a tax rate of approximately 30%" on the earnings outlook. FY25 10-K: "Income tax expense" 659,784 ÷ "Income before income tax expense" 2,238,967 = 29.5%.</t>
        </is>
      </c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4.5% D&amp;A / sales = FY25 496,228 / 11,102,600 on the 10-K cash-flow statement.</t>
        </is>
      </c>
      <c r="C12" s="18" t="inlineStr">
        <is>
          <t>LULU CF statement (10-K)</t>
        </is>
      </c>
      <c r="D12" s="19" t="inlineStr">
        <is>
          <t>Ctrl+F "Depreciation and amortization" → 496,228 on this 10-K HTML (not the SEC viewer). ÷ "Net revenue" 11,102,600 = 4.5%.</t>
        </is>
      </c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3" s="38" t="inlineStr">
        <is>
          <t>LULU 10-K: 2026 capex guide $725–745M
Also: Q2 FY2026 outlook: $10.350B–$10.500B sales</t>
        </is>
      </c>
      <c r="D13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3" s="20" t="n">
        <v>0.07000000000000001</v>
      </c>
      <c r="G13" s="20" t="n">
        <v>0.055</v>
      </c>
      <c r="H13" s="20" t="n">
        <v>0.045</v>
      </c>
    </row>
    <row r="14" ht="28" customHeight="1">
      <c r="A14" s="16" t="inlineStr">
        <is>
          <t>NWC % of Δrevenue (AR + inv + OCA − AP − accrued)</t>
        </is>
      </c>
      <c r="B14" s="17" t="inlineStr">
        <is>
          <t>One NWC line: 7.5% of Δsales = AR + inv + OCA − AP − accrued. AR is not a separate FCF item.</t>
        </is>
      </c>
      <c r="C14" s="18" t="inlineStr">
        <is>
          <t>LULU BS/IS historical (10-K)</t>
        </is>
      </c>
      <c r="D14" s="19" t="inlineStr">
        <is>
          <t>One NWC. Ctrl+F "Accounts receivable, net" → 190,657 | "Inventories" → 1,700,753 | "Accounts payable" → 331,421 | "Accrued liabilities and other" → 662,982.</t>
        </is>
      </c>
      <c r="F14" s="20" t="n">
        <v>0.08</v>
      </c>
      <c r="G14" s="20" t="n">
        <v>0.075</v>
      </c>
      <c r="H14" s="20" t="n">
        <v>0.07000000000000001</v>
      </c>
    </row>
    <row r="15" ht="28" customHeight="1">
      <c r="A15" s="16" t="inlineStr">
        <is>
          <t xml:space="preserve">  of which: AR % of revenue</t>
        </is>
      </c>
      <c r="B15" s="17" t="inlineStr">
        <is>
          <t>AR sits inside NWC: 190,657 / 11,102,600 = 1.7% of sales. Same NWC block as inv, OCA, AP, accrued.</t>
        </is>
      </c>
      <c r="C15" s="18" t="inlineStr">
        <is>
          <t>LULU FY2025 10-K: Accounts receivable, net</t>
        </is>
      </c>
      <c r="D15" s="19" t="inlineStr">
        <is>
          <t>Ctrl+F "Accounts receivable, net" (one hit on the BS) → 190,657. 190,657 / 11,102,600 = 1.7% of sales. Lives inside the NWC line below.</t>
        </is>
      </c>
      <c r="F15" s="20" t="n">
        <v>0.015</v>
      </c>
      <c r="G15" s="20" t="n">
        <v>0.017</v>
      </c>
      <c r="H15" s="20" t="n">
        <v>0.02</v>
      </c>
    </row>
    <row r="17">
      <c r="A17" s="14" t="inlineStr">
        <is>
          <t>5-year forecast paths (by scenario)</t>
        </is>
      </c>
    </row>
    <row r="18">
      <c r="A18" s="39" t="inlineStr">
        <is>
          <t xml:space="preserve">  Revenue – year 1</t>
        </is>
      </c>
      <c r="F18" s="40">
        <f>11102600*(1+F4)</f>
        <v/>
      </c>
      <c r="G18" s="40">
        <f>11102600*(1+G4)</f>
        <v/>
      </c>
      <c r="H18" s="40">
        <f>11102600*(1+H4)</f>
        <v/>
      </c>
    </row>
    <row r="19">
      <c r="A19" s="39" t="inlineStr">
        <is>
          <t xml:space="preserve">  Revenue – year 2</t>
        </is>
      </c>
      <c r="F19" s="40">
        <f>F18*(1+F5)</f>
        <v/>
      </c>
      <c r="G19" s="40">
        <f>G18*(1+G5)</f>
        <v/>
      </c>
      <c r="H19" s="40">
        <f>H18*(1+H5)</f>
        <v/>
      </c>
    </row>
    <row r="20">
      <c r="A20" s="39" t="inlineStr">
        <is>
          <t xml:space="preserve">  Revenue – year 3</t>
        </is>
      </c>
      <c r="F20" s="40">
        <f>F19*(1+F5)</f>
        <v/>
      </c>
      <c r="G20" s="40">
        <f>G19*(1+G5)</f>
        <v/>
      </c>
      <c r="H20" s="40">
        <f>H19*(1+H5)</f>
        <v/>
      </c>
    </row>
    <row r="21">
      <c r="A21" s="39" t="inlineStr">
        <is>
          <t xml:space="preserve">  Revenue – year 4</t>
        </is>
      </c>
      <c r="F21" s="40">
        <f>F20*(1+F5)</f>
        <v/>
      </c>
      <c r="G21" s="40">
        <f>G20*(1+G5)</f>
        <v/>
      </c>
      <c r="H21" s="40">
        <f>H20*(1+H5)</f>
        <v/>
      </c>
    </row>
    <row r="22">
      <c r="A22" s="39" t="inlineStr">
        <is>
          <t xml:space="preserve">  Revenue – year 5</t>
        </is>
      </c>
      <c r="F22" s="40">
        <f>F21*(1+F5)</f>
        <v/>
      </c>
      <c r="G22" s="40">
        <f>G21*(1+G5)</f>
        <v/>
      </c>
      <c r="H22" s="40">
        <f>H21*(1+H5)</f>
        <v/>
      </c>
    </row>
    <row r="23">
      <c r="A23" s="39" t="inlineStr">
        <is>
          <t xml:space="preserve">  Clean EBIT margin – year 1</t>
        </is>
      </c>
      <c r="F23" s="41">
        <f>F6+(F8-F6)*0/4</f>
        <v/>
      </c>
      <c r="G23" s="41">
        <f>G6+(G8-G6)*0/4</f>
        <v/>
      </c>
      <c r="H23" s="41">
        <f>H6+(H8-H6)*0/4</f>
        <v/>
      </c>
    </row>
    <row r="24">
      <c r="A24" s="39" t="inlineStr">
        <is>
          <t xml:space="preserve">  Clean EBIT margin – year 2</t>
        </is>
      </c>
      <c r="F24" s="41">
        <f>F6+(F8-F6)*1/4</f>
        <v/>
      </c>
      <c r="G24" s="41">
        <f>G6+(G8-G6)*1/4</f>
        <v/>
      </c>
      <c r="H24" s="41">
        <f>H6+(H8-H6)*1/4</f>
        <v/>
      </c>
    </row>
    <row r="25">
      <c r="A25" s="39" t="inlineStr">
        <is>
          <t xml:space="preserve">  Clean EBIT margin – year 3</t>
        </is>
      </c>
      <c r="F25" s="41">
        <f>F6+(F8-F6)*2/4</f>
        <v/>
      </c>
      <c r="G25" s="41">
        <f>G6+(G8-G6)*2/4</f>
        <v/>
      </c>
      <c r="H25" s="41">
        <f>H6+(H8-H6)*2/4</f>
        <v/>
      </c>
    </row>
    <row r="26">
      <c r="A26" s="39" t="inlineStr">
        <is>
          <t xml:space="preserve">  Clean EBIT margin – year 4</t>
        </is>
      </c>
      <c r="F26" s="41">
        <f>F6+(F8-F6)*3/4</f>
        <v/>
      </c>
      <c r="G26" s="41">
        <f>G6+(G8-G6)*3/4</f>
        <v/>
      </c>
      <c r="H26" s="41">
        <f>H6+(H8-H6)*3/4</f>
        <v/>
      </c>
    </row>
    <row r="27">
      <c r="A27" s="39" t="inlineStr">
        <is>
          <t xml:space="preserve">  Clean EBIT margin – year 5</t>
        </is>
      </c>
      <c r="F27" s="41">
        <f>F6+(F8-F6)*4/4</f>
        <v/>
      </c>
      <c r="G27" s="41">
        <f>G6+(G8-G6)*4/4</f>
        <v/>
      </c>
      <c r="H27" s="41">
        <f>H6+(H8-H6)*4/4</f>
        <v/>
      </c>
    </row>
    <row r="28">
      <c r="A28" s="39" t="inlineStr">
        <is>
          <t xml:space="preserve">  EBIT – year 1</t>
        </is>
      </c>
      <c r="F28" s="40">
        <f>F18*F23+F7</f>
        <v/>
      </c>
      <c r="G28" s="40">
        <f>G18*G23+G7</f>
        <v/>
      </c>
      <c r="H28" s="40">
        <f>H18*H23+H7</f>
        <v/>
      </c>
    </row>
    <row r="29">
      <c r="A29" s="39" t="inlineStr">
        <is>
          <t xml:space="preserve">  EBIT – year 2</t>
        </is>
      </c>
      <c r="F29" s="40">
        <f>F19*F24</f>
        <v/>
      </c>
      <c r="G29" s="40">
        <f>G19*G24</f>
        <v/>
      </c>
      <c r="H29" s="40">
        <f>H19*H24</f>
        <v/>
      </c>
    </row>
    <row r="30">
      <c r="A30" s="39" t="inlineStr">
        <is>
          <t xml:space="preserve">  EBIT – year 3</t>
        </is>
      </c>
      <c r="F30" s="40">
        <f>F20*F25</f>
        <v/>
      </c>
      <c r="G30" s="40">
        <f>G20*G25</f>
        <v/>
      </c>
      <c r="H30" s="40">
        <f>H20*H25</f>
        <v/>
      </c>
    </row>
    <row r="31">
      <c r="A31" s="39" t="inlineStr">
        <is>
          <t xml:space="preserve">  EBIT – year 4</t>
        </is>
      </c>
      <c r="F31" s="40">
        <f>F21*F26</f>
        <v/>
      </c>
      <c r="G31" s="40">
        <f>G21*G26</f>
        <v/>
      </c>
      <c r="H31" s="40">
        <f>H21*H26</f>
        <v/>
      </c>
    </row>
    <row r="32">
      <c r="A32" s="39" t="inlineStr">
        <is>
          <t xml:space="preserve">  EBIT – year 5</t>
        </is>
      </c>
      <c r="F32" s="40">
        <f>F22*F27</f>
        <v/>
      </c>
      <c r="G32" s="40">
        <f>G22*G27</f>
        <v/>
      </c>
      <c r="H32" s="40">
        <f>H22*H27</f>
        <v/>
      </c>
    </row>
    <row r="33">
      <c r="A33" s="39" t="inlineStr">
        <is>
          <t xml:space="preserve">  NOPAT – year 1</t>
        </is>
      </c>
      <c r="F33" s="40">
        <f>F28*(1-F11)</f>
        <v/>
      </c>
      <c r="G33" s="40">
        <f>G28*(1-G11)</f>
        <v/>
      </c>
      <c r="H33" s="40">
        <f>H28*(1-H11)</f>
        <v/>
      </c>
    </row>
    <row r="34">
      <c r="A34" s="39" t="inlineStr">
        <is>
          <t xml:space="preserve">  NOPAT – year 2</t>
        </is>
      </c>
      <c r="F34" s="40">
        <f>F29*(1-F11)</f>
        <v/>
      </c>
      <c r="G34" s="40">
        <f>G29*(1-G11)</f>
        <v/>
      </c>
      <c r="H34" s="40">
        <f>H29*(1-H11)</f>
        <v/>
      </c>
    </row>
    <row r="35">
      <c r="A35" s="39" t="inlineStr">
        <is>
          <t xml:space="preserve">  NOPAT – year 3</t>
        </is>
      </c>
      <c r="F35" s="40">
        <f>F30*(1-F11)</f>
        <v/>
      </c>
      <c r="G35" s="40">
        <f>G30*(1-G11)</f>
        <v/>
      </c>
      <c r="H35" s="40">
        <f>H30*(1-H11)</f>
        <v/>
      </c>
    </row>
    <row r="36">
      <c r="A36" s="39" t="inlineStr">
        <is>
          <t xml:space="preserve">  NOPAT – year 4</t>
        </is>
      </c>
      <c r="F36" s="40">
        <f>F31*(1-F11)</f>
        <v/>
      </c>
      <c r="G36" s="40">
        <f>G31*(1-G11)</f>
        <v/>
      </c>
      <c r="H36" s="40">
        <f>H31*(1-H11)</f>
        <v/>
      </c>
    </row>
    <row r="37">
      <c r="A37" s="39" t="inlineStr">
        <is>
          <t xml:space="preserve">  NOPAT – year 5</t>
        </is>
      </c>
      <c r="F37" s="40">
        <f>F32*(1-F11)</f>
        <v/>
      </c>
      <c r="G37" s="40">
        <f>G32*(1-G11)</f>
        <v/>
      </c>
      <c r="H37" s="40">
        <f>H32*(1-H11)</f>
        <v/>
      </c>
    </row>
    <row r="38">
      <c r="A38" s="39" t="inlineStr">
        <is>
          <t xml:space="preserve">  D&amp;A – year 1</t>
        </is>
      </c>
      <c r="F38" s="40">
        <f>F18*F12</f>
        <v/>
      </c>
      <c r="G38" s="40">
        <f>G18*G12</f>
        <v/>
      </c>
      <c r="H38" s="40">
        <f>H18*H12</f>
        <v/>
      </c>
    </row>
    <row r="39">
      <c r="A39" s="39" t="inlineStr">
        <is>
          <t xml:space="preserve">  D&amp;A – year 2</t>
        </is>
      </c>
      <c r="F39" s="40">
        <f>F19*F12</f>
        <v/>
      </c>
      <c r="G39" s="40">
        <f>G19*G12</f>
        <v/>
      </c>
      <c r="H39" s="40">
        <f>H19*H12</f>
        <v/>
      </c>
    </row>
    <row r="40">
      <c r="A40" s="39" t="inlineStr">
        <is>
          <t xml:space="preserve">  D&amp;A – year 3</t>
        </is>
      </c>
      <c r="F40" s="40">
        <f>F20*F12</f>
        <v/>
      </c>
      <c r="G40" s="40">
        <f>G20*G12</f>
        <v/>
      </c>
      <c r="H40" s="40">
        <f>H20*H12</f>
        <v/>
      </c>
    </row>
    <row r="41">
      <c r="A41" s="39" t="inlineStr">
        <is>
          <t xml:space="preserve">  D&amp;A – year 4</t>
        </is>
      </c>
      <c r="F41" s="40">
        <f>F21*F12</f>
        <v/>
      </c>
      <c r="G41" s="40">
        <f>G21*G12</f>
        <v/>
      </c>
      <c r="H41" s="40">
        <f>H21*H12</f>
        <v/>
      </c>
    </row>
    <row r="42">
      <c r="A42" s="39" t="inlineStr">
        <is>
          <t xml:space="preserve">  D&amp;A – year 5</t>
        </is>
      </c>
      <c r="F42" s="40">
        <f>F22*F12</f>
        <v/>
      </c>
      <c r="G42" s="40">
        <f>G22*G12</f>
        <v/>
      </c>
      <c r="H42" s="40">
        <f>H22*H12</f>
        <v/>
      </c>
    </row>
    <row r="43">
      <c r="A43" s="39" t="inlineStr">
        <is>
          <t xml:space="preserve">  Capex – year 1</t>
        </is>
      </c>
      <c r="F43" s="40">
        <f>F18*F13</f>
        <v/>
      </c>
      <c r="G43" s="40">
        <f>G18*G13</f>
        <v/>
      </c>
      <c r="H43" s="40">
        <f>H18*H13</f>
        <v/>
      </c>
    </row>
    <row r="44">
      <c r="A44" s="39" t="inlineStr">
        <is>
          <t xml:space="preserve">  Capex – year 2</t>
        </is>
      </c>
      <c r="F44" s="40">
        <f>F19*F13</f>
        <v/>
      </c>
      <c r="G44" s="40">
        <f>G19*G13</f>
        <v/>
      </c>
      <c r="H44" s="40">
        <f>H19*H13</f>
        <v/>
      </c>
    </row>
    <row r="45">
      <c r="A45" s="39" t="inlineStr">
        <is>
          <t xml:space="preserve">  Capex – year 3</t>
        </is>
      </c>
      <c r="F45" s="40">
        <f>F20*F13</f>
        <v/>
      </c>
      <c r="G45" s="40">
        <f>G20*G13</f>
        <v/>
      </c>
      <c r="H45" s="40">
        <f>H20*H13</f>
        <v/>
      </c>
    </row>
    <row r="46">
      <c r="A46" s="39" t="inlineStr">
        <is>
          <t xml:space="preserve">  Capex – year 4</t>
        </is>
      </c>
      <c r="F46" s="40">
        <f>F21*F13</f>
        <v/>
      </c>
      <c r="G46" s="40">
        <f>G21*G13</f>
        <v/>
      </c>
      <c r="H46" s="40">
        <f>H21*H13</f>
        <v/>
      </c>
    </row>
    <row r="47">
      <c r="A47" s="39" t="inlineStr">
        <is>
          <t xml:space="preserve">  Capex – year 5</t>
        </is>
      </c>
      <c r="F47" s="40">
        <f>F22*F13</f>
        <v/>
      </c>
      <c r="G47" s="40">
        <f>G22*G13</f>
        <v/>
      </c>
      <c r="H47" s="40">
        <f>H22*H13</f>
        <v/>
      </c>
    </row>
    <row r="48">
      <c r="A48" s="39" t="inlineStr">
        <is>
          <t xml:space="preserve">  NWC – AR balance (inside NWC) – year 1</t>
        </is>
      </c>
      <c r="F48" s="40">
        <f>F18*F15</f>
        <v/>
      </c>
      <c r="G48" s="40">
        <f>G18*G15</f>
        <v/>
      </c>
      <c r="H48" s="40">
        <f>H18*H15</f>
        <v/>
      </c>
    </row>
    <row r="49">
      <c r="A49" s="39" t="inlineStr">
        <is>
          <t xml:space="preserve">  NWC – AR balance (inside NWC) – year 2</t>
        </is>
      </c>
      <c r="F49" s="40">
        <f>F19*F15</f>
        <v/>
      </c>
      <c r="G49" s="40">
        <f>G19*G15</f>
        <v/>
      </c>
      <c r="H49" s="40">
        <f>H19*H15</f>
        <v/>
      </c>
    </row>
    <row r="50">
      <c r="A50" s="39" t="inlineStr">
        <is>
          <t xml:space="preserve">  NWC – AR balance (inside NWC) – year 3</t>
        </is>
      </c>
      <c r="F50" s="40">
        <f>F20*F15</f>
        <v/>
      </c>
      <c r="G50" s="40">
        <f>G20*G15</f>
        <v/>
      </c>
      <c r="H50" s="40">
        <f>H20*H15</f>
        <v/>
      </c>
    </row>
    <row r="51">
      <c r="A51" s="39" t="inlineStr">
        <is>
          <t xml:space="preserve">  NWC – AR balance (inside NWC) – year 4</t>
        </is>
      </c>
      <c r="F51" s="40">
        <f>F21*F15</f>
        <v/>
      </c>
      <c r="G51" s="40">
        <f>G21*G15</f>
        <v/>
      </c>
      <c r="H51" s="40">
        <f>H21*H15</f>
        <v/>
      </c>
    </row>
    <row r="52">
      <c r="A52" s="39" t="inlineStr">
        <is>
          <t xml:space="preserve">  NWC – AR balance (inside NWC) – year 5</t>
        </is>
      </c>
      <c r="F52" s="40">
        <f>F22*F15</f>
        <v/>
      </c>
      <c r="G52" s="40">
        <f>G22*G15</f>
        <v/>
      </c>
      <c r="H52" s="40">
        <f>H22*H15</f>
        <v/>
      </c>
    </row>
    <row r="53">
      <c r="A53" s="39" t="inlineStr">
        <is>
          <t xml:space="preserve">  ΔNWC (includes AR) – year 1</t>
        </is>
      </c>
      <c r="F53" s="40">
        <f>F14*(F18-11102600)</f>
        <v/>
      </c>
      <c r="G53" s="40">
        <f>G14*(G18-11102600)</f>
        <v/>
      </c>
      <c r="H53" s="40">
        <f>H14*(H18-11102600)</f>
        <v/>
      </c>
    </row>
    <row r="54">
      <c r="A54" s="39" t="inlineStr">
        <is>
          <t xml:space="preserve">  ΔNWC (includes AR) – year 2</t>
        </is>
      </c>
      <c r="F54" s="40">
        <f>F14*(F19-F18)</f>
        <v/>
      </c>
      <c r="G54" s="40">
        <f>G14*(G19-G18)</f>
        <v/>
      </c>
      <c r="H54" s="40">
        <f>H14*(H19-H18)</f>
        <v/>
      </c>
    </row>
    <row r="55">
      <c r="A55" s="39" t="inlineStr">
        <is>
          <t xml:space="preserve">  ΔNWC (includes AR) – year 3</t>
        </is>
      </c>
      <c r="F55" s="40">
        <f>F14*(F20-F19)</f>
        <v/>
      </c>
      <c r="G55" s="40">
        <f>G14*(G20-G19)</f>
        <v/>
      </c>
      <c r="H55" s="40">
        <f>H14*(H20-H19)</f>
        <v/>
      </c>
    </row>
    <row r="56">
      <c r="A56" s="39" t="inlineStr">
        <is>
          <t xml:space="preserve">  ΔNWC (includes AR) – year 4</t>
        </is>
      </c>
      <c r="F56" s="40">
        <f>F14*(F21-F20)</f>
        <v/>
      </c>
      <c r="G56" s="40">
        <f>G14*(G21-G20)</f>
        <v/>
      </c>
      <c r="H56" s="40">
        <f>H14*(H21-H20)</f>
        <v/>
      </c>
    </row>
    <row r="57">
      <c r="A57" s="39" t="inlineStr">
        <is>
          <t xml:space="preserve">  ΔNWC (includes AR) – year 5</t>
        </is>
      </c>
      <c r="F57" s="40">
        <f>F14*(F22-F21)</f>
        <v/>
      </c>
      <c r="G57" s="40">
        <f>G14*(G22-G21)</f>
        <v/>
      </c>
      <c r="H57" s="40">
        <f>H14*(H22-H21)</f>
        <v/>
      </c>
    </row>
    <row r="58">
      <c r="A58" s="39" t="inlineStr">
        <is>
          <t xml:space="preserve">  Unlevered FCF – year 1</t>
        </is>
      </c>
      <c r="F58" s="40">
        <f>F33+F38-F43-F53</f>
        <v/>
      </c>
      <c r="G58" s="40">
        <f>G33+G38-G43-G53</f>
        <v/>
      </c>
      <c r="H58" s="40">
        <f>H33+H38-H43-H53</f>
        <v/>
      </c>
    </row>
    <row r="59">
      <c r="A59" s="39" t="inlineStr">
        <is>
          <t xml:space="preserve">  Unlevered FCF – year 2</t>
        </is>
      </c>
      <c r="F59" s="40">
        <f>F34+F39-F44-F54</f>
        <v/>
      </c>
      <c r="G59" s="40">
        <f>G34+G39-G44-G54</f>
        <v/>
      </c>
      <c r="H59" s="40">
        <f>H34+H39-H44-H54</f>
        <v/>
      </c>
    </row>
    <row r="60">
      <c r="A60" s="39" t="inlineStr">
        <is>
          <t xml:space="preserve">  Unlevered FCF – year 3</t>
        </is>
      </c>
      <c r="F60" s="40">
        <f>F35+F40-F45-F55</f>
        <v/>
      </c>
      <c r="G60" s="40">
        <f>G35+G40-G45-G55</f>
        <v/>
      </c>
      <c r="H60" s="40">
        <f>H35+H40-H45-H55</f>
        <v/>
      </c>
    </row>
    <row r="61">
      <c r="A61" s="39" t="inlineStr">
        <is>
          <t xml:space="preserve">  Unlevered FCF – year 4</t>
        </is>
      </c>
      <c r="F61" s="40">
        <f>F36+F41-F46-F56</f>
        <v/>
      </c>
      <c r="G61" s="40">
        <f>G36+G41-G46-G56</f>
        <v/>
      </c>
      <c r="H61" s="40">
        <f>H36+H41-H46-H56</f>
        <v/>
      </c>
    </row>
    <row r="62">
      <c r="A62" s="39" t="inlineStr">
        <is>
          <t xml:space="preserve">  Unlevered FCF – year 5</t>
        </is>
      </c>
      <c r="F62" s="40">
        <f>F37+F42-F47-F57</f>
        <v/>
      </c>
      <c r="G62" s="40">
        <f>G37+G42-G47-G57</f>
        <v/>
      </c>
      <c r="H62" s="40">
        <f>H37+H42-H47-H57</f>
        <v/>
      </c>
    </row>
    <row r="64">
      <c r="A64" s="26" t="inlineStr">
        <is>
          <t>Enterprise value (DCF)</t>
        </is>
      </c>
      <c r="F64" s="27">
        <f>NPV(F9,F58,F59,F60,F61,F62)+(F62*(1+F10)/(F9-F10))/(1+F9)^5</f>
        <v/>
      </c>
      <c r="G64" s="27">
        <f>NPV(G9,G58,G59,G60,G61,G62)+(G62*(1+G10)/(G9-G10))/(1+G9)^5</f>
        <v/>
      </c>
      <c r="H64" s="27">
        <f>NPV(H9,H58,H59,H60,H61,H62)+(H62*(1+H10)/(H9-H10))/(1+H9)^5</f>
        <v/>
      </c>
    </row>
    <row r="65">
      <c r="A65" s="42" t="inlineStr">
        <is>
          <t>Implied share price</t>
        </is>
      </c>
      <c r="F65" s="43">
        <f>(F64+1807202-1798441)/111380</f>
        <v/>
      </c>
      <c r="G65" s="44">
        <f>(G64+1807202-1798441)/111380</f>
        <v/>
      </c>
      <c r="H65" s="43">
        <f>(H64+1807202-1798441)/111380</f>
        <v/>
      </c>
    </row>
    <row r="66">
      <c r="A66" s="26" t="inlineStr">
        <is>
          <t>Upside / (downside) vs current</t>
        </is>
      </c>
      <c r="F66" s="45">
        <f>F65/100.0-1</f>
        <v/>
      </c>
      <c r="G66" s="45">
        <f>G65/100.0-1</f>
        <v/>
      </c>
      <c r="H66" s="45">
        <f>H65/100.0-1</f>
        <v/>
      </c>
    </row>
    <row r="68">
      <c r="A68" s="25" t="inlineStr">
        <is>
          <t>Current price $100.00; cash $1,807,202 k; lease debt $1,798,441 k; funded debt $0; net cash $8,761 k.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28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9"/>
  <sheetViews>
    <sheetView showGridLines="0" workbookViewId="0">
      <pane xSplit="8" ySplit="4" topLeftCell="I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width="28" customWidth="1" min="10" max="10"/>
    <col width="16" customWidth="1" min="11" max="11"/>
    <col width="36" customWidth="1" min="12" max="12"/>
  </cols>
  <sheetData>
    <row r="1">
      <c r="A1" s="46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</row>
    <row r="2">
      <c r="A2" s="25" t="inlineStr">
        <is>
          <t>FY2025A = Firecrawl-ingested 10-K anchors (blue). FY26–30 = red operational assumptions. Consolidated revenue cross-checks to Scenarios base case.</t>
        </is>
      </c>
    </row>
    <row r="3">
      <c r="I3" s="47" t="inlineStr">
        <is>
          <t>Equation (every formula row)</t>
        </is>
      </c>
      <c r="J3" s="47" t="inlineStr">
        <is>
          <t>Justification (~20 words)</t>
        </is>
      </c>
      <c r="K3" s="47" t="inlineStr">
        <is>
          <t>Source (click)</t>
        </is>
      </c>
      <c r="L3" s="47" t="inlineStr">
        <is>
          <t>Ctrl+F (prove number)</t>
        </is>
      </c>
    </row>
    <row r="4">
      <c r="A4" s="48" t="inlineStr">
        <is>
          <t>I. STORE FLEET &amp; SQUARE FOOTAGE (company-operated)</t>
        </is>
      </c>
    </row>
    <row r="5">
      <c r="A5" s="49" t="inlineStr">
        <is>
          <t>Driver</t>
        </is>
      </c>
      <c r="B5" s="50" t="inlineStr">
        <is>
          <t>FY2025A</t>
        </is>
      </c>
      <c r="C5" s="51" t="inlineStr">
        <is>
          <t>FY2026E</t>
        </is>
      </c>
      <c r="D5" s="50" t="inlineStr">
        <is>
          <t>FY2027E</t>
        </is>
      </c>
      <c r="E5" s="50" t="inlineStr">
        <is>
          <t>FY2028E</t>
        </is>
      </c>
      <c r="F5" s="50" t="inlineStr">
        <is>
          <t>FY2029E</t>
        </is>
      </c>
      <c r="G5" s="50" t="inlineStr">
        <is>
          <t>FY2030E</t>
        </is>
      </c>
      <c r="H5" s="50" t="inlineStr">
        <is>
          <t>Units</t>
        </is>
      </c>
      <c r="I5" s="51" t="inlineStr">
        <is>
          <t>Equation</t>
        </is>
      </c>
      <c r="J5" s="52" t="inlineStr">
        <is>
          <t>Justification</t>
        </is>
      </c>
      <c r="K5" s="52" t="inlineStr">
        <is>
          <t>Source</t>
        </is>
      </c>
      <c r="L5" s="52" t="inlineStr">
        <is>
          <t>Ctrl+F</t>
        </is>
      </c>
    </row>
    <row r="6" ht="28" customHeight="1">
      <c r="A6" s="39" t="inlineStr">
        <is>
          <t xml:space="preserve">  Americas — beginning stores</t>
        </is>
      </c>
      <c r="B6" s="53" t="n">
        <v>462</v>
      </c>
      <c r="C6" s="40">
        <f>B9</f>
        <v/>
      </c>
      <c r="D6" s="40">
        <f>C9</f>
        <v/>
      </c>
      <c r="E6" s="40">
        <f>D9</f>
        <v/>
      </c>
      <c r="F6" s="40">
        <f>E9</f>
        <v/>
      </c>
      <c r="G6" s="40">
        <f>F9</f>
        <v/>
      </c>
      <c r="H6" s="54" t="inlineStr">
        <is>
          <t>stores</t>
        </is>
      </c>
      <c r="I6" s="55" t="inlineStr">
        <is>
          <t>prior-year ending stores. Same count, new column — that's where the year starts.</t>
        </is>
      </c>
      <c r="J6" s="17" t="inlineStr">
        <is>
          <t>Beginning stores = last year's ending count. Same number, just carried forward into the new fiscal year.</t>
        </is>
      </c>
      <c r="K6" s="31" t="inlineStr">
        <is>
          <t>Revenue Drivers: beginning-stores formula</t>
        </is>
      </c>
    </row>
    <row r="7" ht="28" customHeight="1">
      <c r="A7" s="39" t="inlineStr">
        <is>
          <t xml:space="preserve">  Americas — openings</t>
        </is>
      </c>
      <c r="C7" s="56" t="n">
        <v>8</v>
      </c>
      <c r="D7" s="56" t="n">
        <v>7</v>
      </c>
      <c r="E7" s="56" t="n">
        <v>6</v>
      </c>
      <c r="F7" s="56" t="n">
        <v>5</v>
      </c>
      <c r="G7" s="56" t="n">
        <v>4</v>
      </c>
      <c r="H7" s="54" t="inlineStr">
        <is>
          <t>stores</t>
        </is>
      </c>
      <c r="J7" s="17" t="inlineStr">
        <is>
          <t>Store openings skew to China (+20 FY26) vs mature Americas (+8). Anchored to FY25 +44 net stores and 11% sq-ft growth.</t>
        </is>
      </c>
      <c r="K7" s="18" t="inlineStr">
        <is>
          <t>FY2025 10-K: store count &amp; expansion</t>
        </is>
      </c>
      <c r="L7" s="19" t="inlineStr">
        <is>
          <t>Ctrl+F "Total company-operated stores" → 811 (FY25). FY25 added 44 net stores; model skews openings to China.</t>
        </is>
      </c>
    </row>
    <row r="8" ht="28" customHeight="1">
      <c r="A8" s="39" t="inlineStr">
        <is>
          <t xml:space="preserve">  Americas — closures</t>
        </is>
      </c>
      <c r="C8" s="56" t="n">
        <v>3</v>
      </c>
      <c r="D8" s="56" t="n">
        <v>3</v>
      </c>
      <c r="E8" s="56" t="n">
        <v>2</v>
      </c>
      <c r="F8" s="56" t="n">
        <v>2</v>
      </c>
      <c r="G8" s="56" t="n">
        <v>2</v>
      </c>
      <c r="H8" s="54" t="inlineStr">
        <is>
          <t>stores</t>
        </is>
      </c>
      <c r="J8" s="17" t="inlineStr">
        <is>
          <t>Closures assume 2–3 per mature region annually as leases roll; immaterial vs openings in expansion markets.</t>
        </is>
      </c>
      <c r="K8" s="18" t="inlineStr">
        <is>
          <t>FY2025 10-K: lease renewal / fleet</t>
        </is>
      </c>
      <c r="L8" s="19" t="inlineStr">
        <is>
          <t>Ctrl+F "lease" / store fleet — immaterial closures vs expansion; 2–3 per mature region.</t>
        </is>
      </c>
    </row>
    <row r="9" ht="28" customHeight="1">
      <c r="A9" s="57" t="inlineStr">
        <is>
          <t xml:space="preserve">  Americas — ending stores</t>
        </is>
      </c>
      <c r="B9" s="53" t="n">
        <v>476</v>
      </c>
      <c r="C9" s="58">
        <f>C6+C7-C8</f>
        <v/>
      </c>
      <c r="D9" s="58">
        <f>D6+D7-D8</f>
        <v/>
      </c>
      <c r="E9" s="58">
        <f>E6+E7-E8</f>
        <v/>
      </c>
      <c r="F9" s="58">
        <f>F6+F7-F8</f>
        <v/>
      </c>
      <c r="G9" s="58">
        <f>G6+G7-G8</f>
        <v/>
      </c>
      <c r="H9" s="54" t="inlineStr">
        <is>
          <t>stores</t>
        </is>
      </c>
      <c r="I9" s="55" t="inlineStr">
        <is>
          <t>beginning stores + openings − closures. Roll-forward — nothing fancy, just how many doors you end with.</t>
        </is>
      </c>
      <c r="J9" s="17" t="inlineStr">
        <is>
          <t>Simple roll-forward: where you started, plus openings, minus closures. That's your ending store count for the year.</t>
        </is>
      </c>
      <c r="K9" s="31" t="inlineStr">
        <is>
          <t>Revenue Drivers: ending-stores formula</t>
        </is>
      </c>
    </row>
    <row r="10" ht="28" customHeight="1">
      <c r="A10" s="39" t="inlineStr">
        <is>
          <t xml:space="preserve">  China Mainland — beginning stores</t>
        </is>
      </c>
      <c r="B10" s="53" t="n">
        <v>151</v>
      </c>
      <c r="C10" s="40">
        <f>B13</f>
        <v/>
      </c>
      <c r="D10" s="40">
        <f>C13</f>
        <v/>
      </c>
      <c r="E10" s="40">
        <f>D13</f>
        <v/>
      </c>
      <c r="F10" s="40">
        <f>E13</f>
        <v/>
      </c>
      <c r="G10" s="40">
        <f>F13</f>
        <v/>
      </c>
      <c r="H10" s="54" t="inlineStr">
        <is>
          <t>stores</t>
        </is>
      </c>
      <c r="I10" s="55" t="inlineStr">
        <is>
          <t>prior-year ending stores. Same count, new column — that's where the year starts.</t>
        </is>
      </c>
      <c r="J10" s="17" t="inlineStr">
        <is>
          <t>Beginning stores = last year's ending count. Same number, just carried forward into the new fiscal year.</t>
        </is>
      </c>
      <c r="K10" s="31" t="inlineStr">
        <is>
          <t>Revenue Drivers: beginning-stores formula</t>
        </is>
      </c>
    </row>
    <row r="11" ht="28" customHeight="1">
      <c r="A11" s="39" t="inlineStr">
        <is>
          <t xml:space="preserve">  China Mainland — openings</t>
        </is>
      </c>
      <c r="C11" s="56" t="n">
        <v>20</v>
      </c>
      <c r="D11" s="56" t="n">
        <v>18</v>
      </c>
      <c r="E11" s="56" t="n">
        <v>16</v>
      </c>
      <c r="F11" s="56" t="n">
        <v>14</v>
      </c>
      <c r="G11" s="56" t="n">
        <v>12</v>
      </c>
      <c r="H11" s="54" t="inlineStr">
        <is>
          <t>stores</t>
        </is>
      </c>
      <c r="J11" s="17" t="inlineStr">
        <is>
          <t>Store openings skew to China (+20 FY26) vs mature Americas (+8). Anchored to FY25 +44 net stores and 11% sq-ft growth.</t>
        </is>
      </c>
      <c r="K11" s="18" t="inlineStr">
        <is>
          <t>FY2025 10-K: store count &amp; expansion</t>
        </is>
      </c>
      <c r="L11" s="19" t="inlineStr">
        <is>
          <t>Ctrl+F "Total company-operated stores" → 811 (FY25). FY25 added 44 net stores; model skews openings to China.</t>
        </is>
      </c>
    </row>
    <row r="12" ht="28" customHeight="1">
      <c r="A12" s="39" t="inlineStr">
        <is>
          <t xml:space="preserve">  China Mainland — closures</t>
        </is>
      </c>
      <c r="C12" s="56" t="n">
        <v>1</v>
      </c>
      <c r="D12" s="56" t="n">
        <v>1</v>
      </c>
      <c r="E12" s="56" t="n">
        <v>1</v>
      </c>
      <c r="F12" s="56" t="n">
        <v>1</v>
      </c>
      <c r="G12" s="56" t="n">
        <v>1</v>
      </c>
      <c r="H12" s="54" t="inlineStr">
        <is>
          <t>stores</t>
        </is>
      </c>
      <c r="J12" s="17" t="inlineStr">
        <is>
          <t>Closures assume 2–3 per mature region annually as leases roll; immaterial vs openings in expansion markets.</t>
        </is>
      </c>
      <c r="K12" s="18" t="inlineStr">
        <is>
          <t>FY2025 10-K: lease renewal / fleet</t>
        </is>
      </c>
      <c r="L12" s="19" t="inlineStr">
        <is>
          <t>Ctrl+F "lease" / store fleet — immaterial closures vs expansion; 2–3 per mature region.</t>
        </is>
      </c>
    </row>
    <row r="13" ht="28" customHeight="1">
      <c r="A13" s="57" t="inlineStr">
        <is>
          <t xml:space="preserve">  China Mainland — ending stores</t>
        </is>
      </c>
      <c r="B13" s="53" t="n">
        <v>172</v>
      </c>
      <c r="C13" s="58">
        <f>C10+C11-C12</f>
        <v/>
      </c>
      <c r="D13" s="58">
        <f>D10+D11-D12</f>
        <v/>
      </c>
      <c r="E13" s="58">
        <f>E10+E11-E12</f>
        <v/>
      </c>
      <c r="F13" s="58">
        <f>F10+F11-F12</f>
        <v/>
      </c>
      <c r="G13" s="58">
        <f>G10+G11-G12</f>
        <v/>
      </c>
      <c r="H13" s="54" t="inlineStr">
        <is>
          <t>stores</t>
        </is>
      </c>
      <c r="I13" s="55" t="inlineStr">
        <is>
          <t>beginning stores + openings − closures. Roll-forward — nothing fancy, just how many doors you end with.</t>
        </is>
      </c>
      <c r="J13" s="17" t="inlineStr">
        <is>
          <t>Simple roll-forward: where you started, plus openings, minus closures. That's your ending store count for the year.</t>
        </is>
      </c>
      <c r="K13" s="31" t="inlineStr">
        <is>
          <t>Revenue Drivers: ending-stores formula</t>
        </is>
      </c>
    </row>
    <row r="14" ht="28" customHeight="1">
      <c r="A14" s="39" t="inlineStr">
        <is>
          <t xml:space="preserve">  Rest of World — beginning stores</t>
        </is>
      </c>
      <c r="B14" s="53" t="n">
        <v>154</v>
      </c>
      <c r="C14" s="40">
        <f>B17</f>
        <v/>
      </c>
      <c r="D14" s="40">
        <f>C17</f>
        <v/>
      </c>
      <c r="E14" s="40">
        <f>D17</f>
        <v/>
      </c>
      <c r="F14" s="40">
        <f>E17</f>
        <v/>
      </c>
      <c r="G14" s="40">
        <f>F17</f>
        <v/>
      </c>
      <c r="H14" s="54" t="inlineStr">
        <is>
          <t>stores</t>
        </is>
      </c>
      <c r="I14" s="55" t="inlineStr">
        <is>
          <t>prior-year ending stores. Same count, new column — that's where the year starts.</t>
        </is>
      </c>
      <c r="J14" s="17" t="inlineStr">
        <is>
          <t>Beginning stores = last year's ending count. Same number, just carried forward into the new fiscal year.</t>
        </is>
      </c>
      <c r="K14" s="31" t="inlineStr">
        <is>
          <t>Revenue Drivers: beginning-stores formula</t>
        </is>
      </c>
    </row>
    <row r="15" ht="28" customHeight="1">
      <c r="A15" s="39" t="inlineStr">
        <is>
          <t xml:space="preserve">  Rest of World — openings</t>
        </is>
      </c>
      <c r="C15" s="56" t="n">
        <v>7</v>
      </c>
      <c r="D15" s="56" t="n">
        <v>6</v>
      </c>
      <c r="E15" s="56" t="n">
        <v>5</v>
      </c>
      <c r="F15" s="56" t="n">
        <v>5</v>
      </c>
      <c r="G15" s="56" t="n">
        <v>4</v>
      </c>
      <c r="H15" s="54" t="inlineStr">
        <is>
          <t>stores</t>
        </is>
      </c>
      <c r="J15" s="17" t="inlineStr">
        <is>
          <t>Store openings skew to China (+20 FY26) vs mature Americas (+8). Anchored to FY25 +44 net stores and 11% sq-ft growth.</t>
        </is>
      </c>
      <c r="K15" s="18" t="inlineStr">
        <is>
          <t>FY2025 10-K: store count &amp; expansion</t>
        </is>
      </c>
      <c r="L15" s="19" t="inlineStr">
        <is>
          <t>Ctrl+F "Total company-operated stores" → 811 (FY25). FY25 added 44 net stores; model skews openings to China.</t>
        </is>
      </c>
    </row>
    <row r="16" ht="28" customHeight="1">
      <c r="A16" s="39" t="inlineStr">
        <is>
          <t xml:space="preserve">  Rest of World — closures</t>
        </is>
      </c>
      <c r="C16" s="56" t="n">
        <v>2</v>
      </c>
      <c r="D16" s="56" t="n">
        <v>2</v>
      </c>
      <c r="E16" s="56" t="n">
        <v>2</v>
      </c>
      <c r="F16" s="56" t="n">
        <v>2</v>
      </c>
      <c r="G16" s="56" t="n">
        <v>2</v>
      </c>
      <c r="H16" s="54" t="inlineStr">
        <is>
          <t>stores</t>
        </is>
      </c>
      <c r="J16" s="17" t="inlineStr">
        <is>
          <t>Closures assume 2–3 per mature region annually as leases roll; immaterial vs openings in expansion markets.</t>
        </is>
      </c>
      <c r="K16" s="18" t="inlineStr">
        <is>
          <t>FY2025 10-K: lease renewal / fleet</t>
        </is>
      </c>
      <c r="L16" s="19" t="inlineStr">
        <is>
          <t>Ctrl+F "lease" / store fleet — immaterial closures vs expansion; 2–3 per mature region.</t>
        </is>
      </c>
    </row>
    <row r="17" ht="28" customHeight="1">
      <c r="A17" s="57" t="inlineStr">
        <is>
          <t xml:space="preserve">  Rest of World — ending stores</t>
        </is>
      </c>
      <c r="B17" s="53" t="n">
        <v>163</v>
      </c>
      <c r="C17" s="58">
        <f>C14+C15-C16</f>
        <v/>
      </c>
      <c r="D17" s="58">
        <f>D14+D15-D16</f>
        <v/>
      </c>
      <c r="E17" s="58">
        <f>E14+E15-E16</f>
        <v/>
      </c>
      <c r="F17" s="58">
        <f>F14+F15-F16</f>
        <v/>
      </c>
      <c r="G17" s="58">
        <f>G14+G15-G16</f>
        <v/>
      </c>
      <c r="H17" s="54" t="inlineStr">
        <is>
          <t>stores</t>
        </is>
      </c>
      <c r="I17" s="55" t="inlineStr">
        <is>
          <t>beginning stores + openings − closures. Roll-forward — nothing fancy, just how many doors you end with.</t>
        </is>
      </c>
      <c r="J17" s="17" t="inlineStr">
        <is>
          <t>Simple roll-forward: where you started, plus openings, minus closures. That's your ending store count for the year.</t>
        </is>
      </c>
      <c r="K17" s="31" t="inlineStr">
        <is>
          <t>Revenue Drivers: ending-stores formula</t>
        </is>
      </c>
    </row>
    <row r="18" ht="28" customHeight="1">
      <c r="A18" s="57" t="inlineStr">
        <is>
          <t>Total ending stores</t>
        </is>
      </c>
      <c r="B18" s="59" t="n">
        <v>811</v>
      </c>
      <c r="C18" s="58">
        <f>C9+C13+C17</f>
        <v/>
      </c>
      <c r="D18" s="58">
        <f>D9+D13+D17</f>
        <v/>
      </c>
      <c r="E18" s="58">
        <f>E9+E13+E17</f>
        <v/>
      </c>
      <c r="F18" s="58">
        <f>F9+F13+F17</f>
        <v/>
      </c>
      <c r="G18" s="58">
        <f>G9+G13+G17</f>
        <v/>
      </c>
      <c r="I18" s="55" t="inlineStr">
        <is>
          <t>Americas ending + China ending + RoW ending. Should foot to total company-operated stores.</t>
        </is>
      </c>
      <c r="J18" s="17" t="inlineStr">
        <is>
          <t>Add up Americas + China + RoW ending stores. Should tie to the 10-K total company-operated count.</t>
        </is>
      </c>
      <c r="K18" s="31" t="inlineStr">
        <is>
          <t>Revenue Drivers: total-stores formula</t>
        </is>
      </c>
    </row>
    <row r="19" ht="28" customHeight="1">
      <c r="A19" s="39" t="inlineStr">
        <is>
          <t>Avg square feet per store</t>
        </is>
      </c>
      <c r="B19" s="56" t="n">
        <v>4366</v>
      </c>
      <c r="C19" s="56" t="n">
        <v>4400</v>
      </c>
      <c r="D19" s="56" t="n">
        <v>4425</v>
      </c>
      <c r="E19" s="56" t="n">
        <v>4450</v>
      </c>
      <c r="F19" s="56" t="n">
        <v>4475</v>
      </c>
      <c r="G19" s="56" t="n">
        <v>4500</v>
      </c>
      <c r="H19" s="54" t="inlineStr">
        <is>
          <t>sq ft</t>
        </is>
      </c>
      <c r="J19" s="17" t="inlineStr">
        <is>
          <t>4,367 avg sq ft/store = implied FY25 total sq ft / 811 stores. Modest expansion to 4,500 by FY30.</t>
        </is>
      </c>
      <c r="K19" s="18" t="inlineStr">
        <is>
          <t>FY2025 10-K: sales per square foot</t>
        </is>
      </c>
      <c r="L19" s="19" t="inlineStr">
        <is>
          <t>Ctrl+F "sales per square foot were $1,426" → implied 3.54M sq ft / 811 stores ≈ 4,367 sq ft.</t>
        </is>
      </c>
    </row>
    <row r="20" ht="28" customHeight="1">
      <c r="A20" s="39" t="inlineStr">
        <is>
          <t>Total square footage (end stores × avg sq ft)</t>
        </is>
      </c>
      <c r="B20" s="40">
        <f>B18*B19</f>
        <v/>
      </c>
      <c r="C20" s="40">
        <f>C18*C19</f>
        <v/>
      </c>
      <c r="D20" s="40">
        <f>D18*D19</f>
        <v/>
      </c>
      <c r="E20" s="40">
        <f>E18*E19</f>
        <v/>
      </c>
      <c r="F20" s="40">
        <f>F18*F19</f>
        <v/>
      </c>
      <c r="G20" s="40">
        <f>G18*G19</f>
        <v/>
      </c>
      <c r="H20" s="54" t="inlineStr">
        <is>
          <t>sq ft</t>
        </is>
      </c>
      <c r="I20" s="55" t="inlineStr">
        <is>
          <t>total ending stores × avg sq ft per store. Fleet size in square feet for the productivity lines.</t>
        </is>
      </c>
      <c r="J20" s="17" t="inlineStr">
        <is>
          <t>Ending stores times avg sq ft per box. Gives you total fleet square footage for the productivity math.</t>
        </is>
      </c>
      <c r="K20" s="31" t="inlineStr">
        <is>
          <t>Revenue Drivers: total-sqft formula</t>
        </is>
      </c>
    </row>
    <row r="22">
      <c r="A22" s="48" t="inlineStr">
        <is>
          <t>II. STORE PRODUCTIVITY (brick &amp; mortar channel)</t>
        </is>
      </c>
    </row>
    <row r="23">
      <c r="A23" s="49" t="inlineStr">
        <is>
          <t>Driver</t>
        </is>
      </c>
      <c r="B23" s="50" t="inlineStr">
        <is>
          <t>FY2025A</t>
        </is>
      </c>
      <c r="C23" s="51" t="inlineStr">
        <is>
          <t>FY2026E</t>
        </is>
      </c>
      <c r="D23" s="50" t="inlineStr">
        <is>
          <t>FY2027E</t>
        </is>
      </c>
      <c r="E23" s="50" t="inlineStr">
        <is>
          <t>FY2028E</t>
        </is>
      </c>
      <c r="F23" s="50" t="inlineStr">
        <is>
          <t>FY2029E</t>
        </is>
      </c>
      <c r="G23" s="50" t="inlineStr">
        <is>
          <t>FY2030E</t>
        </is>
      </c>
      <c r="H23" s="50" t="inlineStr">
        <is>
          <t>Units</t>
        </is>
      </c>
      <c r="I23" s="51" t="inlineStr">
        <is>
          <t>Equation</t>
        </is>
      </c>
      <c r="J23" s="52" t="inlineStr">
        <is>
          <t>Justification</t>
        </is>
      </c>
      <c r="K23" s="52" t="inlineStr">
        <is>
          <t>Source</t>
        </is>
      </c>
      <c r="L23" s="52" t="inlineStr">
        <is>
          <t>Ctrl+F</t>
        </is>
      </c>
    </row>
    <row r="24" ht="28" customHeight="1">
      <c r="A24" s="39" t="inlineStr">
        <is>
          <t>Sales per square foot ($)</t>
        </is>
      </c>
      <c r="B24" s="56" t="n">
        <v>1426</v>
      </c>
      <c r="C24" s="56" t="n">
        <v>1360</v>
      </c>
      <c r="D24" s="56" t="n">
        <v>1380</v>
      </c>
      <c r="E24" s="56" t="n">
        <v>1400</v>
      </c>
      <c r="F24" s="56" t="n">
        <v>1420</v>
      </c>
      <c r="G24" s="56" t="n">
        <v>1440</v>
      </c>
      <c r="H24" s="54" t="inlineStr">
        <is>
          <t>$/sq ft</t>
        </is>
      </c>
      <c r="J24" s="17" t="inlineStr">
        <is>
          <t>FY26 SPSF $1,380 reflects Americas traffic/conversion pressure; recovers toward $1,440 by FY30.</t>
        </is>
      </c>
      <c r="K24" s="18" t="inlineStr">
        <is>
          <t>FY2025 10-K: comparable sales &amp; SPSF</t>
        </is>
      </c>
      <c r="L24" s="19" t="inlineStr">
        <is>
          <t>Ctrl+F "sales per square foot were $1,426" → FY25 reported $1,426; FY26 model $1,380 on traffic pressure.</t>
        </is>
      </c>
    </row>
    <row r="25" ht="28" customHeight="1">
      <c r="A25" s="39" t="inlineStr">
        <is>
          <t xml:space="preserve">  Americas — comparable sales growth</t>
        </is>
      </c>
      <c r="B25" s="60" t="n">
        <v>-0.03</v>
      </c>
      <c r="C25" s="60" t="n">
        <v>-0.04</v>
      </c>
      <c r="D25" s="60" t="n">
        <v>0</v>
      </c>
      <c r="E25" s="60" t="n">
        <v>0.01</v>
      </c>
      <c r="F25" s="60" t="n">
        <v>0.02</v>
      </c>
      <c r="G25" s="60" t="n">
        <v>0.02</v>
      </c>
      <c r="H25" s="54" t="inlineStr">
        <is>
          <t>%</t>
        </is>
      </c>
      <c r="J25" s="17" t="inlineStr">
        <is>
          <t>FY25 Americas comp −3% per 10-K (traffic, conversion, AOV down). FY26 −4%: modest step-down before flat FY27 as promo clears.</t>
        </is>
      </c>
      <c r="K25" s="18" t="inlineStr">
        <is>
          <t>FY2025 10-K: Americas comparable sales</t>
        </is>
      </c>
      <c r="L25" s="19" t="inlineStr">
        <is>
          <t>Ctrl+F "Americas comparable sales decreased 3%" → FY25 anchor. FY26 model −4% before stabilization.</t>
        </is>
      </c>
    </row>
    <row r="26" ht="28" customHeight="1">
      <c r="A26" s="39" t="inlineStr">
        <is>
          <t xml:space="preserve">  China Mainland — comparable sales growth</t>
        </is>
      </c>
      <c r="B26" s="60" t="n">
        <v>0.2</v>
      </c>
      <c r="C26" s="60" t="n">
        <v>0.14</v>
      </c>
      <c r="D26" s="60" t="n">
        <v>0.12</v>
      </c>
      <c r="E26" s="60" t="n">
        <v>0.1</v>
      </c>
      <c r="F26" s="60" t="n">
        <v>0.08</v>
      </c>
      <c r="G26" s="60" t="n">
        <v>0.07000000000000001</v>
      </c>
      <c r="H26" s="54" t="inlineStr">
        <is>
          <t>%</t>
        </is>
      </c>
      <c r="J26" s="17" t="inlineStr">
        <is>
          <t>FY25 China comp +20% (+19% CCY) per 10-K. FY26 +14%: still fastest region but moderating as the store base scales.</t>
        </is>
      </c>
      <c r="K26" s="18" t="inlineStr">
        <is>
          <t>FY2025 10-K: China Mainland comparable sales</t>
        </is>
      </c>
      <c r="L26" s="19" t="inlineStr">
        <is>
          <t>Ctrl+F "China Mainland comparable sales increased 20%" → FY25 anchor. FY26 model +14% on a larger base.</t>
        </is>
      </c>
    </row>
    <row r="27" ht="28" customHeight="1">
      <c r="A27" s="39" t="inlineStr">
        <is>
          <t xml:space="preserve">  Rest of World — comparable sales growth</t>
        </is>
      </c>
      <c r="B27" s="60" t="n">
        <v>0.09</v>
      </c>
      <c r="C27" s="60" t="n">
        <v>0.07000000000000001</v>
      </c>
      <c r="D27" s="60" t="n">
        <v>0.06</v>
      </c>
      <c r="E27" s="60" t="n">
        <v>0.05</v>
      </c>
      <c r="F27" s="60" t="n">
        <v>0.04</v>
      </c>
      <c r="G27" s="60" t="n">
        <v>0.04</v>
      </c>
      <c r="H27" s="54" t="inlineStr">
        <is>
          <t>%</t>
        </is>
      </c>
      <c r="J27" s="17" t="inlineStr">
        <is>
          <t>FY25 RoW comp +9% (+7% CCY) per 10-K. FY26 +7%: hold above CCY, fade to +4% by FY30 as APAC/Europe base matures.</t>
        </is>
      </c>
      <c r="K27" s="18" t="inlineStr">
        <is>
          <t>FY2025 10-K: Rest of World comparable sales</t>
        </is>
      </c>
      <c r="L27" s="19" t="inlineStr">
        <is>
          <t>Ctrl+F "Rest of World comparable sales increased 9%" → FY25 +9% (+7% CCY). FY26 model +7%, fading to +4%.</t>
        </is>
      </c>
    </row>
    <row r="28" ht="28" customHeight="1">
      <c r="A28" s="39" t="inlineStr">
        <is>
          <t>Prior-year store channel revenue ($000)</t>
        </is>
      </c>
      <c r="B28" s="61" t="n">
        <v>5049744</v>
      </c>
      <c r="C28" s="40">
        <f>B31</f>
        <v/>
      </c>
      <c r="D28" s="40">
        <f>C31</f>
        <v/>
      </c>
      <c r="E28" s="40">
        <f>D31</f>
        <v/>
      </c>
      <c r="F28" s="40">
        <f>E31</f>
        <v/>
      </c>
      <c r="G28" s="40">
        <f>F31</f>
        <v/>
      </c>
      <c r="H28" s="54" t="inlineStr">
        <is>
          <t>$000</t>
        </is>
      </c>
      <c r="I28" s="55" t="inlineStr">
        <is>
          <t>prior column's total store-channel revenue. Base you're applying comps to — not new-store contribution.</t>
        </is>
      </c>
      <c r="J28" s="17" t="inlineStr">
        <is>
          <t>Last year's total store-channel revenue — the base you're growing comps off of, not the new boxes.</t>
        </is>
      </c>
      <c r="K28" s="31" t="inlineStr">
        <is>
          <t>Revenue Drivers: prior store-rev formula</t>
        </is>
      </c>
    </row>
    <row r="29" ht="28" customHeight="1">
      <c r="A29" s="39" t="inlineStr">
        <is>
          <t>Comparable store revenue ($000)</t>
        </is>
      </c>
      <c r="B29" s="53" t="n">
        <v>5049744</v>
      </c>
      <c r="C29" s="40">
        <f>B28*0.71*(1+C25)+B28*0.16*(1+C26)+B28*0.13*(1+C27)</f>
        <v/>
      </c>
      <c r="D29" s="40">
        <f>C28*0.71*(1+D25)+C28*0.16*(1+D26)+C28*0.13*(1+D27)</f>
        <v/>
      </c>
      <c r="E29" s="40">
        <f>D28*0.71*(1+E25)+D28*0.16*(1+E26)+D28*0.13*(1+E27)</f>
        <v/>
      </c>
      <c r="F29" s="40">
        <f>E28*0.71*(1+F25)+E28*0.16*(1+F26)+E28*0.13*(1+F27)</f>
        <v/>
      </c>
      <c r="G29" s="40">
        <f>F28*0.71*(1+G25)+F28*0.16*(1+G26)+F28*0.13*(1+G27)</f>
        <v/>
      </c>
      <c r="I29" s="55" t="inlineStr">
        <is>
          <t>prior store rev×(71%×(1+Am comp)+16%×(1+China)+13%×(1+RoW)). Existing base only — new stores are on the next row.</t>
        </is>
      </c>
      <c r="J29" s="17" t="inlineStr">
        <is>
          <t>Existing-store sales only — prior store rev grown by geo comp %. New doors are a separate line, not in here.</t>
        </is>
      </c>
      <c r="K29" s="31" t="inlineStr">
        <is>
          <t>Revenue Drivers: comp-store formula</t>
        </is>
      </c>
    </row>
    <row r="30" ht="28" customHeight="1">
      <c r="A30" s="39" t="inlineStr">
        <is>
          <t>Net new store revenue contribution ($000)</t>
        </is>
      </c>
      <c r="B30" s="40" t="n">
        <v>0</v>
      </c>
      <c r="C30" s="40">
        <f>(C7-C8+C11-C12+C15-C16)*C19*C24/1000*0.55</f>
        <v/>
      </c>
      <c r="D30" s="40">
        <f>(D7-D8+D11-D12+D15-D16)*D19*D24/1000*0.55</f>
        <v/>
      </c>
      <c r="E30" s="40">
        <f>(E7-E8+E11-E12+E15-E16)*E19*E24/1000*0.55</f>
        <v/>
      </c>
      <c r="F30" s="40">
        <f>(F7-F8+F11-F12+F15-F16)*F19*F24/1000*0.55</f>
        <v/>
      </c>
      <c r="G30" s="40">
        <f>(G7-G8+G11-G12+G15-G16)*G19*G24/1000*0.55</f>
        <v/>
      </c>
      <c r="I30" s="55" t="inlineStr">
        <is>
          <t>(open−close each geo)×sq ft×$/sq ft → raw annual $. /1000 flips that to $000 (this whole tab is thousands). ×0.55 = year-one haircut — new boxes don't run at full SPSF yet. FY27 ex: (D7−D8+D11−D12+D15−D16)×D19×D24/1000×0.55.</t>
        </is>
      </c>
      <c r="J30" s="17" t="inlineStr">
        <is>
          <t>Net new doors × sq ft × $/sq ft is plain dollars. /1000 → $000 on this tab. ×0.55 'cause year-one stores don't run full.</t>
        </is>
      </c>
      <c r="K30" s="31" t="inlineStr">
        <is>
          <t>Revenue Drivers: net-new-store formula</t>
        </is>
      </c>
    </row>
    <row r="31" ht="28" customHeight="1">
      <c r="A31" s="57" t="inlineStr">
        <is>
          <t>Store channel revenue ($000)</t>
        </is>
      </c>
      <c r="B31" s="59" t="n">
        <v>5049744</v>
      </c>
      <c r="C31" s="58">
        <f>C29+C30</f>
        <v/>
      </c>
      <c r="D31" s="58">
        <f>D29+D30</f>
        <v/>
      </c>
      <c r="E31" s="58">
        <f>E29+E30</f>
        <v/>
      </c>
      <c r="F31" s="58">
        <f>F29+F30</f>
        <v/>
      </c>
      <c r="G31" s="58">
        <f>G29+G30</f>
        <v/>
      </c>
      <c r="I31" s="55" t="inlineStr">
        <is>
          <t>comparable store revenue + net new store revenue. Full brick-and-mortar channel for the year.</t>
        </is>
      </c>
      <c r="J31" s="17" t="inlineStr">
        <is>
          <t>Brick-and-mortar channel = comp store sales plus whatever the net new stores contributed. That's the whole store line.</t>
        </is>
      </c>
      <c r="K31" s="31" t="inlineStr">
        <is>
          <t>Revenue Drivers: store-channel formula</t>
        </is>
      </c>
    </row>
    <row r="32" ht="28" customHeight="1">
      <c r="A32" s="39" t="inlineStr">
        <is>
          <t xml:space="preserve">  memo: fleet traffic (millions of visits)</t>
        </is>
      </c>
      <c r="B32" s="62" t="n">
        <v>42.5</v>
      </c>
      <c r="C32" s="62" t="n">
        <v>40</v>
      </c>
      <c r="D32" s="62" t="n">
        <v>41</v>
      </c>
      <c r="E32" s="62" t="n">
        <v>42</v>
      </c>
      <c r="F32" s="62" t="n">
        <v>43</v>
      </c>
      <c r="G32" s="62" t="n">
        <v>44</v>
      </c>
      <c r="H32" s="54" t="inlineStr">
        <is>
          <t>M visits</t>
        </is>
      </c>
      <c r="J32" s="17" t="inlineStr">
        <is>
          <t>Fleet traffic memo line — not a separate FCF item. Calibrated to FY25 store productivity commentary.</t>
        </is>
      </c>
      <c r="K32" s="18" t="inlineStr">
        <is>
          <t>FY2025 10-K: store traffic commentary</t>
        </is>
      </c>
      <c r="L32" s="19" t="inlineStr">
        <is>
          <t>Ctrl+F "store traffic" → lower traffic in Americas; memo line only.</t>
        </is>
      </c>
    </row>
    <row r="33" ht="28" customHeight="1">
      <c r="A33" s="39" t="inlineStr">
        <is>
          <t xml:space="preserve">  memo: in-store conversion rate</t>
        </is>
      </c>
      <c r="B33" s="60" t="n">
        <v>0.28</v>
      </c>
      <c r="C33" s="60" t="n">
        <v>0.27</v>
      </c>
      <c r="D33" s="60" t="n">
        <v>0.275</v>
      </c>
      <c r="E33" s="60" t="n">
        <v>0.28</v>
      </c>
      <c r="F33" s="60" t="n">
        <v>0.285</v>
      </c>
      <c r="G33" s="60" t="n">
        <v>0.29</v>
      </c>
      <c r="J33" s="17" t="inlineStr">
        <is>
          <t>In-store conversion memo — 10-K cites lower conversion in Americas; FY26 27% improving to 29%.</t>
        </is>
      </c>
      <c r="K33" s="18" t="inlineStr">
        <is>
          <t>FY2025 10-K: conversion rate commentary</t>
        </is>
      </c>
      <c r="L33" s="19" t="inlineStr">
        <is>
          <t>Ctrl+F "conversion rates" → lower in Americas; in-store memo 27%→29%.</t>
        </is>
      </c>
    </row>
    <row r="34" ht="28" customHeight="1">
      <c r="A34" s="39" t="inlineStr">
        <is>
          <t xml:space="preserve">  memo: in-store average transaction ($)</t>
        </is>
      </c>
      <c r="B34" s="63" t="n">
        <v>118</v>
      </c>
      <c r="C34" s="63" t="n">
        <v>115</v>
      </c>
      <c r="D34" s="63" t="n">
        <v>116</v>
      </c>
      <c r="E34" s="63" t="n">
        <v>118</v>
      </c>
      <c r="F34" s="63" t="n">
        <v>120</v>
      </c>
      <c r="G34" s="63" t="n">
        <v>122</v>
      </c>
      <c r="J34" s="17" t="inlineStr">
        <is>
          <t>In-store average transaction $115–$122; supports SPSF and comp-sales bridge on the driver tab.</t>
        </is>
      </c>
      <c r="K34" s="18" t="inlineStr">
        <is>
          <t>FY2025 10-K: average order value commentary</t>
        </is>
      </c>
      <c r="L34" s="19" t="inlineStr">
        <is>
          <t>Ctrl+F "average order value" → lower AOV in Americas; memo $115–$122.</t>
        </is>
      </c>
    </row>
    <row r="36">
      <c r="A36" s="48" t="inlineStr">
        <is>
          <t>III. DIRECT-TO-CONSUMER (e-commerce / digital)</t>
        </is>
      </c>
    </row>
    <row r="37">
      <c r="A37" s="49" t="inlineStr">
        <is>
          <t>Driver</t>
        </is>
      </c>
      <c r="B37" s="50" t="inlineStr">
        <is>
          <t>FY2025A</t>
        </is>
      </c>
      <c r="C37" s="51" t="inlineStr">
        <is>
          <t>FY2026E</t>
        </is>
      </c>
      <c r="D37" s="50" t="inlineStr">
        <is>
          <t>FY2027E</t>
        </is>
      </c>
      <c r="E37" s="50" t="inlineStr">
        <is>
          <t>FY2028E</t>
        </is>
      </c>
      <c r="F37" s="50" t="inlineStr">
        <is>
          <t>FY2029E</t>
        </is>
      </c>
      <c r="G37" s="50" t="inlineStr">
        <is>
          <t>FY2030E</t>
        </is>
      </c>
      <c r="H37" s="50" t="inlineStr">
        <is>
          <t>Units</t>
        </is>
      </c>
      <c r="I37" s="51" t="inlineStr">
        <is>
          <t>Equation</t>
        </is>
      </c>
      <c r="J37" s="52" t="inlineStr">
        <is>
          <t>Justification</t>
        </is>
      </c>
      <c r="K37" s="52" t="inlineStr">
        <is>
          <t>Source</t>
        </is>
      </c>
      <c r="L37" s="52" t="inlineStr">
        <is>
          <t>Ctrl+F</t>
        </is>
      </c>
    </row>
    <row r="38" ht="28" customHeight="1">
      <c r="A38" s="39" t="inlineStr">
        <is>
          <t>Unique digital sessions (millions)</t>
        </is>
      </c>
      <c r="B38" s="56" t="n">
        <v>485</v>
      </c>
      <c r="C38" s="56" t="n">
        <v>485</v>
      </c>
      <c r="D38" s="56" t="n">
        <v>505</v>
      </c>
      <c r="E38" s="56" t="n">
        <v>525</v>
      </c>
      <c r="F38" s="56" t="n">
        <v>545</v>
      </c>
      <c r="G38" s="56" t="n">
        <v>560</v>
      </c>
      <c r="H38" s="54" t="inlineStr">
        <is>
          <t>M</t>
        </is>
      </c>
      <c r="J38" s="17" t="inlineStr">
        <is>
          <t>485M FY25 sessions implied from reported e-comm revenue / conv / AOV. FY26 −3% on Americas softness.</t>
        </is>
      </c>
      <c r="K38" s="18" t="inlineStr">
        <is>
          <t>FY2025 10-K: e-commerce revenue</t>
        </is>
      </c>
      <c r="L38" s="19" t="inlineStr">
        <is>
          <t>Ctrl+F "E-commerce" → 4,918,697 ($000). Sessions implied from revenue / conv / AOV.</t>
        </is>
      </c>
    </row>
    <row r="39" ht="28" customHeight="1">
      <c r="A39" s="39" t="inlineStr">
        <is>
          <t>Digital conversion rate</t>
        </is>
      </c>
      <c r="B39" s="60" t="n">
        <v>0.033</v>
      </c>
      <c r="C39" s="60" t="n">
        <v>0.033</v>
      </c>
      <c r="D39" s="60" t="n">
        <v>0.034</v>
      </c>
      <c r="E39" s="60" t="n">
        <v>0.035</v>
      </c>
      <c r="F39" s="60" t="n">
        <v>0.035</v>
      </c>
      <c r="G39" s="60" t="n">
        <v>0.036</v>
      </c>
      <c r="J39" s="17" t="inlineStr">
        <is>
          <t>3.3% FY26 digital conversion vs 3.5% pressure cited in 10-K Americas; gradual recovery to 3.6%.</t>
        </is>
      </c>
      <c r="K39" s="18" t="inlineStr">
        <is>
          <t>FY2025 10-K: digital / traffic commentary</t>
        </is>
      </c>
      <c r="L39" s="19" t="inlineStr">
        <is>
          <t>Ctrl+F "lower conversion rates" (Americas MD&amp;A). FY26 model 3.3% digital conversion.</t>
        </is>
      </c>
    </row>
    <row r="40" ht="28" customHeight="1">
      <c r="A40" s="39" t="inlineStr">
        <is>
          <t>Digital average order value ($)</t>
        </is>
      </c>
      <c r="B40" s="63" t="n">
        <v>307</v>
      </c>
      <c r="C40" s="63" t="n">
        <v>305</v>
      </c>
      <c r="D40" s="63" t="n">
        <v>308</v>
      </c>
      <c r="E40" s="63" t="n">
        <v>310</v>
      </c>
      <c r="F40" s="63" t="n">
        <v>312</v>
      </c>
      <c r="G40" s="63" t="n">
        <v>315</v>
      </c>
      <c r="J40" s="17" t="inlineStr">
        <is>
          <t>AOV $305 FY26 on promo intensity; steps to $315 by FY30 as mix normalizes.</t>
        </is>
      </c>
      <c r="K40" s="18" t="inlineStr">
        <is>
          <t>FY2025 10-K: e-commerce revenue</t>
        </is>
      </c>
      <c r="L40" s="19" t="inlineStr">
        <is>
          <t>Ctrl+F "average order value" (Americas MD&amp;A). FY26 model $305 AOV.</t>
        </is>
      </c>
    </row>
    <row r="41" ht="28" customHeight="1">
      <c r="A41" s="57" t="inlineStr">
        <is>
          <t>E-commerce revenue ($000)</t>
        </is>
      </c>
      <c r="B41" s="59" t="n">
        <v>4918697</v>
      </c>
      <c r="C41" s="58">
        <f>C38*1000000*C39*C40/1000</f>
        <v/>
      </c>
      <c r="D41" s="58">
        <f>D38*1000000*D39*D40/1000</f>
        <v/>
      </c>
      <c r="E41" s="58">
        <f>E38*1000000*E39*E40/1000</f>
        <v/>
      </c>
      <c r="F41" s="58">
        <f>F38*1000000*F39*F40/1000</f>
        <v/>
      </c>
      <c r="G41" s="58">
        <f>G38*1000000*G39*G40/1000</f>
        <v/>
      </c>
      <c r="I41" s="55" t="inlineStr">
        <is>
          <t>sessions×1,000,000×conversion×AOV/1000 → e-comm $000. ×1M 'cause sessions are millions; /1000 matches tab units.</t>
        </is>
      </c>
      <c r="J41" s="17" t="inlineStr">
        <is>
          <t>Traffic × conversion × AOV is dollars. ×1M 'cause sessions are in millions; /1000 puts it in $000 like everything else.</t>
        </is>
      </c>
      <c r="K41" s="31" t="inlineStr">
        <is>
          <t>Revenue Drivers: e-comm formula</t>
        </is>
      </c>
    </row>
    <row r="43">
      <c r="A43" s="48" t="inlineStr">
        <is>
          <t>IV. OTHER CHANNELS, GEOGRAPHY &amp; PRODUCT MIX</t>
        </is>
      </c>
    </row>
    <row r="44">
      <c r="A44" s="49" t="inlineStr">
        <is>
          <t>Driver</t>
        </is>
      </c>
      <c r="B44" s="50" t="inlineStr">
        <is>
          <t>FY2025A</t>
        </is>
      </c>
      <c r="C44" s="51" t="inlineStr">
        <is>
          <t>FY2026E</t>
        </is>
      </c>
      <c r="D44" s="50" t="inlineStr">
        <is>
          <t>FY2027E</t>
        </is>
      </c>
      <c r="E44" s="50" t="inlineStr">
        <is>
          <t>FY2028E</t>
        </is>
      </c>
      <c r="F44" s="50" t="inlineStr">
        <is>
          <t>FY2029E</t>
        </is>
      </c>
      <c r="G44" s="50" t="inlineStr">
        <is>
          <t>FY2030E</t>
        </is>
      </c>
      <c r="H44" s="50" t="inlineStr">
        <is>
          <t>Units</t>
        </is>
      </c>
      <c r="I44" s="51" t="inlineStr">
        <is>
          <t>Equation</t>
        </is>
      </c>
      <c r="J44" s="52" t="inlineStr">
        <is>
          <t>Justification</t>
        </is>
      </c>
      <c r="K44" s="52" t="inlineStr">
        <is>
          <t>Source</t>
        </is>
      </c>
      <c r="L44" s="52" t="inlineStr">
        <is>
          <t>Ctrl+F</t>
        </is>
      </c>
    </row>
    <row r="45" ht="28" customHeight="1">
      <c r="A45" s="39" t="inlineStr">
        <is>
          <t>Other channels (wholesale / license / outlets) ($000)</t>
        </is>
      </c>
      <c r="B45" s="61" t="n">
        <v>1134159</v>
      </c>
      <c r="C45" s="40">
        <f>B45*(1+-0.02)</f>
        <v/>
      </c>
      <c r="D45" s="40">
        <f>C45*(1+0.0)</f>
        <v/>
      </c>
      <c r="E45" s="40">
        <f>D45*(1+0.02)</f>
        <v/>
      </c>
      <c r="F45" s="40">
        <f>E45*(1+0.02)</f>
        <v/>
      </c>
      <c r="G45" s="40">
        <f>F45*(1+0.02)</f>
        <v/>
      </c>
      <c r="H45" s="54" t="inlineStr">
        <is>
          <t>$000</t>
        </is>
      </c>
      <c r="I45" s="55" t="inlineStr">
        <is>
          <t>prior other-channel rev × (1 + growth %). Wholesale/license/outlets — grown off last year.</t>
        </is>
      </c>
      <c r="J45" s="17" t="inlineStr">
        <is>
          <t>Other channels (wholesale/license/outlets) held at FY25 $1.13B base; low-single-digit growth thereafter.</t>
        </is>
      </c>
      <c r="K45" s="18" t="inlineStr">
        <is>
          <t>FY2025 10-K: channel revenue table</t>
        </is>
      </c>
      <c r="L45" s="19" t="inlineStr">
        <is>
          <t>Ctrl+F "Company-operated stores" and "E-commerce" → residual other channels ≈ $1.13B.</t>
        </is>
      </c>
    </row>
    <row r="46" ht="70" customHeight="1">
      <c r="A46" s="39" t="inlineStr">
        <is>
          <t xml:space="preserve">  Americas net revenue ($000)</t>
        </is>
      </c>
      <c r="B46" s="61" t="n">
        <v>7847044</v>
      </c>
      <c r="C46" s="40">
        <f>B46*(C31+C41+C45)/(B31+B41+B45)</f>
        <v/>
      </c>
      <c r="D46" s="40">
        <f>B46*(D31+D41+D45)/(B31+B41+B45)</f>
        <v/>
      </c>
      <c r="E46" s="40">
        <f>B46*(E31+E41+E45)/(B31+B41+B45)</f>
        <v/>
      </c>
      <c r="F46" s="40">
        <f>B46*(F31+F41+F45)/(B31+B41+B45)</f>
        <v/>
      </c>
      <c r="G46" s="40">
        <f>B46*(G31+G41+G45)/(B31+B41+B45)</f>
        <v/>
      </c>
      <c r="H46" s="54" t="inlineStr">
        <is>
          <t>$000</t>
        </is>
      </c>
      <c r="I46" s="55" t="inlineStr">
        <is>
          <t>FY26 geo rev = FY25 geo rev × (FY26 total rev ÷ FY25 total rev).
Total rev = store channel + e-comm + other. Keeps FY25 geo mix; scales with consolidated growth.
FY26E plugged: B46 × (C31+C41+C45) ÷ (B31+B41+B45)</t>
        </is>
      </c>
      <c r="J46" s="17" t="inlineStr">
        <is>
          <t>Geographic split scales with consolidated growth; FY25 Americas 70.7% of revenue per 10-K segment table.</t>
        </is>
      </c>
      <c r="K46" s="18" t="inlineStr">
        <is>
          <t>FY2025 10-K: segmented net revenue</t>
        </is>
      </c>
      <c r="L46" s="19" t="inlineStr">
        <is>
          <t>Ctrl+F "Americas" segment table → $7,847,044 net revenue (70.7%).</t>
        </is>
      </c>
    </row>
    <row r="47" ht="70" customHeight="1">
      <c r="A47" s="39" t="inlineStr">
        <is>
          <t xml:space="preserve">  China Mainland net revenue ($000)</t>
        </is>
      </c>
      <c r="B47" s="61" t="n">
        <v>1754799</v>
      </c>
      <c r="C47" s="40">
        <f>B47*(C31+C41+C45)/(B31+B41+B45)</f>
        <v/>
      </c>
      <c r="D47" s="40">
        <f>B47*(D31+D41+D45)/(B31+B41+B45)</f>
        <v/>
      </c>
      <c r="E47" s="40">
        <f>B47*(E31+E41+E45)/(B31+B41+B45)</f>
        <v/>
      </c>
      <c r="F47" s="40">
        <f>B47*(F31+F41+F45)/(B31+B41+B45)</f>
        <v/>
      </c>
      <c r="G47" s="40">
        <f>B47*(G31+G41+G45)/(B31+B41+B45)</f>
        <v/>
      </c>
      <c r="H47" s="54" t="inlineStr">
        <is>
          <t>$000</t>
        </is>
      </c>
      <c r="I47" s="55" t="inlineStr">
        <is>
          <t>FY26 geo rev = FY25 geo rev × (FY26 total rev ÷ FY25 total rev).
Total rev = store channel + e-comm + other. Keeps FY25 geo mix; scales with consolidated growth.
FY26E plugged: B47 × (C31+C41+C45) ÷ (B31+B41+B45)</t>
        </is>
      </c>
      <c r="J47" s="17" t="inlineStr">
        <is>
          <t>China 15.8% of FY25 revenue; fastest comp and store growth — expansion market in the driver schedule.</t>
        </is>
      </c>
      <c r="K47" s="18" t="inlineStr">
        <is>
          <t>FY2025 10-K: segmented net revenue</t>
        </is>
      </c>
      <c r="L47" s="19" t="inlineStr">
        <is>
          <t>Ctrl+F "China Mainland" segment → $1,754,799 net revenue (15.8%).</t>
        </is>
      </c>
    </row>
    <row r="48" ht="70" customHeight="1">
      <c r="A48" s="39" t="inlineStr">
        <is>
          <t xml:space="preserve">  Rest of World net revenue ($000)</t>
        </is>
      </c>
      <c r="B48" s="61" t="n">
        <v>1500757</v>
      </c>
      <c r="C48" s="40">
        <f>B48*(C31+C41+C45)/(B31+B41+B45)</f>
        <v/>
      </c>
      <c r="D48" s="40">
        <f>B48*(D31+D41+D45)/(B31+B41+B45)</f>
        <v/>
      </c>
      <c r="E48" s="40">
        <f>B48*(E31+E41+E45)/(B31+B41+B45)</f>
        <v/>
      </c>
      <c r="F48" s="40">
        <f>B48*(F31+F41+F45)/(B31+B41+B45)</f>
        <v/>
      </c>
      <c r="G48" s="40">
        <f>B48*(G31+G41+G45)/(B31+B41+B45)</f>
        <v/>
      </c>
      <c r="H48" s="54" t="inlineStr">
        <is>
          <t>$000</t>
        </is>
      </c>
      <c r="I48" s="55" t="inlineStr">
        <is>
          <t>FY26 geo rev = FY25 geo rev × (FY26 total rev ÷ FY25 total rev).
Total rev = store channel + e-comm + other. Keeps FY25 geo mix; scales with consolidated growth.
FY26E plugged: B48 × (C31+C41+C45) ÷ (B31+B41+B45)</t>
        </is>
      </c>
      <c r="J48" s="17" t="inlineStr">
        <is>
          <t>Rest of World 13.5% of FY25 revenue; mid-single-digit comps and steady openings.</t>
        </is>
      </c>
      <c r="K48" s="18" t="inlineStr">
        <is>
          <t>FY2025 10-K: segmented net revenue</t>
        </is>
      </c>
      <c r="L48" s="19" t="inlineStr">
        <is>
          <t>Ctrl+F "Rest of World" segment → $1,500,757 net revenue (13.5%).</t>
        </is>
      </c>
    </row>
    <row r="49" ht="28" customHeight="1">
      <c r="A49" s="39" t="inlineStr">
        <is>
          <t>Women's % of revenue</t>
        </is>
      </c>
      <c r="B49" s="60" t="n">
        <v>0.63</v>
      </c>
      <c r="C49" s="60" t="n">
        <v>0.62</v>
      </c>
      <c r="D49" s="60" t="n">
        <v>0.615</v>
      </c>
      <c r="E49" s="60" t="n">
        <v>0.61</v>
      </c>
      <c r="F49" s="60" t="n">
        <v>0.605</v>
      </c>
      <c r="G49" s="60" t="n">
        <v>0.6</v>
      </c>
      <c r="J49" s="17" t="inlineStr">
        <is>
          <t>Women's mix fades 62.5%→60% as men's penetrates; FY25 reported 63% women's per 10-K category disclosure.</t>
        </is>
      </c>
      <c r="K49" s="18" t="inlineStr">
        <is>
          <t>FY2025 10-K: product category mix</t>
        </is>
      </c>
      <c r="L49" s="19" t="inlineStr">
        <is>
          <t>Ctrl+F "women's, men's, and accessories" → 63% / 24% / 13% of net revenue.</t>
        </is>
      </c>
    </row>
    <row r="50" ht="28" customHeight="1">
      <c r="A50" s="39" t="inlineStr">
        <is>
          <t>Men's % of revenue</t>
        </is>
      </c>
      <c r="B50" s="60" t="n">
        <v>0.24</v>
      </c>
      <c r="C50" s="60" t="n">
        <v>0.25</v>
      </c>
      <c r="D50" s="60" t="n">
        <v>0.255</v>
      </c>
      <c r="E50" s="60" t="n">
        <v>0.26</v>
      </c>
      <c r="F50" s="60" t="n">
        <v>0.265</v>
      </c>
      <c r="G50" s="60" t="n">
        <v>0.27</v>
      </c>
      <c r="J50" s="17" t="inlineStr">
        <is>
          <t>Men's mix rises 24.5%→27%; FY25 men's grew 4% vs women's 5% per 10-K category commentary.</t>
        </is>
      </c>
      <c r="K50" s="18" t="inlineStr">
        <is>
          <t>FY2025 10-K: product category mix</t>
        </is>
      </c>
      <c r="L50" s="19" t="inlineStr">
        <is>
          <t>Ctrl+F "men's" category growth 4% in MD&amp;A; mix rises to 27% by FY30.</t>
        </is>
      </c>
    </row>
    <row r="51" ht="28" customHeight="1">
      <c r="A51" s="39" t="inlineStr">
        <is>
          <t>Accessories &amp; other % of revenue</t>
        </is>
      </c>
      <c r="B51" s="60" t="n">
        <v>0.13</v>
      </c>
      <c r="C51" s="60" t="n">
        <v>0.13</v>
      </c>
      <c r="D51" s="60" t="n">
        <v>0.13</v>
      </c>
      <c r="E51" s="60" t="n">
        <v>0.13</v>
      </c>
      <c r="F51" s="60" t="n">
        <v>0.13</v>
      </c>
      <c r="G51" s="60" t="n">
        <v>0.13</v>
      </c>
      <c r="J51" s="17" t="inlineStr">
        <is>
          <t>Accessories steady at 13% of revenue; FY25 accessories +8% per 10-K category disclosure.</t>
        </is>
      </c>
      <c r="K51" s="18" t="inlineStr">
        <is>
          <t>FY2025 10-K: product category mix</t>
        </is>
      </c>
      <c r="L51" s="19" t="inlineStr">
        <is>
          <t>Ctrl+F "accessories" +8% category growth; hold 13% mix.</t>
        </is>
      </c>
    </row>
    <row r="53">
      <c r="A53" s="48" t="inlineStr">
        <is>
          <t>V. CONSOLIDATED REVENUE &amp; RECONCILIATION</t>
        </is>
      </c>
    </row>
    <row r="54">
      <c r="A54" s="49" t="inlineStr">
        <is>
          <t>Driver</t>
        </is>
      </c>
      <c r="B54" s="50" t="inlineStr">
        <is>
          <t>FY2025A</t>
        </is>
      </c>
      <c r="C54" s="51" t="inlineStr">
        <is>
          <t>FY2026E</t>
        </is>
      </c>
      <c r="D54" s="50" t="inlineStr">
        <is>
          <t>FY2027E</t>
        </is>
      </c>
      <c r="E54" s="50" t="inlineStr">
        <is>
          <t>FY2028E</t>
        </is>
      </c>
      <c r="F54" s="50" t="inlineStr">
        <is>
          <t>FY2029E</t>
        </is>
      </c>
      <c r="G54" s="50" t="inlineStr">
        <is>
          <t>FY2030E</t>
        </is>
      </c>
      <c r="H54" s="50" t="inlineStr">
        <is>
          <t>Units</t>
        </is>
      </c>
      <c r="I54" s="51" t="inlineStr">
        <is>
          <t>Equation</t>
        </is>
      </c>
      <c r="J54" s="52" t="inlineStr">
        <is>
          <t>Justification</t>
        </is>
      </c>
      <c r="K54" s="52" t="inlineStr">
        <is>
          <t>Source</t>
        </is>
      </c>
      <c r="L54" s="52" t="inlineStr">
        <is>
          <t>Ctrl+F</t>
        </is>
      </c>
    </row>
    <row r="55" ht="28" customHeight="1">
      <c r="A55" s="64" t="inlineStr">
        <is>
          <t>Bottom-up total revenue ($000)</t>
        </is>
      </c>
      <c r="B55" s="65" t="n">
        <v>11102600</v>
      </c>
      <c r="C55" s="66">
        <f>C31+C41+C45</f>
        <v/>
      </c>
      <c r="D55" s="66">
        <f>D31+D41+D45</f>
        <v/>
      </c>
      <c r="E55" s="66">
        <f>E31+E41+E45</f>
        <v/>
      </c>
      <c r="F55" s="66">
        <f>F31+F41+F45</f>
        <v/>
      </c>
      <c r="G55" s="66">
        <f>G31+G41+G45</f>
        <v/>
      </c>
      <c r="I55" s="55" t="inlineStr">
        <is>
          <t>store channel + e-commerce + other. Bottom-up top line before you reconcile to Scenarios.</t>
        </is>
      </c>
      <c r="J55" s="17" t="inlineStr">
        <is>
          <t>Bottom-up total = store channel + e-comm + other. That's your driver-built revenue before you check Scenarios.</t>
        </is>
      </c>
      <c r="K55" s="31" t="inlineStr">
        <is>
          <t>Revenue Drivers: total-rev formula</t>
        </is>
      </c>
    </row>
    <row r="56" ht="28" customHeight="1">
      <c r="A56" s="39" t="inlineStr">
        <is>
          <t>Scenarios base-case revenue ($000)</t>
        </is>
      </c>
      <c r="B56" s="61" t="n">
        <v>11102600</v>
      </c>
      <c r="C56" s="40">
        <f>Scenarios!G18</f>
        <v/>
      </c>
      <c r="D56" s="40">
        <f>Scenarios!G19</f>
        <v/>
      </c>
      <c r="E56" s="40">
        <f>Scenarios!G20</f>
        <v/>
      </c>
      <c r="F56" s="40">
        <f>Scenarios!G21</f>
        <v/>
      </c>
      <c r="G56" s="40">
        <f>Scenarios!G22</f>
        <v/>
      </c>
      <c r="I56" s="55" t="inlineStr">
        <is>
          <t>Scenarios! base-case revenue. DCF still runs off this path — not the driver total.</t>
        </is>
      </c>
      <c r="J56" s="17" t="inlineStr">
        <is>
          <t>Pulls the Scenarios base-case revenue path — that's still the number the DCF actually uses, not the driver total.</t>
        </is>
      </c>
      <c r="K56" s="18" t="inlineStr">
        <is>
          <t>Scenarios tab: base revenue</t>
        </is>
      </c>
    </row>
    <row r="57" ht="28" customHeight="1">
      <c r="A57" s="39" t="inlineStr">
        <is>
          <t>Variance (bottom-up − scenarios) ($000)</t>
        </is>
      </c>
      <c r="B57" s="40">
        <f>B55-B56</f>
        <v/>
      </c>
      <c r="C57" s="40">
        <f>C55-C56</f>
        <v/>
      </c>
      <c r="D57" s="40">
        <f>D55-D56</f>
        <v/>
      </c>
      <c r="E57" s="40">
        <f>E55-E56</f>
        <v/>
      </c>
      <c r="F57" s="40">
        <f>F55-F56</f>
        <v/>
      </c>
      <c r="G57" s="40">
        <f>G55-G56</f>
        <v/>
      </c>
      <c r="I57" s="55" t="inlineStr">
        <is>
          <t>bottom-up total − Scenarios revenue. Positive = drivers above Scenarios; negative = below.</t>
        </is>
      </c>
      <c r="J57" s="17" t="inlineStr">
        <is>
          <t>Driver-built revenue minus Scenarios revenue. Shows you how far off the bottom-up path is from what you're valuing on.</t>
        </is>
      </c>
      <c r="K57" s="31" t="inlineStr">
        <is>
          <t>Revenue Drivers: variance formula</t>
        </is>
      </c>
    </row>
    <row r="58" ht="28" customHeight="1">
      <c r="A58" s="39" t="inlineStr">
        <is>
          <t>Variance (%)</t>
        </is>
      </c>
      <c r="B58" s="41">
        <f>IF(B56=0,"",B57/B56)</f>
        <v/>
      </c>
      <c r="C58" s="41">
        <f>IF(C56=0,"",C57/C56)</f>
        <v/>
      </c>
      <c r="D58" s="41">
        <f>IF(D56=0,"",D57/D56)</f>
        <v/>
      </c>
      <c r="E58" s="41">
        <f>IF(E56=0,"",E57/E56)</f>
        <v/>
      </c>
      <c r="F58" s="41">
        <f>IF(F56=0,"",F57/F56)</f>
        <v/>
      </c>
      <c r="G58" s="41">
        <f>IF(G56=0,"",G57/G56)</f>
        <v/>
      </c>
      <c r="I58" s="55" t="inlineStr">
        <is>
          <t>variance ÷ Scenarios revenue. Quick % read on how far the driver build is from the valuation path.</t>
        </is>
      </c>
      <c r="J58" s="17" t="inlineStr">
        <is>
          <t>Variance as a percent of Scenarios revenue. Easy read on whether the driver schedule is close or way out of line.</t>
        </is>
      </c>
      <c r="K58" s="31" t="inlineStr">
        <is>
          <t>Revenue Drivers: variance % formula</t>
        </is>
      </c>
    </row>
    <row r="59">
      <c r="A59" s="25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K7" r:id="rId1"/>
    <hyperlink xmlns:r="http://schemas.openxmlformats.org/officeDocument/2006/relationships" ref="K8" r:id="rId2"/>
    <hyperlink xmlns:r="http://schemas.openxmlformats.org/officeDocument/2006/relationships" ref="K11" r:id="rId3"/>
    <hyperlink xmlns:r="http://schemas.openxmlformats.org/officeDocument/2006/relationships" ref="K12" r:id="rId4"/>
    <hyperlink xmlns:r="http://schemas.openxmlformats.org/officeDocument/2006/relationships" ref="K15" r:id="rId5"/>
    <hyperlink xmlns:r="http://schemas.openxmlformats.org/officeDocument/2006/relationships" ref="K16" r:id="rId6"/>
    <hyperlink xmlns:r="http://schemas.openxmlformats.org/officeDocument/2006/relationships" ref="B18" r:id="rId7"/>
    <hyperlink xmlns:r="http://schemas.openxmlformats.org/officeDocument/2006/relationships" ref="K19" r:id="rId8"/>
    <hyperlink xmlns:r="http://schemas.openxmlformats.org/officeDocument/2006/relationships" ref="K24" r:id="rId9"/>
    <hyperlink xmlns:r="http://schemas.openxmlformats.org/officeDocument/2006/relationships" ref="K25" r:id="rId10"/>
    <hyperlink xmlns:r="http://schemas.openxmlformats.org/officeDocument/2006/relationships" ref="K26" r:id="rId11"/>
    <hyperlink xmlns:r="http://schemas.openxmlformats.org/officeDocument/2006/relationships" ref="K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K32" r:id="rId15"/>
    <hyperlink xmlns:r="http://schemas.openxmlformats.org/officeDocument/2006/relationships" ref="K33" r:id="rId16"/>
    <hyperlink xmlns:r="http://schemas.openxmlformats.org/officeDocument/2006/relationships" ref="K34" r:id="rId17"/>
    <hyperlink xmlns:r="http://schemas.openxmlformats.org/officeDocument/2006/relationships" ref="K38" r:id="rId18"/>
    <hyperlink xmlns:r="http://schemas.openxmlformats.org/officeDocument/2006/relationships" ref="K39" r:id="rId19"/>
    <hyperlink xmlns:r="http://schemas.openxmlformats.org/officeDocument/2006/relationships" ref="K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K45" r:id="rId23"/>
    <hyperlink xmlns:r="http://schemas.openxmlformats.org/officeDocument/2006/relationships" ref="B46" r:id="rId24"/>
    <hyperlink xmlns:r="http://schemas.openxmlformats.org/officeDocument/2006/relationships" ref="K46" r:id="rId25"/>
    <hyperlink xmlns:r="http://schemas.openxmlformats.org/officeDocument/2006/relationships" ref="B47" r:id="rId26"/>
    <hyperlink xmlns:r="http://schemas.openxmlformats.org/officeDocument/2006/relationships" ref="K47" r:id="rId27"/>
    <hyperlink xmlns:r="http://schemas.openxmlformats.org/officeDocument/2006/relationships" ref="B48" r:id="rId28"/>
    <hyperlink xmlns:r="http://schemas.openxmlformats.org/officeDocument/2006/relationships" ref="K48" r:id="rId29"/>
    <hyperlink xmlns:r="http://schemas.openxmlformats.org/officeDocument/2006/relationships" ref="K49" r:id="rId30"/>
    <hyperlink xmlns:r="http://schemas.openxmlformats.org/officeDocument/2006/relationships" ref="K50" r:id="rId31"/>
    <hyperlink xmlns:r="http://schemas.openxmlformats.org/officeDocument/2006/relationships" ref="K51" r:id="rId32"/>
    <hyperlink xmlns:r="http://schemas.openxmlformats.org/officeDocument/2006/relationships" ref="B55" r:id="rId33"/>
    <hyperlink xmlns:r="http://schemas.openxmlformats.org/officeDocument/2006/relationships" ref="B56" r:id="rId34"/>
    <hyperlink ref="K56" location="'Scenarios'!G1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2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67" t="inlineStr">
        <is>
          <t>Justification (~20 words)</t>
        </is>
      </c>
      <c r="C2" s="67" t="inlineStr">
        <is>
          <t>Source (click)</t>
        </is>
      </c>
      <c r="D2" s="67" t="inlineStr">
        <is>
          <t>Ctrl+F (prove number)</t>
        </is>
      </c>
      <c r="E2" s="68" t="inlineStr">
        <is>
          <t>FY2025A</t>
        </is>
      </c>
      <c r="F2" s="69" t="inlineStr">
        <is>
          <t>FY2026E</t>
        </is>
      </c>
      <c r="G2" s="69" t="inlineStr">
        <is>
          <t>FY2027E</t>
        </is>
      </c>
      <c r="H2" s="69" t="inlineStr">
        <is>
          <t>FY2028E</t>
        </is>
      </c>
      <c r="I2" s="69" t="inlineStr">
        <is>
          <t>FY2029E</t>
        </is>
      </c>
      <c r="J2" s="69" t="inlineStr">
        <is>
          <t>FY2030E</t>
        </is>
      </c>
      <c r="K2" s="70" t="inlineStr">
        <is>
          <t>Δ vs Scenarios</t>
        </is>
      </c>
      <c r="L2" s="67" t="inlineStr">
        <is>
          <t>Alt. source</t>
        </is>
      </c>
      <c r="M2" s="67" t="inlineStr">
        <is>
          <t>Alt. Ctrl+F</t>
        </is>
      </c>
    </row>
    <row r="3" ht="28" customHeight="1">
      <c r="A3" s="71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72" t="inlineStr">
        <is>
          <t>10-K</t>
        </is>
      </c>
      <c r="K3" s="73" t="inlineStr">
        <is>
          <t>(should be 0)</t>
        </is>
      </c>
    </row>
    <row r="4" ht="36" customHeight="1">
      <c r="A4" s="38" t="inlineStr">
        <is>
          <t>Full Assumptions Guide (PDF)
Ctrl+F: Every red assumption on every tab — justification, source link, Ctrl+F proof.</t>
        </is>
      </c>
      <c r="C4" s="74" t="inlineStr">
        <is>
          <t>Revenue Drivers tab
Ctrl+F: Bottom-up store / DTC / category schedule (FY26–30).</t>
        </is>
      </c>
    </row>
    <row r="5">
      <c r="A5" s="16" t="inlineStr">
        <is>
          <t>Net revenue</t>
        </is>
      </c>
      <c r="E5" s="75" t="n">
        <v>11102600</v>
      </c>
      <c r="F5" s="23">
        <f>Scenarios!G18</f>
        <v/>
      </c>
      <c r="G5" s="23">
        <f>Scenarios!G19</f>
        <v/>
      </c>
      <c r="H5" s="23">
        <f>Scenarios!G20</f>
        <v/>
      </c>
      <c r="I5" s="23">
        <f>Scenarios!G21</f>
        <v/>
      </c>
      <c r="J5" s="23">
        <f>Scenarios!G22</f>
        <v/>
      </c>
      <c r="K5" s="76">
        <f>IF(MAX(ABS(F5-Scenarios!$G$18),ABS(G5-Scenarios!$G$19),ABS(H5-Scenarios!$G$20),ABS(I5-Scenarios!$G$21),ABS(J5-Scenarios!$G$22))&lt;0.5,"OK","CHECK")</f>
        <v/>
      </c>
    </row>
    <row r="6" ht="42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2.3% FY27–30 growth matches StockAnalysis Revenue Growth Forecast (3Y) of 2.26%; next-year consensus is +2.64%.</t>
        </is>
      </c>
      <c r="C6" s="38" t="inlineStr">
        <is>
          <t>LULU Q2 FY2026 earnings release
Also: StockAnalysis: LULU 3Y revenue forecast</t>
        </is>
      </c>
      <c r="D6" s="19" t="inlineStr">
        <is>
          <t>Ctrl+F "decline of 5% to 7%" → FY2026 revenue guide; model −6.1% midpoint
Also: Ctrl+F "Revenue Growth Forecast (3Y)" → 2.26%. That is the unique line (do not search "Net revenue"). Model FY27–30 uses 2.3%.</t>
        </is>
      </c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42" customHeight="1">
      <c r="A7" s="16" t="inlineStr">
        <is>
          <t>Clean / run-rate EBIT margin %</t>
        </is>
      </c>
      <c r="B7" s="19" t="inlineStr">
        <is>
          <t>13.2% is the real/run-rate OM: Q2 18.8% minus 560bps of tariff refunds. FY26 then adds the $134.5M refund once on top.
Also: FY30 15.5% is a partial recovery vs the FY25 10-K OM of 19.9% (unique Ctrl+F). Still well below the FY24 23.7% peak.</t>
        </is>
      </c>
      <c r="C7" s="38" t="inlineStr">
        <is>
          <t>Q2 FY2026 release: 18.8% OM minus 560bps tariffs
Also: FY2025 10-K: Operating margin 19.9% (one hit)</t>
        </is>
      </c>
      <c r="D7" s="19" t="inlineStr">
        <is>
          <t>Ctrl+F "18.8%" (Q2 OM) and "560 basis points" (tariff boost). Real run-rate = 18.8% − 5.6% = 13.2%. Do not use "decreased 13%".
Also: Ctrl+F "19.9%" (one hit) → Operating margin decreased 380 basis points to 19.9%. That is FY25 OM. Do not search the words Income from operations (17 hits). Model FY30 15.5% is a partial-recovery assumption.</t>
        </is>
      </c>
      <c r="F7" s="32">
        <f>Scenarios!G23</f>
        <v/>
      </c>
      <c r="G7" s="32">
        <f>Scenarios!G24</f>
        <v/>
      </c>
      <c r="H7" s="32">
        <f>Scenarios!G25</f>
        <v/>
      </c>
      <c r="I7" s="32">
        <f>Scenarios!G26</f>
        <v/>
      </c>
      <c r="J7" s="32">
        <f>Scenarios!G27</f>
        <v/>
      </c>
      <c r="K7" s="76">
        <f>IF(MAX(ABS(F7-Scenarios!$G$23),ABS(G7-Scenarios!$G$24),ABS(H7-Scenarios!$G$25),ABS(I7-Scenarios!$G$26),ABS(J7-Scenarios!$G$27))&lt;0.0001,"OK","CHECK")</f>
        <v/>
      </c>
    </row>
    <row r="8" ht="28" customHeight="1">
      <c r="A8" s="16" t="inlineStr">
        <is>
          <t>Plus: FY26 IEEPA tariff refunds (one-time)</t>
        </is>
      </c>
      <c r="B8" s="17" t="inlineStr">
        <is>
          <t>Add back $134.5M in FY26 only — already recognized (reduced COGS). +130bps on FY26 sales, not +560bps (that was Q2-only).</t>
        </is>
      </c>
      <c r="C8" s="18" t="inlineStr">
        <is>
          <t>Q2 FY2026 release: $134.5M IEEPA tariff refunds</t>
        </is>
      </c>
      <c r="D8" s="19" t="inlineStr">
        <is>
          <t>Ctrl+F "134.5 million" → IEEPA tariff refunds reduced COGS. Add this dollar amount to FY26 EBIT only. Full-year boost = 134.5 / FY26 sales ≈ 1.3ppt, not 5.6ppt.</t>
        </is>
      </c>
      <c r="E8" s="75" t="n">
        <v>0</v>
      </c>
      <c r="F8" s="37">
        <f>Scenarios!$G$7</f>
        <v/>
      </c>
      <c r="G8" s="37" t="n">
        <v>0</v>
      </c>
      <c r="H8" s="37" t="n">
        <v>0</v>
      </c>
      <c r="I8" s="37" t="n">
        <v>0</v>
      </c>
      <c r="J8" s="37" t="n">
        <v>0</v>
      </c>
    </row>
    <row r="9">
      <c r="A9" s="26" t="inlineStr">
        <is>
          <t>EBIT (incl. FY26 refund)</t>
        </is>
      </c>
      <c r="E9" s="77" t="n">
        <v>2210615</v>
      </c>
      <c r="F9" s="27">
        <f>Scenarios!G28</f>
        <v/>
      </c>
      <c r="G9" s="27">
        <f>Scenarios!G29</f>
        <v/>
      </c>
      <c r="H9" s="27">
        <f>Scenarios!G30</f>
        <v/>
      </c>
      <c r="I9" s="27">
        <f>Scenarios!G31</f>
        <v/>
      </c>
      <c r="J9" s="27">
        <f>Scenarios!G32</f>
        <v/>
      </c>
      <c r="K9" s="78">
        <f>IF(MAX(ABS(F9-Scenarios!$G$28),ABS(G9-Scenarios!$G$29),ABS(H9-Scenarios!$G$30),ABS(I9-Scenarios!$G$31),ABS(J9-Scenarios!$G$32))&lt;0.5,"OK","CHECK")</f>
        <v/>
      </c>
    </row>
    <row r="10">
      <c r="A10" s="16" t="inlineStr">
        <is>
          <t>Reported EBIT margin % (incl. FY26 refund)</t>
        </is>
      </c>
      <c r="E10" s="79" t="n">
        <v>0.1991078666258354</v>
      </c>
      <c r="F10" s="32">
        <f>F9/F5</f>
        <v/>
      </c>
      <c r="G10" s="32">
        <f>G9/G5</f>
        <v/>
      </c>
      <c r="H10" s="32">
        <f>H9/H5</f>
        <v/>
      </c>
      <c r="I10" s="32">
        <f>I9/I5</f>
        <v/>
      </c>
      <c r="J10" s="32">
        <f>J9/J5</f>
        <v/>
      </c>
    </row>
    <row r="11">
      <c r="A11" s="16" t="inlineStr">
        <is>
          <t>Less: cash taxes on EBIT</t>
        </is>
      </c>
      <c r="F11" s="23">
        <f>-Scenarios!G28*Scenarios!$G$11</f>
        <v/>
      </c>
      <c r="G11" s="23">
        <f>-Scenarios!G29*Scenarios!$G$11</f>
        <v/>
      </c>
      <c r="H11" s="23">
        <f>-Scenarios!G30*Scenarios!$G$11</f>
        <v/>
      </c>
      <c r="I11" s="23">
        <f>-Scenarios!G31*Scenarios!$G$11</f>
        <v/>
      </c>
      <c r="J11" s="23">
        <f>-Scenarios!G32*Scenarios!$G$11</f>
        <v/>
      </c>
    </row>
    <row r="12">
      <c r="A12" s="26" t="inlineStr">
        <is>
          <t>NOPAT</t>
        </is>
      </c>
      <c r="F12" s="27">
        <f>Scenarios!G33</f>
        <v/>
      </c>
      <c r="G12" s="27">
        <f>Scenarios!G34</f>
        <v/>
      </c>
      <c r="H12" s="27">
        <f>Scenarios!G35</f>
        <v/>
      </c>
      <c r="I12" s="27">
        <f>Scenarios!G36</f>
        <v/>
      </c>
      <c r="J12" s="27">
        <f>Scenarios!G37</f>
        <v/>
      </c>
      <c r="K12" s="78">
        <f>IF(MAX(ABS(F12-Scenarios!$G$33),ABS(G12-Scenarios!$G$34),ABS(H12-Scenarios!$G$35),ABS(I12-Scenarios!$G$36),ABS(J12-Scenarios!$G$37))&lt;0.5,"OK","CHECK")</f>
        <v/>
      </c>
    </row>
    <row r="13" ht="28" customHeight="1">
      <c r="A13" s="16" t="inlineStr">
        <is>
          <t xml:space="preserve">  D&amp;A % of revenue</t>
        </is>
      </c>
      <c r="B13" s="17" t="inlineStr">
        <is>
          <t>4.5% D&amp;A / sales = FY25 496,228 / 11,102,600 on the 10-K cash-flow statement.</t>
        </is>
      </c>
      <c r="C13" s="18" t="inlineStr">
        <is>
          <t>LULU CF statement (10-K)</t>
        </is>
      </c>
      <c r="D13" s="19" t="inlineStr">
        <is>
          <t>Ctrl+F "Depreciation and amortization" → 496,228 on this 10-K HTML (not the SEC viewer). ÷ "Net revenue" 11,102,600 = 4.5%.</t>
        </is>
      </c>
      <c r="F13" s="20">
        <f>Scenarios!$G$12</f>
        <v/>
      </c>
      <c r="G13" s="20">
        <f>Scenarios!$G$12</f>
        <v/>
      </c>
      <c r="H13" s="20">
        <f>Scenarios!$G$12</f>
        <v/>
      </c>
      <c r="I13" s="20">
        <f>Scenarios!$G$12</f>
        <v/>
      </c>
      <c r="J13" s="20">
        <f>Scenarios!$G$12</f>
        <v/>
      </c>
    </row>
    <row r="14">
      <c r="A14" s="16" t="inlineStr">
        <is>
          <t>Plus: depreciation &amp; amortization</t>
        </is>
      </c>
      <c r="F14" s="23">
        <f>Scenarios!G38</f>
        <v/>
      </c>
      <c r="G14" s="23">
        <f>Scenarios!G39</f>
        <v/>
      </c>
      <c r="H14" s="23">
        <f>Scenarios!G40</f>
        <v/>
      </c>
      <c r="I14" s="23">
        <f>Scenarios!G41</f>
        <v/>
      </c>
      <c r="J14" s="23">
        <f>Scenarios!G42</f>
        <v/>
      </c>
      <c r="K14" s="76">
        <f>IF(MAX(ABS(F14-Scenarios!$G$38),ABS(G14-Scenarios!$G$39),ABS(H14-Scenarios!$G$40),ABS(I14-Scenarios!$G$41),ABS(J14-Scenarios!$G$42))&lt;0.5,"OK","CHECK")</f>
        <v/>
      </c>
    </row>
    <row r="15" ht="150" customHeight="1">
      <c r="A15" s="16" t="inlineStr">
        <is>
          <t xml:space="preserve">  Capex % of revenue</t>
        </is>
      </c>
      <c r="B15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5" s="38" t="inlineStr">
        <is>
          <t>LULU 10-K: 2026 capex guide $725–745M
Also: Q2 FY2026 outlook: $10.350B–$10.500B sales</t>
        </is>
      </c>
      <c r="D15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5" s="20">
        <f>Scenarios!$G$13</f>
        <v/>
      </c>
      <c r="G15" s="20">
        <f>Scenarios!$G$13</f>
        <v/>
      </c>
      <c r="H15" s="20">
        <f>Scenarios!$G$13</f>
        <v/>
      </c>
      <c r="I15" s="20">
        <f>Scenarios!$G$13</f>
        <v/>
      </c>
      <c r="J15" s="20">
        <f>Scenarios!$G$13</f>
        <v/>
      </c>
    </row>
    <row r="16">
      <c r="A16" s="16" t="inlineStr">
        <is>
          <t>Less: capital expenditures</t>
        </is>
      </c>
      <c r="F16" s="23">
        <f>-Scenarios!G43</f>
        <v/>
      </c>
      <c r="G16" s="23">
        <f>-Scenarios!G44</f>
        <v/>
      </c>
      <c r="H16" s="23">
        <f>-Scenarios!G45</f>
        <v/>
      </c>
      <c r="I16" s="23">
        <f>-Scenarios!G46</f>
        <v/>
      </c>
      <c r="J16" s="23">
        <f>-Scenarios!G47</f>
        <v/>
      </c>
      <c r="K16" s="76">
        <f>IF(MAX(ABS(F16+Scenarios!$G$43),ABS(G16+Scenarios!$G$44),ABS(H16+Scenarios!$G$45),ABS(I16+Scenarios!$G$46),ABS(J16+Scenarios!$G$47))&lt;0.5,"OK","CHECK")</f>
        <v/>
      </c>
    </row>
    <row r="17" ht="28" customHeight="1">
      <c r="A17" s="16" t="inlineStr">
        <is>
          <t>NWC % of Δrevenue (AR + inv + OCA − AP − accrued)</t>
        </is>
      </c>
      <c r="B17" s="17" t="inlineStr">
        <is>
          <t>One NWC line: 7.5% of Δsales = AR + inv + OCA − AP − accrued. AR is not a separate FCF item.</t>
        </is>
      </c>
      <c r="C17" s="18" t="inlineStr">
        <is>
          <t>LULU BS/IS historical (10-K)</t>
        </is>
      </c>
      <c r="D17" s="19" t="inlineStr">
        <is>
          <t>One NWC. Ctrl+F "Accounts receivable, net" → 190,657 | "Inventories" → 1,700,753 | "Accounts payable" → 331,421 | "Accrued liabilities and other" → 662,982.</t>
        </is>
      </c>
      <c r="F17" s="20">
        <f>Scenarios!$G$14</f>
        <v/>
      </c>
      <c r="G17" s="20">
        <f>Scenarios!$G$14</f>
        <v/>
      </c>
      <c r="H17" s="20">
        <f>Scenarios!$G$14</f>
        <v/>
      </c>
      <c r="I17" s="20">
        <f>Scenarios!$G$14</f>
        <v/>
      </c>
      <c r="J17" s="20">
        <f>Scenarios!$G$14</f>
        <v/>
      </c>
    </row>
    <row r="18" ht="28" customHeight="1">
      <c r="A18" s="16" t="inlineStr">
        <is>
          <t xml:space="preserve">  of which: AR % of revenue</t>
        </is>
      </c>
      <c r="B18" s="17" t="inlineStr">
        <is>
          <t>AR sits inside NWC: 190,657 / 11,102,600 = 1.7% of sales. Same NWC block as inv, OCA, AP, accrued.</t>
        </is>
      </c>
      <c r="C18" s="18" t="inlineStr">
        <is>
          <t>LULU FY2025 10-K: Accounts receivable, net</t>
        </is>
      </c>
      <c r="D18" s="19" t="inlineStr">
        <is>
          <t>Ctrl+F "Accounts receivable, net" (one hit on the BS) → 190,657. 190,657 / 11,102,600 = 1.7% of sales. Lives inside the NWC line below.</t>
        </is>
      </c>
      <c r="F18" s="20">
        <f>Scenarios!$G$15</f>
        <v/>
      </c>
      <c r="G18" s="20">
        <f>Scenarios!$G$15</f>
        <v/>
      </c>
      <c r="H18" s="20">
        <f>Scenarios!$G$15</f>
        <v/>
      </c>
      <c r="I18" s="20">
        <f>Scenarios!$G$15</f>
        <v/>
      </c>
      <c r="J18" s="20">
        <f>Scenarios!$G$15</f>
        <v/>
      </c>
    </row>
    <row r="19" ht="28" customHeight="1">
      <c r="A19" s="16" t="inlineStr">
        <is>
          <t xml:space="preserve">  of which: Accounts receivable, net</t>
        </is>
      </c>
      <c r="B19" s="17" t="inlineStr">
        <is>
          <t>AR sits inside NWC: 190,657 / 11,102,600 = 1.7% of sales. Same NWC block as inv, OCA, AP, accrued.</t>
        </is>
      </c>
      <c r="C19" s="18" t="inlineStr">
        <is>
          <t>LULU FY2025 10-K: Accounts receivable, net</t>
        </is>
      </c>
      <c r="D19" s="19" t="inlineStr">
        <is>
          <t>Ctrl+F "Accounts receivable, net" (one hit on the BS) → 190,657. 190,657 / 11,102,600 = 1.7% of sales. Lives inside the NWC line below.</t>
        </is>
      </c>
      <c r="E19" s="75" t="n">
        <v>190657</v>
      </c>
      <c r="F19" s="23">
        <f>Scenarios!G48</f>
        <v/>
      </c>
      <c r="G19" s="23">
        <f>Scenarios!G49</f>
        <v/>
      </c>
      <c r="H19" s="23">
        <f>Scenarios!G50</f>
        <v/>
      </c>
      <c r="I19" s="23">
        <f>Scenarios!G51</f>
        <v/>
      </c>
      <c r="J19" s="23">
        <f>Scenarios!G52</f>
        <v/>
      </c>
      <c r="K19" s="76">
        <f>IF(MAX(ABS(F19-Scenarios!$G$48),ABS(G19-Scenarios!$G$49),ABS(H19-Scenarios!$G$50),ABS(I19-Scenarios!$G$51),ABS(J19-Scenarios!$G$52))&lt;0.5,"OK","CHECK")</f>
        <v/>
      </c>
    </row>
    <row r="20">
      <c r="A20" s="16" t="inlineStr">
        <is>
          <t>(Increase)/decrease in NWC (includes AR)</t>
        </is>
      </c>
      <c r="F20" s="23">
        <f>-Scenarios!G53</f>
        <v/>
      </c>
      <c r="G20" s="23">
        <f>-Scenarios!G54</f>
        <v/>
      </c>
      <c r="H20" s="23">
        <f>-Scenarios!G55</f>
        <v/>
      </c>
      <c r="I20" s="23">
        <f>-Scenarios!G56</f>
        <v/>
      </c>
      <c r="J20" s="23">
        <f>-Scenarios!G57</f>
        <v/>
      </c>
      <c r="K20" s="76">
        <f>IF(MAX(ABS(F20+Scenarios!$G$53),ABS(G20+Scenarios!$G$54),ABS(H20+Scenarios!$G$55),ABS(I20+Scenarios!$G$56),ABS(J20+Scenarios!$G$57))&lt;0.5,"OK","CHECK")</f>
        <v/>
      </c>
    </row>
    <row r="21">
      <c r="A21" s="25" t="inlineStr">
        <is>
          <t xml:space="preserve">  memo: NWC and AR are one line. 7.5% of Δsales already includes AR; UFCF does not take ΔAR separately.</t>
        </is>
      </c>
    </row>
    <row r="22">
      <c r="A22" s="26" t="inlineStr">
        <is>
          <t>Unlevered free cash flow</t>
        </is>
      </c>
      <c r="F22" s="80">
        <f>Scenarios!G58</f>
        <v/>
      </c>
      <c r="G22" s="80">
        <f>Scenarios!G59</f>
        <v/>
      </c>
      <c r="H22" s="80">
        <f>Scenarios!G60</f>
        <v/>
      </c>
      <c r="I22" s="80">
        <f>Scenarios!G61</f>
        <v/>
      </c>
      <c r="J22" s="80">
        <f>Scenarios!G62</f>
        <v/>
      </c>
      <c r="K22" s="78">
        <f>IF(MAX(ABS(F22-Scenarios!$G$58),ABS(G22-Scenarios!$G$59),ABS(H22-Scenarios!$G$60),ABS(I22-Scenarios!$G$61),ABS(J22-Scenarios!$G$62))&lt;0.5,"OK","CHECK")</f>
        <v/>
      </c>
    </row>
    <row r="23">
      <c r="A23" s="16" t="inlineStr">
        <is>
          <t>Discount period (years)</t>
        </is>
      </c>
      <c r="F23" s="81" t="n">
        <v>1</v>
      </c>
      <c r="G23" s="81" t="n">
        <v>2</v>
      </c>
      <c r="H23" s="81" t="n">
        <v>3</v>
      </c>
      <c r="I23" s="81" t="n">
        <v>4</v>
      </c>
      <c r="J23" s="81" t="n">
        <v>5</v>
      </c>
    </row>
    <row r="24">
      <c r="A24" s="16" t="inlineStr">
        <is>
          <t>Discount factor @ WACC</t>
        </is>
      </c>
      <c r="F24" s="82">
        <f>1/(1+Scenarios!$G$9)^F23</f>
        <v/>
      </c>
      <c r="G24" s="82">
        <f>1/(1+Scenarios!$G$9)^G23</f>
        <v/>
      </c>
      <c r="H24" s="82">
        <f>1/(1+Scenarios!$G$9)^H23</f>
        <v/>
      </c>
      <c r="I24" s="82">
        <f>1/(1+Scenarios!$G$9)^I23</f>
        <v/>
      </c>
      <c r="J24" s="82">
        <f>1/(1+Scenarios!$G$9)^J23</f>
        <v/>
      </c>
    </row>
    <row r="25">
      <c r="A25" s="26" t="inlineStr">
        <is>
          <t>PV of unlevered FCF</t>
        </is>
      </c>
      <c r="F25" s="27">
        <f>F22*F24</f>
        <v/>
      </c>
      <c r="G25" s="27">
        <f>G22*G24</f>
        <v/>
      </c>
      <c r="H25" s="27">
        <f>H22*H24</f>
        <v/>
      </c>
      <c r="I25" s="27">
        <f>I22*I24</f>
        <v/>
      </c>
      <c r="J25" s="27">
        <f>J22*J24</f>
        <v/>
      </c>
    </row>
    <row r="27">
      <c r="A27" s="15" t="inlineStr">
        <is>
          <t>Scenarios linkage summary (column K should all read OK)</t>
        </is>
      </c>
      <c r="K27" s="83">
        <f>IF(COUNTIF(K5:K22,"CHECK")=0,"ALL OK","REVIEW")</f>
        <v/>
      </c>
    </row>
    <row r="28">
      <c r="A28" s="84" t="inlineStr">
        <is>
          <t>VALUATION — GORDON GROWTH (PERPETUITY) METHOD</t>
        </is>
      </c>
      <c r="B28" s="13" t="n"/>
      <c r="C28" s="13" t="n"/>
    </row>
    <row r="29">
      <c r="A29" s="26" t="inlineStr">
        <is>
          <t>Sum of PV of explicit FCF (FY26–FY30)</t>
        </is>
      </c>
      <c r="E29" s="66">
        <f>SUM(F25:J25)</f>
        <v/>
      </c>
    </row>
    <row r="30" ht="28" customHeight="1">
      <c r="A30" s="16" t="inlineStr">
        <is>
          <t>Terminal growth rate (g)</t>
        </is>
      </c>
      <c r="B30" s="17" t="inlineStr">
        <is>
          <t>2.25% terminal g sits next to FRED GDPC1 Q2/Q2 real GDP ≈ 2.1% (24,269.613 / 23,770.976 − 1).</t>
        </is>
      </c>
      <c r="C30" s="18" t="inlineStr">
        <is>
          <t>FRED: Real GDP (GDPC1)</t>
        </is>
      </c>
      <c r="D30" s="19" t="inlineStr">
        <is>
          <t>Ctrl+F "Q2 2026" → 24,269.613 and "Q2 2025" → 23,770.976. YoY = 2.1%. Model terminal g 2.25%.</t>
        </is>
      </c>
      <c r="E30" s="32">
        <f>Scenarios!$G$10</f>
        <v/>
      </c>
    </row>
    <row r="31">
      <c r="A31" s="26" t="inlineStr">
        <is>
          <t>Terminal EBITDA (FY2030E EBIT + D&amp;A)</t>
        </is>
      </c>
      <c r="E31" s="27">
        <f>J9+J14</f>
        <v/>
      </c>
    </row>
    <row r="32">
      <c r="A32" s="16" t="inlineStr">
        <is>
          <t>Terminal value = FCF₅×(1+g)/(WACC−g)</t>
        </is>
      </c>
      <c r="E32" s="23">
        <f>J22*(1+Scenarios!$G$10)/(Scenarios!$G$9-Scenarios!$G$10)</f>
        <v/>
      </c>
    </row>
    <row r="33">
      <c r="A33" s="16" t="inlineStr">
        <is>
          <t xml:space="preserve">  Implied exit EV/EBITDA = Gordon TV / FY30 EBITDA</t>
        </is>
      </c>
      <c r="E33" s="85">
        <f>E32/E31</f>
        <v/>
      </c>
    </row>
    <row r="34">
      <c r="A34" s="16" t="inlineStr">
        <is>
          <t xml:space="preserve">  memo: (UFCF₃₀ / EBITDA₃₀) × (1+g) / (WACC−g)</t>
        </is>
      </c>
      <c r="E34" s="85">
        <f>J22/E31*(1+Scenarios!$G$10)/(Scenarios!$G$9-Scenarios!$G$10)</f>
        <v/>
      </c>
    </row>
    <row r="35">
      <c r="A35" s="26" t="inlineStr">
        <is>
          <t>PV of terminal value</t>
        </is>
      </c>
      <c r="E35" s="66">
        <f>E32/(1+Scenarios!$G$9)^J23</f>
        <v/>
      </c>
    </row>
    <row r="36">
      <c r="A36" s="26" t="inlineStr">
        <is>
          <t>Enterprise value</t>
        </is>
      </c>
      <c r="E36" s="27">
        <f>E29+E35</f>
        <v/>
      </c>
    </row>
    <row r="37" ht="28" customHeight="1">
      <c r="A37" s="16" t="inlineStr">
        <is>
          <t>Plus: cash &amp; equivalents (FY2025)</t>
        </is>
      </c>
      <c r="C37" s="86" t="inlineStr">
        <is>
          <t>10-K</t>
        </is>
      </c>
      <c r="D37" s="19" t="inlineStr">
        <is>
          <t>Ctrl+F "Cash and cash equivalents" → 1,807,202 ($000) FY2025</t>
        </is>
      </c>
      <c r="E37" s="75" t="n">
        <v>1807202</v>
      </c>
    </row>
    <row r="38" ht="28" customHeight="1">
      <c r="A38" s="16" t="inlineStr">
        <is>
          <t>Less: total debt &amp; operating leases</t>
        </is>
      </c>
      <c r="B38" s="17" t="inlineStr">
        <is>
          <t>Subtract ASC 842 operating lease liabilities as debt equivalent. Funded term debt $0 per FY25 10-K; leases ≈ $1.80B.</t>
        </is>
      </c>
      <c r="C38" s="18" t="inlineStr">
        <is>
          <t>LULU FY2025 10-K: operating lease liabilities</t>
        </is>
      </c>
      <c r="D38" s="19" t="inlineStr">
        <is>
          <t>Ctrl+F "Current lease liabilities" → 298,724 | "Non-current lease liabilities" → 1,499,717 | sum 1,798,441 ($000). Funded debt: "no borrowings were outstanding"</t>
        </is>
      </c>
      <c r="E38" s="75" t="n">
        <v>-1798441</v>
      </c>
    </row>
    <row r="39">
      <c r="A39" s="25" t="inlineStr">
        <is>
          <t xml:space="preserve">  memo: funded term debt $0. Operating leases $298,724k current + $1,499,717k non-current = $1,798,441k (ASC 842 debt equivalent).</t>
        </is>
      </c>
    </row>
    <row r="40">
      <c r="A40" s="25" t="inlineStr">
        <is>
          <t xml:space="preserve">  memo: UFCF is pre-interest; rent stays in opex. We subtract lease liabilities in the bridge but do not add back implied lease interest to EBIT (simplified treatment).</t>
        </is>
      </c>
    </row>
    <row r="41">
      <c r="A41" s="26" t="inlineStr">
        <is>
          <t>Equity value</t>
        </is>
      </c>
      <c r="E41" s="27">
        <f>E36+E37+E38</f>
        <v/>
      </c>
    </row>
    <row r="42" ht="28" customHeight="1">
      <c r="A42" s="16" t="inlineStr">
        <is>
          <t>Diluted shares outstanding (000)</t>
        </is>
      </c>
      <c r="C42" s="86" t="inlineStr">
        <is>
          <t>10-K</t>
        </is>
      </c>
      <c r="D42" s="19" t="inlineStr">
        <is>
          <t>Ctrl+F "Diluted weighted-average number of shares outstanding" → 119,068 (000)</t>
        </is>
      </c>
      <c r="E42" s="75" t="n">
        <v>111380</v>
      </c>
    </row>
    <row r="43">
      <c r="A43" s="26" t="inlineStr">
        <is>
          <t>Implied value per share</t>
        </is>
      </c>
      <c r="E43" s="87">
        <f>E41/E42</f>
        <v/>
      </c>
      <c r="K43" s="78">
        <f>IF(ABS(E43-Scenarios!$G$65)&lt;0.05,"OK","CHECK")</f>
        <v/>
      </c>
    </row>
    <row r="44" ht="28" customHeight="1">
      <c r="A44" s="16" t="inlineStr">
        <is>
          <t>Current share price</t>
        </is>
      </c>
      <c r="C44" s="86" t="inlineStr">
        <is>
          <t>NASDAQ</t>
        </is>
      </c>
      <c r="D44" s="19" t="inlineStr">
        <is>
          <t>Ctrl+F "LULU" → Last Sale or Previous Close on NASDAQ quote page</t>
        </is>
      </c>
      <c r="E44" s="88" t="n">
        <v>100</v>
      </c>
    </row>
    <row r="45">
      <c r="A45" s="26" t="inlineStr">
        <is>
          <t>Implied upside / (downside)</t>
        </is>
      </c>
      <c r="E45" s="89">
        <f>E43/E44-1</f>
        <v/>
      </c>
    </row>
    <row r="46">
      <c r="A46" s="16" t="inlineStr">
        <is>
          <t xml:space="preserve">  memo: % of EV from terminal value</t>
        </is>
      </c>
      <c r="E46" s="32">
        <f>E35/E36</f>
        <v/>
      </c>
    </row>
    <row r="48">
      <c r="A48" s="84" t="inlineStr">
        <is>
          <t>CROSS-CHECK — EXIT MULTIPLE METHOD</t>
        </is>
      </c>
      <c r="B48" s="13" t="n"/>
      <c r="C48" s="13" t="n"/>
    </row>
    <row r="49">
      <c r="A49" s="15" t="inlineStr">
        <is>
          <t>Exit multiple is the Gordon identity — not a peer pick or an average</t>
        </is>
      </c>
    </row>
    <row r="50" ht="28" customHeight="1">
      <c r="A50" s="16" t="inlineStr">
        <is>
          <t>Selected exit EV/EBITDA (Gordon implied)</t>
        </is>
      </c>
      <c r="B50" s="17" t="inlineStr">
        <is>
          <t>Selected exit is Gordon TV / FY30 EBITDA. Identity: (UFCF/EBITDA)×(1+g)/(WACC−g). Not Deckers and not a peer average.</t>
        </is>
      </c>
      <c r="C50" s="18" t="inlineStr">
        <is>
          <t>DCF: Gordon implied exit (TV / FY30 EBITDA)</t>
        </is>
      </c>
      <c r="D50" s="19" t="inlineStr">
        <is>
          <t>No peer Ctrl+F. This cell = Gordon TV / FY30 EBITDA = (UFCF/EBITDA)×(1+g)/(WACC−g). WACC and g are sourced on those rows.</t>
        </is>
      </c>
      <c r="E50" s="85">
        <f>E33</f>
        <v/>
      </c>
      <c r="M50" s="86" t="inlineStr">
        <is>
          <t>Comps: Exit Multiple Build</t>
        </is>
      </c>
    </row>
    <row r="51">
      <c r="A51" s="16" t="inlineStr">
        <is>
          <t>Terminal value = Terminal EBITDA × exit multiple</t>
        </is>
      </c>
      <c r="E51" s="23">
        <f>E31*E50</f>
        <v/>
      </c>
    </row>
    <row r="52">
      <c r="A52" s="16" t="inlineStr">
        <is>
          <t>PV of terminal value</t>
        </is>
      </c>
      <c r="E52" s="23">
        <f>E51/(1+Scenarios!$G$9)^J23</f>
        <v/>
      </c>
    </row>
    <row r="53">
      <c r="A53" s="26" t="inlineStr">
        <is>
          <t>Enterprise value (exit method)</t>
        </is>
      </c>
      <c r="E53" s="27">
        <f>E29+E52</f>
        <v/>
      </c>
    </row>
    <row r="54">
      <c r="A54" s="26" t="inlineStr">
        <is>
          <t>Implied value per share (exit method)</t>
        </is>
      </c>
      <c r="E54" s="90">
        <f>(E53+E37+E38)/E42</f>
        <v/>
      </c>
    </row>
    <row r="56">
      <c r="A56" s="84" t="inlineStr">
        <is>
          <t>TERMINAL VALUE RECONCILIATION (GORDON vs EXIT MULTIPLE)</t>
        </is>
      </c>
      <c r="B56" s="13" t="n"/>
      <c r="C56" s="13" t="n"/>
      <c r="D56" s="13" t="n"/>
    </row>
    <row r="57">
      <c r="A57" s="91" t="inlineStr"/>
      <c r="B57" s="50" t="inlineStr">
        <is>
          <t>Gordon Growth</t>
        </is>
      </c>
      <c r="C57" s="50" t="inlineStr">
        <is>
          <t>Exit Multiple</t>
        </is>
      </c>
      <c r="D57" s="50" t="inlineStr">
        <is>
          <t>Variance</t>
        </is>
      </c>
    </row>
    <row r="58">
      <c r="A58" s="26" t="inlineStr">
        <is>
          <t>Terminal value ($)</t>
        </is>
      </c>
      <c r="B58" s="66">
        <f>E32</f>
        <v/>
      </c>
      <c r="C58" s="66">
        <f>E51</f>
        <v/>
      </c>
      <c r="D58" s="66">
        <f>B58-C58</f>
        <v/>
      </c>
    </row>
    <row r="59">
      <c r="A59" s="26" t="inlineStr">
        <is>
          <t>Exit EV/EBITDA (implied vs selected)</t>
        </is>
      </c>
      <c r="B59" s="92">
        <f>E33</f>
        <v/>
      </c>
      <c r="C59" s="92">
        <f>E50</f>
        <v/>
      </c>
      <c r="D59" s="92">
        <f>B59-C59</f>
        <v/>
      </c>
    </row>
    <row r="60">
      <c r="A60" s="16" t="inlineStr">
        <is>
          <t>Terminal value variance (%)</t>
        </is>
      </c>
      <c r="B60" s="32" t="inlineStr"/>
      <c r="C60" s="32" t="inlineStr"/>
      <c r="D60" s="32">
        <f>(B58-C58)/B58</f>
        <v/>
      </c>
    </row>
    <row r="61">
      <c r="A61" s="26" t="inlineStr">
        <is>
          <t>Implied share price</t>
        </is>
      </c>
      <c r="B61" s="93">
        <f>E43</f>
        <v/>
      </c>
      <c r="C61" s="93">
        <f>E54</f>
        <v/>
      </c>
      <c r="D61" s="93">
        <f>B61-C61</f>
        <v/>
      </c>
    </row>
    <row r="62">
      <c r="A62" s="64" t="inlineStr">
        <is>
          <t>Sanity check: multiples within ±1.5 turns?</t>
        </is>
      </c>
      <c r="B62" s="94">
        <f>IF(ABS(D59)&lt;=1.5,"PASS","REVIEW")</f>
        <v/>
      </c>
      <c r="C62" s="95">
        <f>TEXT(D59,"0.0")&amp;"x spread vs Gordon-implied exit"</f>
        <v/>
      </c>
      <c r="D62" s="25" t="inlineStr">
        <is>
          <t>Selected exit is the Gordon identity, so spread should be 0</t>
        </is>
      </c>
    </row>
    <row r="65">
      <c r="A65" s="84" t="inlineStr">
        <is>
          <t>SENSITIVITY — IMPLIED SHARE PRICE (WACC vs terminal growth)</t>
        </is>
      </c>
      <c r="B65" s="13" t="n"/>
      <c r="C65" s="13" t="n"/>
      <c r="D65" s="13" t="n"/>
      <c r="E65" s="13" t="n"/>
      <c r="F65" s="13" t="n"/>
      <c r="G65" s="13" t="n"/>
      <c r="H65" s="13" t="n"/>
    </row>
    <row r="66" ht="28" customHeight="1">
      <c r="A66" s="96" t="inlineStr">
        <is>
          <t>WACC \ g</t>
        </is>
      </c>
      <c r="B66" s="17" t="inlineStr">
        <is>
          <t>Terminal-g axis 1.5–3.0% brackets 2.25% base; bounded by long-run real GDP and inflation benchmarks.</t>
        </is>
      </c>
      <c r="C66" s="18" t="inlineStr">
        <is>
          <t>FRED: Real GDP (GDPC1)</t>
        </is>
      </c>
      <c r="D66" s="19" t="inlineStr">
        <is>
          <t>Ctrl+F "GDPC1" → bounds terminal-g sensitivity grid 1.5%–3.0%</t>
        </is>
      </c>
      <c r="F66" s="97" t="n">
        <v>0.015</v>
      </c>
      <c r="G66" s="97" t="n">
        <v>0.02</v>
      </c>
      <c r="H66" s="97" t="n">
        <v>0.0225</v>
      </c>
      <c r="I66" s="97" t="n">
        <v>0.025</v>
      </c>
      <c r="J66" s="97" t="n">
        <v>0.03</v>
      </c>
      <c r="L66" s="86" t="inlineStr">
        <is>
          <t>Scenarios: terminal g</t>
        </is>
      </c>
    </row>
    <row r="67" ht="28" customHeight="1">
      <c r="A67" s="97" t="n">
        <v>0.095</v>
      </c>
      <c r="C67" s="86" t="inlineStr">
        <is>
          <t>Damodaran: Historical Implied ERP</t>
        </is>
      </c>
      <c r="D67" s="19" t="inlineStr">
        <is>
          <t>Ctrl+F "4.23%" (2025 implied ERP). Sensitivity WACC axis brackets the 10.5% base.</t>
        </is>
      </c>
      <c r="F67" s="98">
        <f>(NPV(0.095,F22:J22)+(J22*(1+0.015)/(0.095-0.015))/(1+0.095)^5+E37+E38)/E42</f>
        <v/>
      </c>
      <c r="G67" s="98">
        <f>(NPV(0.095,F22:J22)+(J22*(1+0.02)/(0.095-0.02))/(1+0.095)^5+E37+E38)/E42</f>
        <v/>
      </c>
      <c r="H67" s="98">
        <f>(NPV(0.095,F22:J22)+(J22*(1+0.0225)/(0.095-0.0225))/(1+0.095)^5+E37+E38)/E42</f>
        <v/>
      </c>
      <c r="I67" s="98">
        <f>(NPV(0.095,F22:J22)+(J22*(1+0.025)/(0.095-0.025))/(1+0.095)^5+E37+E38)/E42</f>
        <v/>
      </c>
      <c r="J67" s="98">
        <f>(NPV(0.095,F22:J22)+(J22*(1+0.03)/(0.095-0.03))/(1+0.095)^5+E37+E38)/E42</f>
        <v/>
      </c>
      <c r="L67" s="86" t="inlineStr">
        <is>
          <t>WACC tab</t>
        </is>
      </c>
    </row>
    <row r="68" ht="28" customHeight="1">
      <c r="A68" s="97" t="n">
        <v>0.1</v>
      </c>
      <c r="D68" s="19" t="inlineStr">
        <is>
          <t>Ctrl+F "4.23%" (2025 implied ERP). Sensitivity WACC axis brackets the 10.5% base.</t>
        </is>
      </c>
      <c r="F68" s="98">
        <f>(NPV(0.1,F22:J22)+(J22*(1+0.015)/(0.1-0.015))/(1+0.1)^5+E37+E38)/E42</f>
        <v/>
      </c>
      <c r="G68" s="98">
        <f>(NPV(0.1,F22:J22)+(J22*(1+0.02)/(0.1-0.02))/(1+0.1)^5+E37+E38)/E42</f>
        <v/>
      </c>
      <c r="H68" s="98">
        <f>(NPV(0.1,F22:J22)+(J22*(1+0.0225)/(0.1-0.0225))/(1+0.1)^5+E37+E38)/E42</f>
        <v/>
      </c>
      <c r="I68" s="98">
        <f>(NPV(0.1,F22:J22)+(J22*(1+0.025)/(0.1-0.025))/(1+0.1)^5+E37+E38)/E42</f>
        <v/>
      </c>
      <c r="J68" s="98">
        <f>(NPV(0.1,F22:J22)+(J22*(1+0.03)/(0.1-0.03))/(1+0.1)^5+E37+E38)/E42</f>
        <v/>
      </c>
      <c r="L68" s="86" t="inlineStr">
        <is>
          <t>WACC tab</t>
        </is>
      </c>
    </row>
    <row r="69" ht="28" customHeight="1">
      <c r="A69" s="97" t="n">
        <v>0.105</v>
      </c>
      <c r="D69" s="19" t="inlineStr">
        <is>
          <t>Ctrl+F "4.23%" (2025 implied ERP). Sensitivity WACC axis brackets the 10.5% base.</t>
        </is>
      </c>
      <c r="F69" s="98">
        <f>(NPV(0.105,F22:J22)+(J22*(1+0.015)/(0.105-0.015))/(1+0.105)^5+E37+E38)/E42</f>
        <v/>
      </c>
      <c r="G69" s="98">
        <f>(NPV(0.105,F22:J22)+(J22*(1+0.02)/(0.105-0.02))/(1+0.105)^5+E37+E38)/E42</f>
        <v/>
      </c>
      <c r="H69" s="99">
        <f>(NPV(0.105,F22:J22)+(J22*(1+0.0225)/(0.105-0.0225))/(1+0.105)^5+E37+E38)/E42</f>
        <v/>
      </c>
      <c r="I69" s="98">
        <f>(NPV(0.105,F22:J22)+(J22*(1+0.025)/(0.105-0.025))/(1+0.105)^5+E37+E38)/E42</f>
        <v/>
      </c>
      <c r="J69" s="98">
        <f>(NPV(0.105,F22:J22)+(J22*(1+0.03)/(0.105-0.03))/(1+0.105)^5+E37+E38)/E42</f>
        <v/>
      </c>
      <c r="L69" s="86" t="inlineStr">
        <is>
          <t>WACC tab</t>
        </is>
      </c>
    </row>
    <row r="70" ht="28" customHeight="1">
      <c r="A70" s="97" t="n">
        <v>0.11</v>
      </c>
      <c r="D70" s="19" t="inlineStr">
        <is>
          <t>Ctrl+F "4.23%" (2025 implied ERP). Sensitivity WACC axis brackets the 10.5% base.</t>
        </is>
      </c>
      <c r="F70" s="98">
        <f>(NPV(0.11,F22:J22)+(J22*(1+0.015)/(0.11-0.015))/(1+0.11)^5+E37+E38)/E42</f>
        <v/>
      </c>
      <c r="G70" s="98">
        <f>(NPV(0.11,F22:J22)+(J22*(1+0.02)/(0.11-0.02))/(1+0.11)^5+E37+E38)/E42</f>
        <v/>
      </c>
      <c r="H70" s="98">
        <f>(NPV(0.11,F22:J22)+(J22*(1+0.0225)/(0.11-0.0225))/(1+0.11)^5+E37+E38)/E42</f>
        <v/>
      </c>
      <c r="I70" s="98">
        <f>(NPV(0.11,F22:J22)+(J22*(1+0.025)/(0.11-0.025))/(1+0.11)^5+E37+E38)/E42</f>
        <v/>
      </c>
      <c r="J70" s="98">
        <f>(NPV(0.11,F22:J22)+(J22*(1+0.03)/(0.11-0.03))/(1+0.11)^5+E37+E38)/E42</f>
        <v/>
      </c>
      <c r="L70" s="86" t="inlineStr">
        <is>
          <t>WACC tab</t>
        </is>
      </c>
    </row>
    <row r="71" ht="28" customHeight="1">
      <c r="A71" s="97" t="n">
        <v>0.115</v>
      </c>
      <c r="D71" s="19" t="inlineStr">
        <is>
          <t>Ctrl+F "4.23%" (2025 implied ERP). Sensitivity WACC axis brackets the 10.5% base.</t>
        </is>
      </c>
      <c r="F71" s="98">
        <f>(NPV(0.115,F22:J22)+(J22*(1+0.015)/(0.115-0.015))/(1+0.115)^5+E37+E38)/E42</f>
        <v/>
      </c>
      <c r="G71" s="98">
        <f>(NPV(0.115,F22:J22)+(J22*(1+0.02)/(0.115-0.02))/(1+0.115)^5+E37+E38)/E42</f>
        <v/>
      </c>
      <c r="H71" s="98">
        <f>(NPV(0.115,F22:J22)+(J22*(1+0.0225)/(0.115-0.0225))/(1+0.115)^5+E37+E38)/E42</f>
        <v/>
      </c>
      <c r="I71" s="98">
        <f>(NPV(0.115,F22:J22)+(J22*(1+0.025)/(0.115-0.025))/(1+0.115)^5+E37+E38)/E42</f>
        <v/>
      </c>
      <c r="J71" s="98">
        <f>(NPV(0.115,F22:J22)+(J22*(1+0.03)/(0.115-0.03))/(1+0.115)^5+E37+E38)/E42</f>
        <v/>
      </c>
      <c r="L71" s="86" t="inlineStr">
        <is>
          <t>WACC tab</t>
        </is>
      </c>
    </row>
    <row r="72" ht="28" customHeight="1">
      <c r="B72" s="17" t="inlineStr">
        <is>
          <t>Red WACC and g grid values bracket base case ±100bps discount rate and ±75bps terminal growth for sensitivity.</t>
        </is>
      </c>
      <c r="C72" s="18" t="inlineStr">
        <is>
          <t>Scenarios: WACC &amp; terminal g</t>
        </is>
      </c>
      <c r="D72" s="19" t="inlineStr">
        <is>
          <t>Scenarios tab → Ctrl+F "WACC" and "Terminal growth" rows (base-case inputs)</t>
        </is>
      </c>
      <c r="L72" s="86" t="inlineStr">
        <is>
          <t>FRED: Real GDP (GDPC1)</t>
        </is>
      </c>
      <c r="M72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A4" r:id="rId2"/>
    <hyperlink ref="C4" location="'Revenue Drivers'!A1"/>
    <hyperlink xmlns:r="http://schemas.openxmlformats.org/officeDocument/2006/relationships" ref="E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C13" r:id="rId10"/>
    <hyperlink xmlns:r="http://schemas.openxmlformats.org/officeDocument/2006/relationships" ref="C15" r:id="rId11"/>
    <hyperlink xmlns:r="http://schemas.openxmlformats.org/officeDocument/2006/relationships" ref="C17" r:id="rId12"/>
    <hyperlink xmlns:r="http://schemas.openxmlformats.org/officeDocument/2006/relationships" ref="C18" r:id="rId13"/>
    <hyperlink xmlns:r="http://schemas.openxmlformats.org/officeDocument/2006/relationships" ref="C19" r:id="rId14"/>
    <hyperlink xmlns:r="http://schemas.openxmlformats.org/officeDocument/2006/relationships" ref="E19" r:id="rId15"/>
    <hyperlink xmlns:r="http://schemas.openxmlformats.org/officeDocument/2006/relationships" ref="C30" r:id="rId16"/>
    <hyperlink xmlns:r="http://schemas.openxmlformats.org/officeDocument/2006/relationships" ref="C37" r:id="rId17"/>
    <hyperlink xmlns:r="http://schemas.openxmlformats.org/officeDocument/2006/relationships" ref="E37" r:id="rId18"/>
    <hyperlink xmlns:r="http://schemas.openxmlformats.org/officeDocument/2006/relationships" ref="C38" r:id="rId19"/>
    <hyperlink xmlns:r="http://schemas.openxmlformats.org/officeDocument/2006/relationships" ref="E38" r:id="rId20"/>
    <hyperlink xmlns:r="http://schemas.openxmlformats.org/officeDocument/2006/relationships" ref="C42" r:id="rId21"/>
    <hyperlink xmlns:r="http://schemas.openxmlformats.org/officeDocument/2006/relationships" ref="E42" r:id="rId22"/>
    <hyperlink xmlns:r="http://schemas.openxmlformats.org/officeDocument/2006/relationships" ref="C44" r:id="rId23"/>
    <hyperlink xmlns:r="http://schemas.openxmlformats.org/officeDocument/2006/relationships" ref="E44" r:id="rId24"/>
    <hyperlink ref="C50" location="'DCF'!E33"/>
    <hyperlink ref="M50" location="'Comps'!A45"/>
    <hyperlink xmlns:r="http://schemas.openxmlformats.org/officeDocument/2006/relationships" ref="C66" r:id="rId25"/>
    <hyperlink ref="L66" location="'Scenarios'!G10"/>
    <hyperlink xmlns:r="http://schemas.openxmlformats.org/officeDocument/2006/relationships" ref="C67" r:id="rId26"/>
    <hyperlink ref="L67" location="'WACC'!E28"/>
    <hyperlink ref="L68" location="'WACC'!E28"/>
    <hyperlink ref="L69" location="'WACC'!E28"/>
    <hyperlink ref="L70" location="'WACC'!E28"/>
    <hyperlink ref="L71" location="'WACC'!E28"/>
    <hyperlink ref="C72" location="'Scenarios'!G9"/>
    <hyperlink xmlns:r="http://schemas.openxmlformats.org/officeDocument/2006/relationships" ref="L72" r:id="rId2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3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86" t="inlineStr">
        <is>
          <t>10-K</t>
        </is>
      </c>
      <c r="D4" s="19" t="inlineStr">
        <is>
          <t>Ctrl+F "Net revenue" → 11,102,600 ($000) in FY2025 column</t>
        </is>
      </c>
      <c r="E4" s="75" t="n">
        <v>11102600</v>
      </c>
    </row>
    <row r="5">
      <c r="A5" s="16" t="inlineStr">
        <is>
          <t>FY2025A EBITDA (EBIT + D&amp;A)</t>
        </is>
      </c>
      <c r="E5" s="23">
        <f>2210615+496228</f>
        <v/>
      </c>
    </row>
    <row r="6">
      <c r="A6" s="16" t="inlineStr">
        <is>
          <t>FY2030E terminal EBITDA (DCF EBIT + D&amp;A)</t>
        </is>
      </c>
      <c r="C6" s="86" t="inlineStr">
        <is>
          <t>↳ DCF base case</t>
        </is>
      </c>
      <c r="E6" s="23">
        <f>DCF!E31</f>
        <v/>
      </c>
    </row>
    <row r="7" ht="28" customHeight="1">
      <c r="A7" s="16" t="inlineStr">
        <is>
          <t>FY2026E diluted EPS (guidance midpoint)</t>
        </is>
      </c>
      <c r="C7" s="86" t="inlineStr">
        <is>
          <t>Release</t>
        </is>
      </c>
      <c r="D7" s="19" t="inlineStr">
        <is>
          <t>Ctrl+F "$9.48 to $9.73" → FY2026 diluted EPS guidance; model midpoint $9.61</t>
        </is>
      </c>
      <c r="E7" s="88" t="n">
        <v>9.609999999999999</v>
      </c>
    </row>
    <row r="8" ht="28" customHeight="1">
      <c r="A8" s="16" t="inlineStr">
        <is>
          <t>Cash &amp; equivalents</t>
        </is>
      </c>
      <c r="C8" s="86" t="inlineStr">
        <is>
          <t>10-K</t>
        </is>
      </c>
      <c r="D8" s="19" t="inlineStr">
        <is>
          <t>Ctrl+F "Cash and cash equivalents" → 1,807,202 ($000) FY2025</t>
        </is>
      </c>
      <c r="E8" s="75" t="n">
        <v>1807202</v>
      </c>
    </row>
    <row r="9" ht="28" customHeight="1">
      <c r="A9" s="16" t="inlineStr">
        <is>
          <t>Diluted shares (000)</t>
        </is>
      </c>
      <c r="C9" s="86" t="inlineStr">
        <is>
          <t>10-K</t>
        </is>
      </c>
      <c r="D9" s="19" t="inlineStr">
        <is>
          <t>Ctrl+F "Diluted weighted-average number of shares outstanding" → 119,068 (000)</t>
        </is>
      </c>
      <c r="E9" s="75" t="n">
        <v>111380</v>
      </c>
    </row>
    <row r="10" ht="28" customHeight="1">
      <c r="A10" s="16" t="inlineStr">
        <is>
          <t>Current share price</t>
        </is>
      </c>
      <c r="C10" s="86" t="inlineStr">
        <is>
          <t>NASDAQ</t>
        </is>
      </c>
      <c r="D10" s="19" t="inlineStr">
        <is>
          <t>Ctrl+F "LULU" → Last Sale or Previous Close on NASDAQ quote page</t>
        </is>
      </c>
      <c r="E10" s="88" t="n">
        <v>100</v>
      </c>
    </row>
    <row r="11">
      <c r="A11" s="95" t="inlineStr">
        <is>
          <t xml:space="preserve">  memo: current EV / EBITDA</t>
        </is>
      </c>
      <c r="E11" s="100">
        <f>(E10*E9-E8)/E5</f>
        <v/>
      </c>
    </row>
    <row r="12">
      <c r="A12" s="95" t="inlineStr">
        <is>
          <t xml:space="preserve">  memo: current P / E (FY2026E)</t>
        </is>
      </c>
      <c r="E12" s="100">
        <f>E10/E7</f>
        <v/>
      </c>
    </row>
    <row r="14">
      <c r="A14" s="14" t="inlineStr">
        <is>
          <t>EXIT MULTIPLE BUILD — FY2030E TERMINAL YEAR</t>
        </is>
      </c>
    </row>
    <row r="15">
      <c r="A15" s="95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5" t="inlineStr">
        <is>
          <t>EV/EBITDA is a black formula (I/J). UAA is shown but excluded from averages (negative TTM EBITDA).</t>
        </is>
      </c>
    </row>
    <row r="18">
      <c r="A18" s="101" t="inlineStr">
        <is>
          <t>Company</t>
        </is>
      </c>
      <c r="B18" s="101" t="inlineStr">
        <is>
          <t>Justification</t>
        </is>
      </c>
      <c r="C18" s="101" t="inlineStr">
        <is>
          <t>Source</t>
        </is>
      </c>
      <c r="D18" s="101" t="inlineStr">
        <is>
          <t>Ctrl+F / proof</t>
        </is>
      </c>
      <c r="E18" s="102" t="inlineStr">
        <is>
          <t>EV/EBITDA</t>
        </is>
      </c>
      <c r="I18" s="102" t="inlineStr">
        <is>
          <t>EV ($000)</t>
        </is>
      </c>
      <c r="J18" s="102" t="inlineStr">
        <is>
          <t>EBITDA ($000)</t>
        </is>
      </c>
    </row>
    <row r="19" ht="28" customHeight="1">
      <c r="A19" s="16" t="inlineStr">
        <is>
          <t>lululemon (LULU)</t>
        </is>
      </c>
      <c r="B19" s="17" t="inlineStr">
        <is>
          <t>PitchBook Comps Set 04-Sep-2026. Multiple = daily EV / TTM EBITDA. UAA excluded from the mean (negative EBITDA).</t>
        </is>
      </c>
      <c r="C19" s="31" t="inlineStr">
        <is>
          <t>PitchBook Comps Set 04-Sep-2026</t>
        </is>
      </c>
      <c r="D19" s="19" t="inlineStr">
        <is>
          <t>No public HTML. PitchBook Comps Set 04-Sep-2026. Prove daily EV and TTM EBITDA on that screen; E = I/J.</t>
        </is>
      </c>
      <c r="E19" s="103">
        <f>IF(J19&lt;=0,"n.m.",I19/J19)</f>
        <v/>
      </c>
      <c r="I19" s="104" t="n">
        <v>11890440</v>
      </c>
      <c r="J19" s="104" t="n">
        <v>2548084</v>
      </c>
    </row>
    <row r="20" ht="28" customHeight="1">
      <c r="A20" s="16" t="inlineStr">
        <is>
          <t>Under Armour (UAA)</t>
        </is>
      </c>
      <c r="B20" s="17" t="inlineStr">
        <is>
          <t>PitchBook Comps Set 04-Sep-2026. Multiple = daily EV / TTM EBITDA. UAA excluded from the mean (negative EBITDA).</t>
        </is>
      </c>
      <c r="C20" s="31" t="inlineStr">
        <is>
          <t>PitchBook Comps Set 04-Sep-2026</t>
        </is>
      </c>
      <c r="D20" s="19" t="inlineStr">
        <is>
          <t>No public HTML. PitchBook Comps Set 04-Sep-2026. Prove daily EV and TTM EBITDA on that screen; E = I/J.</t>
        </is>
      </c>
      <c r="E20" s="103">
        <f>IF(J20&lt;=0,"n.m.",I20/J20)</f>
        <v/>
      </c>
      <c r="I20" s="104" t="n">
        <v>3208397</v>
      </c>
      <c r="J20" s="104" t="n">
        <v>-23230</v>
      </c>
    </row>
    <row r="21" ht="28" customHeight="1">
      <c r="A21" s="16" t="inlineStr">
        <is>
          <t>adidas (ADS)</t>
        </is>
      </c>
      <c r="B21" s="17" t="inlineStr">
        <is>
          <t>PitchBook Comps Set 04-Sep-2026. Multiple = daily EV / TTM EBITDA. UAA excluded from the mean (negative EBITDA).</t>
        </is>
      </c>
      <c r="C21" s="31" t="inlineStr">
        <is>
          <t>PitchBook Comps Set 04-Sep-2026</t>
        </is>
      </c>
      <c r="D21" s="19" t="inlineStr">
        <is>
          <t>No public HTML. PitchBook Comps Set 04-Sep-2026. Prove daily EV and TTM EBITDA on that screen; E = I/J.</t>
        </is>
      </c>
      <c r="E21" s="103">
        <f>IF(J21&lt;=0,"n.m.",I21/J21)</f>
        <v/>
      </c>
      <c r="I21" s="104" t="n">
        <v>35661944</v>
      </c>
      <c r="J21" s="104" t="n">
        <v>3857684</v>
      </c>
    </row>
    <row r="22" ht="28" customHeight="1">
      <c r="A22" s="16" t="inlineStr">
        <is>
          <t>Nike (NKE)</t>
        </is>
      </c>
      <c r="B22" s="17" t="inlineStr">
        <is>
          <t>PitchBook Comps Set 04-Sep-2026. Multiple = daily EV / TTM EBITDA. UAA excluded from the mean (negative EBITDA).</t>
        </is>
      </c>
      <c r="C22" s="31" t="inlineStr">
        <is>
          <t>PitchBook Comps Set 04-Sep-2026</t>
        </is>
      </c>
      <c r="D22" s="19" t="inlineStr">
        <is>
          <t>No public HTML. PitchBook Comps Set 04-Sep-2026. Prove daily EV and TTM EBITDA on that screen; E = I/J.</t>
        </is>
      </c>
      <c r="E22" s="103">
        <f>IF(J22&lt;=0,"n.m.",I22/J22)</f>
        <v/>
      </c>
      <c r="I22" s="104" t="n">
        <v>58972350</v>
      </c>
      <c r="J22" s="104" t="n">
        <v>4647000</v>
      </c>
    </row>
    <row r="23" ht="28" customHeight="1">
      <c r="A23" s="16" t="inlineStr">
        <is>
          <t>Deckers (DECK)</t>
        </is>
      </c>
      <c r="B23" s="17" t="inlineStr">
        <is>
          <t>PitchBook Comps Set 04-Sep-2026. Multiple = daily EV / TTM EBITDA. UAA excluded from the mean (negative EBITDA).</t>
        </is>
      </c>
      <c r="C23" s="31" t="inlineStr">
        <is>
          <t>PitchBook Comps Set 04-Sep-2026</t>
        </is>
      </c>
      <c r="D23" s="19" t="inlineStr">
        <is>
          <t>No public HTML. PitchBook Comps Set 04-Sep-2026. Prove daily EV and TTM EBITDA on that screen; E = I/J.</t>
        </is>
      </c>
      <c r="E23" s="103">
        <f>IF(J23&lt;=0,"n.m.",I23/J23)</f>
        <v/>
      </c>
      <c r="I23" s="104" t="n">
        <v>10555510</v>
      </c>
      <c r="J23" s="104" t="n">
        <v>1329439</v>
      </c>
    </row>
    <row r="24" ht="28" customHeight="1">
      <c r="A24" s="16" t="inlineStr">
        <is>
          <t>Williams-Sonoma (WSM)</t>
        </is>
      </c>
      <c r="B24" s="17" t="inlineStr">
        <is>
          <t>PitchBook Comps Set 04-Sep-2026. Multiple = daily EV / TTM EBITDA. UAA excluded from the mean (negative EBITDA).</t>
        </is>
      </c>
      <c r="C24" s="31" t="inlineStr">
        <is>
          <t>PitchBook Comps Set 04-Sep-2026</t>
        </is>
      </c>
      <c r="D24" s="19" t="inlineStr">
        <is>
          <t>No public HTML. PitchBook Comps Set 04-Sep-2026. Prove daily EV and TTM EBITDA on that screen; E = I/J.</t>
        </is>
      </c>
      <c r="E24" s="103">
        <f>IF(J24&lt;=0,"n.m.",I24/J24)</f>
        <v/>
      </c>
      <c r="I24" s="104" t="n">
        <v>27284350</v>
      </c>
      <c r="J24" s="104" t="n">
        <v>1768400</v>
      </c>
    </row>
    <row r="25" ht="28" customHeight="1">
      <c r="A25" s="16" t="inlineStr">
        <is>
          <t>Crocs (CROX)</t>
        </is>
      </c>
      <c r="B25" s="17" t="inlineStr">
        <is>
          <t>PitchBook Comps Set 04-Sep-2026. Multiple = daily EV / TTM EBITDA. UAA excluded from the mean (negative EBITDA).</t>
        </is>
      </c>
      <c r="C25" s="31" t="inlineStr">
        <is>
          <t>PitchBook Comps Set 04-Sep-2026</t>
        </is>
      </c>
      <c r="D25" s="19" t="inlineStr">
        <is>
          <t>No public HTML. PitchBook Comps Set 04-Sep-2026. Prove daily EV and TTM EBITDA on that screen; E = I/J.</t>
        </is>
      </c>
      <c r="E25" s="103">
        <f>IF(J25&lt;=0,"n.m.",I25/J25)</f>
        <v/>
      </c>
      <c r="I25" s="104" t="n">
        <v>7153911</v>
      </c>
      <c r="J25" s="104" t="n">
        <v>922278</v>
      </c>
    </row>
    <row r="26" ht="28" customHeight="1">
      <c r="A26" s="16" t="inlineStr">
        <is>
          <t>Movado (MOV)</t>
        </is>
      </c>
      <c r="B26" s="17" t="inlineStr">
        <is>
          <t>PitchBook Comps Set 04-Sep-2026. Multiple = daily EV / TTM EBITDA. UAA excluded from the mean (negative EBITDA).</t>
        </is>
      </c>
      <c r="C26" s="31" t="inlineStr">
        <is>
          <t>PitchBook Comps Set 04-Sep-2026</t>
        </is>
      </c>
      <c r="D26" s="19" t="inlineStr">
        <is>
          <t>No public HTML. PitchBook Comps Set 04-Sep-2026. Prove daily EV and TTM EBITDA on that screen; E = I/J.</t>
        </is>
      </c>
      <c r="E26" s="103">
        <f>IF(J26&lt;=0,"n.m.",I26/J26)</f>
        <v/>
      </c>
      <c r="I26" s="104" t="n">
        <v>616045</v>
      </c>
      <c r="J26" s="104" t="n">
        <v>62010</v>
      </c>
    </row>
    <row r="27" ht="28" customHeight="1">
      <c r="A27" s="16" t="inlineStr">
        <is>
          <t>Levi Strauss (LEVI)</t>
        </is>
      </c>
      <c r="B27" s="17" t="inlineStr">
        <is>
          <t>PitchBook Comps Set 04-Sep-2026. Multiple = daily EV / TTM EBITDA. UAA excluded from the mean (negative EBITDA).</t>
        </is>
      </c>
      <c r="C27" s="31" t="inlineStr">
        <is>
          <t>PitchBook Comps Set 04-Sep-2026</t>
        </is>
      </c>
      <c r="D27" s="19" t="inlineStr">
        <is>
          <t>No public HTML. PitchBook Comps Set 04-Sep-2026. Prove daily EV and TTM EBITDA on that screen; E = I/J.</t>
        </is>
      </c>
      <c r="E27" s="103">
        <f>IF(J27&lt;=0,"n.m.",I27/J27)</f>
        <v/>
      </c>
      <c r="I27" s="104" t="n">
        <v>9422753</v>
      </c>
      <c r="J27" s="104" t="n">
        <v>976700</v>
      </c>
    </row>
    <row r="28" ht="28" customHeight="1">
      <c r="A28" s="16" t="inlineStr">
        <is>
          <t>La-Z-Boy (LZB)</t>
        </is>
      </c>
      <c r="B28" s="17" t="inlineStr">
        <is>
          <t>PitchBook Comps Set 04-Sep-2026. Multiple = daily EV / TTM EBITDA. UAA excluded from the mean (negative EBITDA).</t>
        </is>
      </c>
      <c r="C28" s="31" t="inlineStr">
        <is>
          <t>PitchBook Comps Set 04-Sep-2026</t>
        </is>
      </c>
      <c r="D28" s="19" t="inlineStr">
        <is>
          <t>No public HTML. PitchBook Comps Set 04-Sep-2026. Prove daily EV and TTM EBITDA on that screen; E = I/J.</t>
        </is>
      </c>
      <c r="E28" s="103">
        <f>IF(J28&lt;=0,"n.m.",I28/J28)</f>
        <v/>
      </c>
      <c r="I28" s="104" t="n">
        <v>1598873</v>
      </c>
      <c r="J28" s="104" t="n">
        <v>235723</v>
      </c>
    </row>
    <row r="29" ht="28" customHeight="1">
      <c r="A29" s="16" t="inlineStr">
        <is>
          <t>Kontoor (KTB)</t>
        </is>
      </c>
      <c r="B29" s="17" t="inlineStr">
        <is>
          <t>PitchBook Comps Set 04-Sep-2026. Multiple = daily EV / TTM EBITDA. UAA excluded from the mean (negative EBITDA).</t>
        </is>
      </c>
      <c r="C29" s="31" t="inlineStr">
        <is>
          <t>PitchBook Comps Set 04-Sep-2026</t>
        </is>
      </c>
      <c r="D29" s="19" t="inlineStr">
        <is>
          <t>No public HTML. PitchBook Comps Set 04-Sep-2026. Prove daily EV and TTM EBITDA on that screen; E = I/J.</t>
        </is>
      </c>
      <c r="E29" s="103">
        <f>IF(J29&lt;=0,"n.m.",I29/J29)</f>
        <v/>
      </c>
      <c r="I29" s="104" t="n">
        <v>5236269</v>
      </c>
      <c r="J29" s="104" t="n">
        <v>407521</v>
      </c>
    </row>
    <row r="31">
      <c r="A31" s="14" t="inlineStr">
        <is>
          <t>ALO YOGA BUILD — no source prints EV/EBITDA (Firecrawl: Reuters + Forbes)</t>
        </is>
      </c>
    </row>
    <row r="32">
      <c r="A32" s="25" t="inlineStr">
        <is>
          <t>Column E on the next two rows is $bn, not EV/EBITDA. The black formula is implied EV/Sales on an unclosed ask.</t>
        </is>
      </c>
    </row>
    <row r="33" ht="42" customHeight="1">
      <c r="A33" s="16" t="inlineStr">
        <is>
          <t>Alo / Color Image 2023 Moelis ask ($bn)</t>
        </is>
      </c>
      <c r="B33" s="19" t="inlineStr">
        <is>
          <t>Reuters: about $10 billion Moelis ask for Color Image. 2026 follow-up: no deal announced. Ask, not a print.
Also: Reuters June 2026: no deal was announced on the 2023 process. The $10bn is still an ask.</t>
        </is>
      </c>
      <c r="C33" s="38" t="inlineStr">
        <is>
          <t>Reuters: Alo parent $10bn Moelis ask
Also: Reuters: Alo 2023 process — no deal</t>
        </is>
      </c>
      <c r="D33" s="19" t="inlineStr">
        <is>
          <t>Ctrl+F "at about $10 billion" and "hired investment bank Moelis". That is the 2023 ask, not a closed EV.
Also: Ctrl+F "roughly $10 billion" and "No deal was announced". Still an ask.</t>
        </is>
      </c>
      <c r="E33" s="105" t="n">
        <v>10</v>
      </c>
    </row>
    <row r="34" ht="28" customHeight="1">
      <c r="A34" s="16" t="inlineStr">
        <is>
          <t>Color Image parent sales, Forbes est. ($bn)</t>
        </is>
      </c>
      <c r="B34" s="17" t="inlineStr">
        <is>
          <t>Forbes estimates Color Image parent sales nearly $2 billion. Mixed Alo + Bella+Canvas. Not Alo-only, not audited.</t>
        </is>
      </c>
      <c r="C34" s="18" t="inlineStr">
        <is>
          <t>Forbes: Color Image nearly $2bn sales</t>
        </is>
      </c>
      <c r="D34" s="19" t="inlineStr">
        <is>
          <t>Ctrl+F "nearly $2 billion". Forbes estimate for Color Image parent (Alo + Bella+Canvas), not Alo-only EBITDA.</t>
        </is>
      </c>
      <c r="E34" s="105" t="n">
        <v>2</v>
      </c>
    </row>
    <row r="35" ht="28" customHeight="1">
      <c r="A35" s="64" t="inlineStr">
        <is>
          <t>Alo implied EV/Sales (ask / parent sales)</t>
        </is>
      </c>
      <c r="B35" s="25" t="inlineStr">
        <is>
          <t>5.0x = 10 / 2. Implied EV/Sales on an unclosed ask and parent sales. Not EV/EBITDA. Not the TV.</t>
        </is>
      </c>
      <c r="C35" s="86" t="inlineStr">
        <is>
          <t>Comps: Alo ask / parent sales</t>
        </is>
      </c>
      <c r="D35" s="19" t="inlineStr">
        <is>
          <t>No Ctrl+F for EV/EBITDA — Firecrawl found none on Reuters or Forbes. This cell is E33 / E34 (ask ÷ parent sales). Not the TV.</t>
        </is>
      </c>
      <c r="E35" s="106">
        <f>E33/E34</f>
        <v/>
      </c>
    </row>
    <row r="36" ht="28" customHeight="1">
      <c r="A36" s="16" t="inlineStr">
        <is>
          <t>Alo EV/EBITDA</t>
        </is>
      </c>
      <c r="B36" s="25" t="inlineStr">
        <is>
          <t>No page prints Alo or Color Image EBITDA. PitchBook Alo column is blank. Cannot imply EV/EBITDA.</t>
        </is>
      </c>
      <c r="C36" s="25" t="inlineStr">
        <is>
          <t>None — no EBITDA source</t>
        </is>
      </c>
      <c r="D36" s="19" t="inlineStr">
        <is>
          <t>No Ctrl+F. Reuters, Forbes, and PitchBook do not print Alo EV/EBITDA.</t>
        </is>
      </c>
      <c r="E36" s="107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5" t="inlineStr">
        <is>
          <t>PitchBook core set, UAA out. Current tape — not a 2.25% g FY30 exit.</t>
        </is>
      </c>
      <c r="C39" s="25" t="inlineStr">
        <is>
          <t>Derived: Excel AVERAGE of the seven core prints</t>
        </is>
      </c>
      <c r="D39" s="25" t="inlineStr">
        <is>
          <t>Each E cell is I/J from the PitchBook extract. Do not use as FY30 exit.</t>
        </is>
      </c>
      <c r="E39" s="103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5" t="inlineStr">
        <is>
          <t>Wider PitchBook tape. WSM/MOV/LZB are adjacent retail, not athletic. Not the TV.</t>
        </is>
      </c>
      <c r="C40" s="25" t="inlineStr">
        <is>
          <t>Derived: Excel AVERAGE of every positive-EBITDA row</t>
        </is>
      </c>
      <c r="D40" s="25" t="inlineStr">
        <is>
          <t>UAA omitted because TTM EBITDA is negative. Not the selected FY30 exit.</t>
        </is>
      </c>
      <c r="E40" s="103">
        <f>AVERAGE(E19,E21,E22,E23,E24,E25,E26,E27,E28,E29)</f>
        <v/>
      </c>
    </row>
    <row r="41">
      <c r="A41" s="95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85">
        <f>DCF!E33</f>
        <v/>
      </c>
    </row>
    <row r="45">
      <c r="A45" s="64" t="inlineStr">
        <is>
          <t>Selected exit multiple (base case)</t>
        </is>
      </c>
      <c r="E45" s="92">
        <f>DCF!E50</f>
        <v/>
      </c>
    </row>
    <row r="46">
      <c r="A46" s="16" t="inlineStr">
        <is>
          <t>Spread (selected − Gordon implied)</t>
        </is>
      </c>
      <c r="E46" s="85">
        <f>E45-E44</f>
        <v/>
      </c>
    </row>
    <row r="47">
      <c r="A47" s="64" t="inlineStr">
        <is>
          <t>Rationale for selected exit (Gordon identity, not a peer pick)</t>
        </is>
      </c>
    </row>
    <row r="48">
      <c r="A48" s="39" t="inlineStr">
        <is>
          <t>•  Selected exit = Gordon TV / FY30 EBITDA. Identity: (UFCF/EBITDA)×(1+g)/(WACC−g). Live formula, not a typed 8.0x</t>
        </is>
      </c>
    </row>
    <row r="49">
      <c r="A49" s="39" t="inlineStr">
        <is>
          <t>•  At base WACC 10.5% and g 2.25% that identity is ~6.0x — the stale “Gordon ~7x / pick Deckers 8.0x” overlay is gone</t>
        </is>
      </c>
    </row>
    <row r="50">
      <c r="A50" s="39" t="inlineStr">
        <is>
          <t>•  PitchBook pubcomps (04-Sep-2026) are the current tape: each multiple is daily EV / TTM EBITDA</t>
        </is>
      </c>
    </row>
    <row r="51">
      <c r="A51" s="39" t="inlineStr">
        <is>
          <t>•  That tape is a check, not the exit. A 2.25% g / 15.5% OM year is not today’s NKE/WSM multiple</t>
        </is>
      </c>
    </row>
    <row r="52">
      <c r="A52" s="39" t="inlineStr">
        <is>
          <t>•  Alo has no EV/EBITDA print. Implied 5.0x is EV/Sales (unclosed $10bn ask / ~$2bn parent sales) — not the FY30 exit</t>
        </is>
      </c>
    </row>
    <row r="53">
      <c r="A53" s="39" t="inlineStr">
        <is>
          <t>•  PitchBook LULU is ~4.7x TTM. Gordon 6.0x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01" t="inlineStr">
        <is>
          <t>Method</t>
        </is>
      </c>
      <c r="B56" s="101" t="inlineStr">
        <is>
          <t>Justification</t>
        </is>
      </c>
      <c r="C56" s="101" t="inlineStr">
        <is>
          <t>Source</t>
        </is>
      </c>
      <c r="D56" s="101" t="inlineStr">
        <is>
          <t>Ctrl+F</t>
        </is>
      </c>
      <c r="E56" s="102" t="inlineStr">
        <is>
          <t>Low mult.</t>
        </is>
      </c>
      <c r="F56" s="102" t="inlineStr">
        <is>
          <t>High mult.</t>
        </is>
      </c>
      <c r="G56" s="102" t="inlineStr">
        <is>
          <t>Implied px (low)</t>
        </is>
      </c>
      <c r="H56" s="102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inlineStr">
        <is>
          <t>Lo: 5.0x on FY2030E EBITDA ≈ LULU current trough print. Floor of the range, not the selected exit.
Hi: 8.0x = Deckers print as the high end of the range only. Selected exit is Gordon implied, not this cap.</t>
        </is>
      </c>
      <c r="C57" s="74" t="inlineStr">
        <is>
          <t>Lo: StockAnalysis: LULU EV/EBITDA
Hi: StockAnalysis: DECK EV/EBITDA</t>
        </is>
      </c>
      <c r="D57" s="19" t="inlineStr">
        <is>
          <t>Lo: Ctrl+F "EV / EBITDA" → LULU trough ~5x; football-field floor 5.0x
Hi: Ctrl+F "EV / EBITDA" → 7.95. Football-field cap 8.0x (Deckers). Not the selected exit.</t>
        </is>
      </c>
      <c r="E57" s="108" t="n">
        <v>5</v>
      </c>
      <c r="F57" s="108" t="n">
        <v>8</v>
      </c>
      <c r="G57" s="109">
        <f>(E6*E57+E8)/E9</f>
        <v/>
      </c>
      <c r="H57" s="109">
        <f>(E6*F57+E8)/E9</f>
        <v/>
      </c>
    </row>
    <row r="58" ht="28" customHeight="1">
      <c r="A58" s="64" t="inlineStr">
        <is>
          <t>DCF exit method (Gordon-implied on FY2030E EBITDA)</t>
        </is>
      </c>
      <c r="B58" s="17" t="inlineStr">
        <is>
          <t>Selected exit is Gordon TV / FY30 EBITDA. Identity: (UFCF/EBITDA)×(1+g)/(WACC−g). Not Deckers and not a peer average.</t>
        </is>
      </c>
      <c r="C58" s="18" t="inlineStr">
        <is>
          <t>DCF: Gordon implied exit (TV / FY30 EBITDA)</t>
        </is>
      </c>
      <c r="D58" s="19" t="inlineStr">
        <is>
          <t>No peer Ctrl+F. This cell = Gordon TV / FY30 EBITDA = (UFCF/EBITDA)×(1+g)/(WACC−g). WACC and g are sourced on those rows.</t>
        </is>
      </c>
      <c r="E58" s="106">
        <f>DCF!E50</f>
        <v/>
      </c>
      <c r="G58" s="110">
        <f>(E6*E58+E8)/E9</f>
        <v/>
      </c>
    </row>
    <row r="59" ht="42" customHeight="1">
      <c r="A59" s="16" t="inlineStr">
        <is>
          <t>P / E (FY2026E EPS)</t>
        </is>
      </c>
      <c r="B59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59" s="74" t="inlineStr">
        <is>
          <t>Lo: StockAnalysis: LULU Forward P/E
Hi: StockAnalysis: NKE Forward P/E</t>
        </is>
      </c>
      <c r="D59" s="19" t="inlineStr">
        <is>
          <t>Lo: Ctrl+F "Forward PE" → LULU ~12.3x; low-case multiple assumption 10.0x
Hi: Ctrl+F "Forward PE" → NKE peer benchmark; high-case assumption 18.0x</t>
        </is>
      </c>
      <c r="E59" s="108" t="n">
        <v>10</v>
      </c>
      <c r="F59" s="108" t="n">
        <v>18</v>
      </c>
      <c r="G59" s="109">
        <f>E7*E59</f>
        <v/>
      </c>
      <c r="H59" s="109">
        <f>E7*F59</f>
        <v/>
      </c>
    </row>
    <row r="60">
      <c r="A60" s="16" t="inlineStr">
        <is>
          <t>DCF (bear – bull)</t>
        </is>
      </c>
      <c r="E60" s="111" t="inlineStr">
        <is>
          <t>—</t>
        </is>
      </c>
      <c r="F60" s="111" t="inlineStr">
        <is>
          <t>—</t>
        </is>
      </c>
      <c r="G60" s="109">
        <f>Scenarios!F65</f>
        <v/>
      </c>
      <c r="H60" s="109">
        <f>Scenarios!H65</f>
        <v/>
      </c>
    </row>
    <row r="62" ht="28" customHeight="1">
      <c r="A62" s="112" t="inlineStr">
        <is>
          <t>Current price</t>
        </is>
      </c>
      <c r="C62" s="86" t="inlineStr">
        <is>
          <t>NASDAQ</t>
        </is>
      </c>
      <c r="D62" s="19" t="inlineStr">
        <is>
          <t>Ctrl+F "LULU" → Last Sale or Previous Close on NASDAQ quote page</t>
        </is>
      </c>
      <c r="E62" s="113" t="n">
        <v>100</v>
      </c>
    </row>
    <row r="63">
      <c r="A63" s="25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31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50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2026-09-07T22:16:38Z</dcterms:created>
  <dcterms:modified xmlns:dcterms="http://purl.org/dc/terms/" xmlns:xsi="http://www.w3.org/2001/XMLSchema-instance" xsi:type="dcterms:W3CDTF">2026-09-07T22:16:38Z</dcterms:modified>
</cp:coreProperties>
</file>
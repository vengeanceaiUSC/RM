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pivotButton="0" quotePrefix="0" xfId="0"/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16" customWidth="1" min="3" max="3"/>
    <col width="34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B3" s="43" t="inlineStr">
        <is>
          <t>Justification (~20 words)</t>
        </is>
      </c>
      <c r="C3" s="43" t="inlineStr">
        <is>
          <t>Source (click)</t>
        </is>
      </c>
      <c r="D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Justification</t>
        </is>
      </c>
      <c r="C5" s="46" t="inlineStr">
        <is>
          <t>Source</t>
        </is>
      </c>
      <c r="D5" s="46" t="inlineStr">
        <is>
          <t>Ctrl+F</t>
        </is>
      </c>
      <c r="E5" s="47" t="inlineStr">
        <is>
          <t>FY2025A</t>
        </is>
      </c>
      <c r="F5" s="48" t="inlineStr">
        <is>
          <t>FY2026E</t>
        </is>
      </c>
      <c r="G5" s="47" t="inlineStr">
        <is>
          <t>FY2027E</t>
        </is>
      </c>
      <c r="H5" s="47" t="inlineStr">
        <is>
          <t>FY2028E</t>
        </is>
      </c>
      <c r="I5" s="47" t="inlineStr">
        <is>
          <t>FY2029E</t>
        </is>
      </c>
      <c r="J5" s="47" t="inlineStr">
        <is>
          <t>FY2030E</t>
        </is>
      </c>
      <c r="K5" s="47" t="inlineStr">
        <is>
          <t>Units</t>
        </is>
      </c>
    </row>
    <row r="6">
      <c r="A6" s="34" t="inlineStr">
        <is>
          <t xml:space="preserve">  Americas — beginning stores</t>
        </is>
      </c>
      <c r="E6" s="49" t="n">
        <v>462</v>
      </c>
      <c r="F6" s="35">
        <f>E9</f>
        <v/>
      </c>
      <c r="G6" s="35">
        <f>F9</f>
        <v/>
      </c>
      <c r="H6" s="35">
        <f>G9</f>
        <v/>
      </c>
      <c r="I6" s="35">
        <f>H9</f>
        <v/>
      </c>
      <c r="J6" s="35">
        <f>I9</f>
        <v/>
      </c>
      <c r="K6" s="50" t="inlineStr">
        <is>
          <t>stores</t>
        </is>
      </c>
    </row>
    <row r="7" ht="28" customHeight="1">
      <c r="A7" s="34" t="inlineStr">
        <is>
          <t xml:space="preserve">  Americas — openings</t>
        </is>
      </c>
      <c r="B7" s="17" t="inlineStr">
        <is>
          <t>Store openings skew to China (+20 FY26) vs mature Americas (+8). Anchored to FY25 +44 net stores and 11% sq-ft growth.</t>
        </is>
      </c>
      <c r="C7" s="18" t="inlineStr">
        <is>
          <t>FY2025 10-K: store count &amp; expansion</t>
        </is>
      </c>
      <c r="D7" s="19" t="inlineStr">
        <is>
          <t>Ctrl+F "Total company-operated stores" → 811 (FY25). FY25 added 44 net stores; model skews openings to China.</t>
        </is>
      </c>
      <c r="F7" s="51" t="n">
        <v>8</v>
      </c>
      <c r="G7" s="51" t="n">
        <v>7</v>
      </c>
      <c r="H7" s="51" t="n">
        <v>6</v>
      </c>
      <c r="I7" s="51" t="n">
        <v>5</v>
      </c>
      <c r="J7" s="51" t="n">
        <v>4</v>
      </c>
      <c r="K7" s="50" t="inlineStr">
        <is>
          <t>stores</t>
        </is>
      </c>
    </row>
    <row r="8" ht="28" customHeight="1">
      <c r="A8" s="34" t="inlineStr">
        <is>
          <t xml:space="preserve">  Americas — closures</t>
        </is>
      </c>
      <c r="B8" s="17" t="inlineStr">
        <is>
          <t>Closures assume 2–3 per mature region annually as leases roll; immaterial vs openings in expansion markets.</t>
        </is>
      </c>
      <c r="C8" s="18" t="inlineStr">
        <is>
          <t>FY2025 10-K: lease renewal / fleet</t>
        </is>
      </c>
      <c r="D8" s="19" t="inlineStr">
        <is>
          <t>Ctrl+F "lease" / store fleet — immaterial closures vs expansion; 2–3 per mature region.</t>
        </is>
      </c>
      <c r="F8" s="51" t="n">
        <v>3</v>
      </c>
      <c r="G8" s="51" t="n">
        <v>3</v>
      </c>
      <c r="H8" s="51" t="n">
        <v>2</v>
      </c>
      <c r="I8" s="51" t="n">
        <v>2</v>
      </c>
      <c r="J8" s="51" t="n">
        <v>2</v>
      </c>
      <c r="K8" s="50" t="inlineStr">
        <is>
          <t>stores</t>
        </is>
      </c>
    </row>
    <row r="9" ht="28" customHeight="1">
      <c r="A9" s="52" t="inlineStr">
        <is>
          <t xml:space="preserve">  Americas — ending stores</t>
        </is>
      </c>
      <c r="D9" s="19" t="inlineStr">
        <is>
          <t>Ctrl+F "Americas" → FY2025 ending stores 476.</t>
        </is>
      </c>
      <c r="E9" s="49" t="n">
        <v>476</v>
      </c>
      <c r="F9" s="53">
        <f>F6+F7-F8</f>
        <v/>
      </c>
      <c r="G9" s="53">
        <f>G6+G7-G8</f>
        <v/>
      </c>
      <c r="H9" s="53">
        <f>H6+H7-H8</f>
        <v/>
      </c>
      <c r="I9" s="53">
        <f>I6+I7-I8</f>
        <v/>
      </c>
      <c r="J9" s="53">
        <f>J6+J7-J8</f>
        <v/>
      </c>
      <c r="K9" s="50" t="inlineStr">
        <is>
          <t>stores</t>
        </is>
      </c>
    </row>
    <row r="10">
      <c r="A10" s="34" t="inlineStr">
        <is>
          <t xml:space="preserve">  China Mainland — beginning stores</t>
        </is>
      </c>
      <c r="E10" s="49" t="n">
        <v>151</v>
      </c>
      <c r="F10" s="35">
        <f>E13</f>
        <v/>
      </c>
      <c r="G10" s="35">
        <f>F13</f>
        <v/>
      </c>
      <c r="H10" s="35">
        <f>G13</f>
        <v/>
      </c>
      <c r="I10" s="35">
        <f>H13</f>
        <v/>
      </c>
      <c r="J10" s="35">
        <f>I13</f>
        <v/>
      </c>
      <c r="K10" s="50" t="inlineStr">
        <is>
          <t>stores</t>
        </is>
      </c>
    </row>
    <row r="11" ht="28" customHeight="1">
      <c r="A11" s="34" t="inlineStr">
        <is>
          <t xml:space="preserve">  China Mainland — openings</t>
        </is>
      </c>
      <c r="B11" s="17" t="inlineStr">
        <is>
          <t>Store openings skew to China (+20 FY26) vs mature Americas (+8). Anchored to FY25 +44 net stores and 11% sq-ft growth.</t>
        </is>
      </c>
      <c r="C11" s="18" t="inlineStr">
        <is>
          <t>FY2025 10-K: store count &amp; expansion</t>
        </is>
      </c>
      <c r="D11" s="19" t="inlineStr">
        <is>
          <t>Ctrl+F "Total company-operated stores" → 811 (FY25). FY25 added 44 net stores; model skews openings to China.</t>
        </is>
      </c>
      <c r="F11" s="51" t="n">
        <v>20</v>
      </c>
      <c r="G11" s="51" t="n">
        <v>18</v>
      </c>
      <c r="H11" s="51" t="n">
        <v>16</v>
      </c>
      <c r="I11" s="51" t="n">
        <v>14</v>
      </c>
      <c r="J11" s="51" t="n">
        <v>12</v>
      </c>
      <c r="K11" s="50" t="inlineStr">
        <is>
          <t>stores</t>
        </is>
      </c>
    </row>
    <row r="12" ht="28" customHeight="1">
      <c r="A12" s="34" t="inlineStr">
        <is>
          <t xml:space="preserve">  China Mainland — closures</t>
        </is>
      </c>
      <c r="B12" s="17" t="inlineStr">
        <is>
          <t>Closures assume 2–3 per mature region annually as leases roll; immaterial vs openings in expansion markets.</t>
        </is>
      </c>
      <c r="C12" s="18" t="inlineStr">
        <is>
          <t>FY2025 10-K: lease renewal / fleet</t>
        </is>
      </c>
      <c r="D12" s="19" t="inlineStr">
        <is>
          <t>Ctrl+F "lease" / store fleet — immaterial closures vs expansion; 2–3 per mature region.</t>
        </is>
      </c>
      <c r="F12" s="51" t="n">
        <v>1</v>
      </c>
      <c r="G12" s="51" t="n">
        <v>1</v>
      </c>
      <c r="H12" s="51" t="n">
        <v>1</v>
      </c>
      <c r="I12" s="51" t="n">
        <v>1</v>
      </c>
      <c r="J12" s="51" t="n">
        <v>1</v>
      </c>
      <c r="K12" s="50" t="inlineStr">
        <is>
          <t>stores</t>
        </is>
      </c>
    </row>
    <row r="13" ht="28" customHeight="1">
      <c r="A13" s="52" t="inlineStr">
        <is>
          <t xml:space="preserve">  China Mainland — ending stores</t>
        </is>
      </c>
      <c r="D13" s="19" t="inlineStr">
        <is>
          <t>Ctrl+F "China Mainland" → FY2025 ending stores 172.</t>
        </is>
      </c>
      <c r="E13" s="49" t="n">
        <v>172</v>
      </c>
      <c r="F13" s="53">
        <f>F10+F11-F12</f>
        <v/>
      </c>
      <c r="G13" s="53">
        <f>G10+G11-G12</f>
        <v/>
      </c>
      <c r="H13" s="53">
        <f>H10+H11-H12</f>
        <v/>
      </c>
      <c r="I13" s="53">
        <f>I10+I11-I12</f>
        <v/>
      </c>
      <c r="J13" s="53">
        <f>J10+J11-J12</f>
        <v/>
      </c>
      <c r="K13" s="50" t="inlineStr">
        <is>
          <t>stores</t>
        </is>
      </c>
    </row>
    <row r="14">
      <c r="A14" s="34" t="inlineStr">
        <is>
          <t xml:space="preserve">  Rest of World — beginning stores</t>
        </is>
      </c>
      <c r="E14" s="49" t="n">
        <v>154</v>
      </c>
      <c r="F14" s="35">
        <f>E17</f>
        <v/>
      </c>
      <c r="G14" s="35">
        <f>F17</f>
        <v/>
      </c>
      <c r="H14" s="35">
        <f>G17</f>
        <v/>
      </c>
      <c r="I14" s="35">
        <f>H17</f>
        <v/>
      </c>
      <c r="J14" s="35">
        <f>I17</f>
        <v/>
      </c>
      <c r="K14" s="50" t="inlineStr">
        <is>
          <t>stores</t>
        </is>
      </c>
    </row>
    <row r="15" ht="28" customHeight="1">
      <c r="A15" s="34" t="inlineStr">
        <is>
          <t xml:space="preserve">  Rest of World — openings</t>
        </is>
      </c>
      <c r="B15" s="17" t="inlineStr">
        <is>
          <t>Store openings skew to China (+20 FY26) vs mature Americas (+8). Anchored to FY25 +44 net stores and 11% sq-ft growth.</t>
        </is>
      </c>
      <c r="C15" s="18" t="inlineStr">
        <is>
          <t>FY2025 10-K: store count &amp; expansion</t>
        </is>
      </c>
      <c r="D15" s="19" t="inlineStr">
        <is>
          <t>Ctrl+F "Total company-operated stores" → 811 (FY25). FY25 added 44 net stores; model skews openings to China.</t>
        </is>
      </c>
      <c r="F15" s="51" t="n">
        <v>7</v>
      </c>
      <c r="G15" s="51" t="n">
        <v>6</v>
      </c>
      <c r="H15" s="51" t="n">
        <v>5</v>
      </c>
      <c r="I15" s="51" t="n">
        <v>5</v>
      </c>
      <c r="J15" s="51" t="n">
        <v>4</v>
      </c>
      <c r="K15" s="50" t="inlineStr">
        <is>
          <t>stores</t>
        </is>
      </c>
    </row>
    <row r="16" ht="28" customHeight="1">
      <c r="A16" s="34" t="inlineStr">
        <is>
          <t xml:space="preserve">  Rest of World — closures</t>
        </is>
      </c>
      <c r="B16" s="17" t="inlineStr">
        <is>
          <t>Closures assume 2–3 per mature region annually as leases roll; immaterial vs openings in expansion markets.</t>
        </is>
      </c>
      <c r="C16" s="18" t="inlineStr">
        <is>
          <t>FY2025 10-K: lease renewal / fleet</t>
        </is>
      </c>
      <c r="D16" s="19" t="inlineStr">
        <is>
          <t>Ctrl+F "lease" / store fleet — immaterial closures vs expansion; 2–3 per mature region.</t>
        </is>
      </c>
      <c r="F16" s="51" t="n">
        <v>2</v>
      </c>
      <c r="G16" s="51" t="n">
        <v>2</v>
      </c>
      <c r="H16" s="51" t="n">
        <v>2</v>
      </c>
      <c r="I16" s="51" t="n">
        <v>2</v>
      </c>
      <c r="J16" s="51" t="n">
        <v>2</v>
      </c>
      <c r="K16" s="50" t="inlineStr">
        <is>
          <t>stores</t>
        </is>
      </c>
    </row>
    <row r="17" ht="28" customHeight="1">
      <c r="A17" s="52" t="inlineStr">
        <is>
          <t xml:space="preserve">  Rest of World — ending stores</t>
        </is>
      </c>
      <c r="D17" s="19" t="inlineStr">
        <is>
          <t>Ctrl+F "Rest of World" → FY2025 ending stores 163.</t>
        </is>
      </c>
      <c r="E17" s="49" t="n">
        <v>163</v>
      </c>
      <c r="F17" s="53">
        <f>F14+F15-F16</f>
        <v/>
      </c>
      <c r="G17" s="53">
        <f>G14+G15-G16</f>
        <v/>
      </c>
      <c r="H17" s="53">
        <f>H14+H15-H16</f>
        <v/>
      </c>
      <c r="I17" s="53">
        <f>I14+I15-I16</f>
        <v/>
      </c>
      <c r="J17" s="53">
        <f>J14+J15-J16</f>
        <v/>
      </c>
      <c r="K17" s="50" t="inlineStr">
        <is>
          <t>stores</t>
        </is>
      </c>
    </row>
    <row r="18">
      <c r="A18" s="52" t="inlineStr">
        <is>
          <t>Total ending stores</t>
        </is>
      </c>
      <c r="E18" s="54" t="n">
        <v>811</v>
      </c>
      <c r="F18" s="53">
        <f>F9+F13+F17</f>
        <v/>
      </c>
      <c r="G18" s="53">
        <f>G9+G13+G17</f>
        <v/>
      </c>
      <c r="H18" s="53">
        <f>H9+H13+H17</f>
        <v/>
      </c>
      <c r="I18" s="53">
        <f>I9+I13+I17</f>
        <v/>
      </c>
      <c r="J18" s="53">
        <f>J9+J13+J17</f>
        <v/>
      </c>
    </row>
    <row r="19" ht="28" customHeight="1">
      <c r="A19" s="34" t="inlineStr">
        <is>
          <t>Avg square feet per store</t>
        </is>
      </c>
      <c r="B19" s="17" t="inlineStr">
        <is>
          <t>4,367 avg sq ft/store = implied FY25 total sq ft / 811 stores. Modest expansion to 4,500 by FY30.</t>
        </is>
      </c>
      <c r="C19" s="18" t="inlineStr">
        <is>
          <t>FY2025 10-K: sales per square foot</t>
        </is>
      </c>
      <c r="D19" s="19" t="inlineStr">
        <is>
          <t>Ctrl+F "sales per square foot were $1,426" → implied 3.54M sq ft / 811 stores ≈ 4,367 sq ft.</t>
        </is>
      </c>
      <c r="E19" s="51" t="n">
        <v>4366</v>
      </c>
      <c r="F19" s="51" t="n">
        <v>4400</v>
      </c>
      <c r="G19" s="51" t="n">
        <v>4425</v>
      </c>
      <c r="H19" s="51" t="n">
        <v>4450</v>
      </c>
      <c r="I19" s="51" t="n">
        <v>4475</v>
      </c>
      <c r="J19" s="51" t="n">
        <v>4500</v>
      </c>
      <c r="K19" s="50" t="inlineStr">
        <is>
          <t>sq ft</t>
        </is>
      </c>
    </row>
    <row r="20">
      <c r="A20" s="34" t="inlineStr">
        <is>
          <t>Total square footage (end stores × avg sq ft)</t>
        </is>
      </c>
      <c r="E20" s="35">
        <f>E18*E19</f>
        <v/>
      </c>
      <c r="F20" s="35">
        <f>F18*F19</f>
        <v/>
      </c>
      <c r="G20" s="35">
        <f>G18*G19</f>
        <v/>
      </c>
      <c r="H20" s="35">
        <f>H18*H19</f>
        <v/>
      </c>
      <c r="I20" s="35">
        <f>I18*I19</f>
        <v/>
      </c>
      <c r="J20" s="35">
        <f>J18*J19</f>
        <v/>
      </c>
      <c r="K20" s="50" t="inlineStr">
        <is>
          <t>sq ft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Justification</t>
        </is>
      </c>
      <c r="C23" s="46" t="inlineStr">
        <is>
          <t>Source</t>
        </is>
      </c>
      <c r="D23" s="46" t="inlineStr">
        <is>
          <t>Ctrl+F</t>
        </is>
      </c>
      <c r="E23" s="47" t="inlineStr">
        <is>
          <t>FY2025A</t>
        </is>
      </c>
      <c r="F23" s="48" t="inlineStr">
        <is>
          <t>FY2026E</t>
        </is>
      </c>
      <c r="G23" s="47" t="inlineStr">
        <is>
          <t>FY2027E</t>
        </is>
      </c>
      <c r="H23" s="47" t="inlineStr">
        <is>
          <t>FY2028E</t>
        </is>
      </c>
      <c r="I23" s="47" t="inlineStr">
        <is>
          <t>FY2029E</t>
        </is>
      </c>
      <c r="J23" s="47" t="inlineStr">
        <is>
          <t>FY2030E</t>
        </is>
      </c>
      <c r="K23" s="47" t="inlineStr">
        <is>
          <t>Units</t>
        </is>
      </c>
    </row>
    <row r="24" ht="28" customHeight="1">
      <c r="A24" s="34" t="inlineStr">
        <is>
          <t>Sales per square foot ($)</t>
        </is>
      </c>
      <c r="B24" s="17" t="inlineStr">
        <is>
          <t>FY26 SPSF $1,380 reflects Americas traffic/conversion pressure; recovers toward $1,440 by FY30.</t>
        </is>
      </c>
      <c r="C24" s="18" t="inlineStr">
        <is>
          <t>FY2025 10-K: comparable sales &amp; SPSF</t>
        </is>
      </c>
      <c r="D24" s="19" t="inlineStr">
        <is>
          <t>Ctrl+F "sales per square foot were $1,426" → FY25 reported $1,426; FY26 model $1,380 on traffic pressure.</t>
        </is>
      </c>
      <c r="E24" s="51" t="n">
        <v>1426</v>
      </c>
      <c r="F24" s="51" t="n">
        <v>1360</v>
      </c>
      <c r="G24" s="51" t="n">
        <v>1380</v>
      </c>
      <c r="H24" s="51" t="n">
        <v>1400</v>
      </c>
      <c r="I24" s="51" t="n">
        <v>1420</v>
      </c>
      <c r="J24" s="51" t="n">
        <v>1440</v>
      </c>
      <c r="K24" s="50" t="inlineStr">
        <is>
          <t>$/sq ft</t>
        </is>
      </c>
    </row>
    <row r="25" ht="28" customHeight="1">
      <c r="A25" s="34" t="inlineStr">
        <is>
          <t xml:space="preserve">  Americas — comparable sales growth</t>
        </is>
      </c>
      <c r="B25" s="17" t="inlineStr">
        <is>
          <t>FY25 Americas comp −3% per 10-K (traffic, conversion, AOV down). FY26 −4%: modest step-down before flat FY27 as promo clears.</t>
        </is>
      </c>
      <c r="C25" s="18" t="inlineStr">
        <is>
          <t>FY2025 10-K: Americas comparable sales</t>
        </is>
      </c>
      <c r="D25" s="19" t="inlineStr">
        <is>
          <t>Ctrl+F "Americas comparable sales decreased 3%" → FY25 anchor. FY26 model −4% before stabilization.</t>
        </is>
      </c>
      <c r="E25" s="55" t="n">
        <v>-0.03</v>
      </c>
      <c r="F25" s="55" t="n">
        <v>-0.04</v>
      </c>
      <c r="G25" s="55" t="n">
        <v>0</v>
      </c>
      <c r="H25" s="55" t="n">
        <v>0.01</v>
      </c>
      <c r="I25" s="55" t="n">
        <v>0.02</v>
      </c>
      <c r="J25" s="55" t="n">
        <v>0.02</v>
      </c>
      <c r="K25" s="50" t="inlineStr">
        <is>
          <t>%</t>
        </is>
      </c>
    </row>
    <row r="26" ht="28" customHeight="1">
      <c r="A26" s="34" t="inlineStr">
        <is>
          <t xml:space="preserve">  China Mainland — comparable sales growth</t>
        </is>
      </c>
      <c r="B26" s="17" t="inlineStr">
        <is>
          <t>FY25 China comp +20% (+19% CCY) per 10-K. FY26 +14%: still fastest region but moderating as the store base scales.</t>
        </is>
      </c>
      <c r="C26" s="18" t="inlineStr">
        <is>
          <t>FY2025 10-K: China Mainland comparable sales</t>
        </is>
      </c>
      <c r="D26" s="19" t="inlineStr">
        <is>
          <t>Ctrl+F "China Mainland comparable sales increased 20%" → FY25 anchor. FY26 model +14% on a larger base.</t>
        </is>
      </c>
      <c r="E26" s="55" t="n">
        <v>0.2</v>
      </c>
      <c r="F26" s="55" t="n">
        <v>0.14</v>
      </c>
      <c r="G26" s="55" t="n">
        <v>0.12</v>
      </c>
      <c r="H26" s="55" t="n">
        <v>0.1</v>
      </c>
      <c r="I26" s="55" t="n">
        <v>0.08</v>
      </c>
      <c r="J26" s="55" t="n">
        <v>0.07000000000000001</v>
      </c>
      <c r="K26" s="50" t="inlineStr">
        <is>
          <t>%</t>
        </is>
      </c>
    </row>
    <row r="27" ht="28" customHeight="1">
      <c r="A27" s="34" t="inlineStr">
        <is>
          <t xml:space="preserve">  Rest of World — comparable sales growth</t>
        </is>
      </c>
      <c r="B27" s="17" t="inlineStr">
        <is>
          <t>FY25 RoW comp +9% (+7% CCY) per 10-K. FY26 +7%: hold above CCY, fade to +4% by FY30 as APAC/Europe base matures.</t>
        </is>
      </c>
      <c r="C27" s="18" t="inlineStr">
        <is>
          <t>FY2025 10-K: Rest of World comparable sales</t>
        </is>
      </c>
      <c r="D27" s="19" t="inlineStr">
        <is>
          <t>Ctrl+F "Rest of World comparable sales increased 9%" → FY25 +9% (+7% CCY). FY26 model +7%, fading to +4%.</t>
        </is>
      </c>
      <c r="E27" s="55" t="n">
        <v>0.09</v>
      </c>
      <c r="F27" s="55" t="n">
        <v>0.07000000000000001</v>
      </c>
      <c r="G27" s="55" t="n">
        <v>0.06</v>
      </c>
      <c r="H27" s="55" t="n">
        <v>0.05</v>
      </c>
      <c r="I27" s="55" t="n">
        <v>0.04</v>
      </c>
      <c r="J27" s="55" t="n">
        <v>0.04</v>
      </c>
      <c r="K27" s="50" t="inlineStr">
        <is>
          <t>%</t>
        </is>
      </c>
    </row>
    <row r="28">
      <c r="A28" s="34" t="inlineStr">
        <is>
          <t>Prior-year store channel revenue ($000)</t>
        </is>
      </c>
      <c r="E28" s="56" t="n">
        <v>5049744</v>
      </c>
      <c r="F28" s="35">
        <f>E31</f>
        <v/>
      </c>
      <c r="G28" s="35">
        <f>F31</f>
        <v/>
      </c>
      <c r="H28" s="35">
        <f>G31</f>
        <v/>
      </c>
      <c r="I28" s="35">
        <f>H31</f>
        <v/>
      </c>
      <c r="J28" s="35">
        <f>I31</f>
        <v/>
      </c>
      <c r="K28" s="50" t="inlineStr">
        <is>
          <t>$000</t>
        </is>
      </c>
    </row>
    <row r="29">
      <c r="A29" s="34" t="inlineStr">
        <is>
          <t>Comparable store revenue ($000)</t>
        </is>
      </c>
      <c r="E29" s="49" t="n">
        <v>5049744</v>
      </c>
      <c r="F29" s="35">
        <f>E28*0.71*(1+F25)+E28*0.16*(1+F26)+E28*0.13*(1+F27)</f>
        <v/>
      </c>
      <c r="G29" s="35">
        <f>F28*0.71*(1+G25)+F28*0.16*(1+G26)+F28*0.13*(1+G27)</f>
        <v/>
      </c>
      <c r="H29" s="35">
        <f>G28*0.71*(1+H25)+G28*0.16*(1+H26)+G28*0.13*(1+H27)</f>
        <v/>
      </c>
      <c r="I29" s="35">
        <f>H28*0.71*(1+I25)+H28*0.16*(1+I26)+H28*0.13*(1+I27)</f>
        <v/>
      </c>
      <c r="J29" s="35">
        <f>I28*0.71*(1+J25)+I28*0.16*(1+J26)+I28*0.13*(1+J27)</f>
        <v/>
      </c>
    </row>
    <row r="30" ht="28" customHeight="1">
      <c r="A30" s="34" t="inlineStr">
        <is>
          <t>Net new store revenue contribution ($000)</t>
        </is>
      </c>
      <c r="B30" s="17" t="inlineStr">
        <is>
          <t>New-store contribution = net openings × sq ft × SPSF × 55% first-year ramp (standard retail maturity).</t>
        </is>
      </c>
      <c r="C30" s="57" t="inlineStr">
        <is>
          <t>Revenue Drivers tab: formula</t>
        </is>
      </c>
      <c r="D30" s="19" t="inlineStr">
        <is>
          <t>Formula: net openings × sq ft × SPSF / 1000 × 55% ramp. Not a sourced print.</t>
        </is>
      </c>
      <c r="E30" s="35" t="n">
        <v>0</v>
      </c>
      <c r="F30" s="35">
        <f>(F7-F8+F11-F12+F15-F16)*F19*F24/1000*0.55</f>
        <v/>
      </c>
      <c r="G30" s="35">
        <f>(G7-G8+G11-G12+G15-G16)*G19*G24/1000*0.55</f>
        <v/>
      </c>
      <c r="H30" s="35">
        <f>(H7-H8+H11-H12+H15-H16)*H19*H24/1000*0.55</f>
        <v/>
      </c>
      <c r="I30" s="35">
        <f>(I7-I8+I11-I12+I15-I16)*I19*I24/1000*0.55</f>
        <v/>
      </c>
      <c r="J30" s="35">
        <f>(J7-J8+J11-J12+J15-J16)*J19*J24/1000*0.55</f>
        <v/>
      </c>
    </row>
    <row r="31">
      <c r="A31" s="52" t="inlineStr">
        <is>
          <t>Store channel revenue ($000)</t>
        </is>
      </c>
      <c r="E31" s="54" t="n">
        <v>5049744</v>
      </c>
      <c r="F31" s="53">
        <f>F29+F30</f>
        <v/>
      </c>
      <c r="G31" s="53">
        <f>G29+G30</f>
        <v/>
      </c>
      <c r="H31" s="53">
        <f>H29+H30</f>
        <v/>
      </c>
      <c r="I31" s="53">
        <f>I29+I30</f>
        <v/>
      </c>
      <c r="J31" s="53">
        <f>J29+J30</f>
        <v/>
      </c>
    </row>
    <row r="32" ht="28" customHeight="1">
      <c r="A32" s="34" t="inlineStr">
        <is>
          <t xml:space="preserve">  memo: fleet traffic (millions of visits)</t>
        </is>
      </c>
      <c r="B32" s="17" t="inlineStr">
        <is>
          <t>Fleet traffic memo line — not a separate FCF item. Calibrated to FY25 store productivity commentary.</t>
        </is>
      </c>
      <c r="C32" s="18" t="inlineStr">
        <is>
          <t>FY2025 10-K: store traffic commentary</t>
        </is>
      </c>
      <c r="D32" s="19" t="inlineStr">
        <is>
          <t>Ctrl+F "store traffic" → lower traffic in Americas; memo line only.</t>
        </is>
      </c>
      <c r="E32" s="58" t="n">
        <v>42.5</v>
      </c>
      <c r="F32" s="58" t="n">
        <v>40</v>
      </c>
      <c r="G32" s="58" t="n">
        <v>41</v>
      </c>
      <c r="H32" s="58" t="n">
        <v>42</v>
      </c>
      <c r="I32" s="58" t="n">
        <v>43</v>
      </c>
      <c r="J32" s="58" t="n">
        <v>44</v>
      </c>
      <c r="K32" s="50" t="inlineStr">
        <is>
          <t>M visits</t>
        </is>
      </c>
    </row>
    <row r="33" ht="28" customHeight="1">
      <c r="A33" s="34" t="inlineStr">
        <is>
          <t xml:space="preserve">  memo: in-store conversion rate</t>
        </is>
      </c>
      <c r="B33" s="17" t="inlineStr">
        <is>
          <t>In-store conversion memo — 10-K cites lower conversion in Americas; FY26 27% improving to 29%.</t>
        </is>
      </c>
      <c r="C33" s="18" t="inlineStr">
        <is>
          <t>FY2025 10-K: conversion rate commentary</t>
        </is>
      </c>
      <c r="D33" s="19" t="inlineStr">
        <is>
          <t>Ctrl+F "conversion rates" → lower in Americas; in-store memo 27%→29%.</t>
        </is>
      </c>
      <c r="E33" s="55" t="n">
        <v>0.28</v>
      </c>
      <c r="F33" s="55" t="n">
        <v>0.27</v>
      </c>
      <c r="G33" s="55" t="n">
        <v>0.275</v>
      </c>
      <c r="H33" s="55" t="n">
        <v>0.28</v>
      </c>
      <c r="I33" s="55" t="n">
        <v>0.285</v>
      </c>
      <c r="J33" s="55" t="n">
        <v>0.29</v>
      </c>
    </row>
    <row r="34" ht="28" customHeight="1">
      <c r="A34" s="34" t="inlineStr">
        <is>
          <t xml:space="preserve">  memo: in-store average transaction ($)</t>
        </is>
      </c>
      <c r="B34" s="17" t="inlineStr">
        <is>
          <t>In-store average transaction $115–$122; supports SPSF and comp-sales bridge on the driver tab.</t>
        </is>
      </c>
      <c r="C34" s="18" t="inlineStr">
        <is>
          <t>FY2025 10-K: average order value commentary</t>
        </is>
      </c>
      <c r="D34" s="19" t="inlineStr">
        <is>
          <t>Ctrl+F "average order value" → lower AOV in Americas; memo $115–$122.</t>
        </is>
      </c>
      <c r="E34" s="59" t="n">
        <v>118</v>
      </c>
      <c r="F34" s="59" t="n">
        <v>115</v>
      </c>
      <c r="G34" s="59" t="n">
        <v>116</v>
      </c>
      <c r="H34" s="59" t="n">
        <v>118</v>
      </c>
      <c r="I34" s="59" t="n">
        <v>120</v>
      </c>
      <c r="J34" s="59" t="n">
        <v>122</v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Justification</t>
        </is>
      </c>
      <c r="C37" s="46" t="inlineStr">
        <is>
          <t>Source</t>
        </is>
      </c>
      <c r="D37" s="46" t="inlineStr">
        <is>
          <t>Ctrl+F</t>
        </is>
      </c>
      <c r="E37" s="47" t="inlineStr">
        <is>
          <t>FY2025A</t>
        </is>
      </c>
      <c r="F37" s="48" t="inlineStr">
        <is>
          <t>FY2026E</t>
        </is>
      </c>
      <c r="G37" s="47" t="inlineStr">
        <is>
          <t>FY2027E</t>
        </is>
      </c>
      <c r="H37" s="47" t="inlineStr">
        <is>
          <t>FY2028E</t>
        </is>
      </c>
      <c r="I37" s="47" t="inlineStr">
        <is>
          <t>FY2029E</t>
        </is>
      </c>
      <c r="J37" s="47" t="inlineStr">
        <is>
          <t>FY2030E</t>
        </is>
      </c>
      <c r="K37" s="47" t="inlineStr">
        <is>
          <t>Units</t>
        </is>
      </c>
    </row>
    <row r="38" ht="28" customHeight="1">
      <c r="A38" s="34" t="inlineStr">
        <is>
          <t>Unique digital sessions (millions)</t>
        </is>
      </c>
      <c r="B38" s="17" t="inlineStr">
        <is>
          <t>485M FY25 sessions implied from reported e-comm revenue / conv / AOV. FY26 −3% on Americas softness.</t>
        </is>
      </c>
      <c r="C38" s="18" t="inlineStr">
        <is>
          <t>FY2025 10-K: e-commerce revenue</t>
        </is>
      </c>
      <c r="D38" s="19" t="inlineStr">
        <is>
          <t>Ctrl+F "E-commerce" → 4,918,697 ($000). Sessions implied from revenue / conv / AOV.</t>
        </is>
      </c>
      <c r="E38" s="51" t="n">
        <v>485</v>
      </c>
      <c r="F38" s="51" t="n">
        <v>485</v>
      </c>
      <c r="G38" s="51" t="n">
        <v>505</v>
      </c>
      <c r="H38" s="51" t="n">
        <v>525</v>
      </c>
      <c r="I38" s="51" t="n">
        <v>545</v>
      </c>
      <c r="J38" s="51" t="n">
        <v>560</v>
      </c>
      <c r="K38" s="50" t="inlineStr">
        <is>
          <t>M</t>
        </is>
      </c>
    </row>
    <row r="39" ht="28" customHeight="1">
      <c r="A39" s="34" t="inlineStr">
        <is>
          <t>Digital conversion rate</t>
        </is>
      </c>
      <c r="B39" s="17" t="inlineStr">
        <is>
          <t>3.3% FY26 digital conversion vs 3.5% pressure cited in 10-K Americas; gradual recovery to 3.6%.</t>
        </is>
      </c>
      <c r="C39" s="18" t="inlineStr">
        <is>
          <t>FY2025 10-K: digital / traffic commentary</t>
        </is>
      </c>
      <c r="D39" s="19" t="inlineStr">
        <is>
          <t>Ctrl+F "lower conversion rates" (Americas MD&amp;A). FY26 model 3.3% digital conversion.</t>
        </is>
      </c>
      <c r="E39" s="55" t="n">
        <v>0.033</v>
      </c>
      <c r="F39" s="55" t="n">
        <v>0.033</v>
      </c>
      <c r="G39" s="55" t="n">
        <v>0.034</v>
      </c>
      <c r="H39" s="55" t="n">
        <v>0.035</v>
      </c>
      <c r="I39" s="55" t="n">
        <v>0.035</v>
      </c>
      <c r="J39" s="55" t="n">
        <v>0.036</v>
      </c>
    </row>
    <row r="40" ht="28" customHeight="1">
      <c r="A40" s="34" t="inlineStr">
        <is>
          <t>Digital average order value ($)</t>
        </is>
      </c>
      <c r="B40" s="17" t="inlineStr">
        <is>
          <t>AOV $305 FY26 on promo intensity; steps to $315 by FY30 as mix normalizes.</t>
        </is>
      </c>
      <c r="C40" s="18" t="inlineStr">
        <is>
          <t>FY2025 10-K: e-commerce revenue</t>
        </is>
      </c>
      <c r="D40" s="19" t="inlineStr">
        <is>
          <t>Ctrl+F "average order value" (Americas MD&amp;A). FY26 model $305 AOV.</t>
        </is>
      </c>
      <c r="E40" s="59" t="n">
        <v>307</v>
      </c>
      <c r="F40" s="59" t="n">
        <v>305</v>
      </c>
      <c r="G40" s="59" t="n">
        <v>308</v>
      </c>
      <c r="H40" s="59" t="n">
        <v>310</v>
      </c>
      <c r="I40" s="59" t="n">
        <v>312</v>
      </c>
      <c r="J40" s="59" t="n">
        <v>315</v>
      </c>
    </row>
    <row r="41" ht="28" customHeight="1">
      <c r="A41" s="52" t="inlineStr">
        <is>
          <t>E-commerce revenue ($000)</t>
        </is>
      </c>
      <c r="D41" s="19" t="inlineStr">
        <is>
          <t>Ctrl+F "E-commerce" → 4,918,697 ($000 FY2025). Forward = sessions × conversion × AOV.</t>
        </is>
      </c>
      <c r="E41" s="54" t="n">
        <v>4918697</v>
      </c>
      <c r="F41" s="53">
        <f>F38*1000000*F39*F40/1000</f>
        <v/>
      </c>
      <c r="G41" s="53">
        <f>G38*1000000*G39*G40/1000</f>
        <v/>
      </c>
      <c r="H41" s="53">
        <f>H38*1000000*H39*H40/1000</f>
        <v/>
      </c>
      <c r="I41" s="53">
        <f>I38*1000000*I39*I40/1000</f>
        <v/>
      </c>
      <c r="J41" s="53">
        <f>J38*1000000*J39*J40/1000</f>
        <v/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Justification</t>
        </is>
      </c>
      <c r="C44" s="46" t="inlineStr">
        <is>
          <t>Source</t>
        </is>
      </c>
      <c r="D44" s="46" t="inlineStr">
        <is>
          <t>Ctrl+F</t>
        </is>
      </c>
      <c r="E44" s="47" t="inlineStr">
        <is>
          <t>FY2025A</t>
        </is>
      </c>
      <c r="F44" s="48" t="inlineStr">
        <is>
          <t>FY2026E</t>
        </is>
      </c>
      <c r="G44" s="47" t="inlineStr">
        <is>
          <t>FY2027E</t>
        </is>
      </c>
      <c r="H44" s="47" t="inlineStr">
        <is>
          <t>FY2028E</t>
        </is>
      </c>
      <c r="I44" s="47" t="inlineStr">
        <is>
          <t>FY2029E</t>
        </is>
      </c>
      <c r="J44" s="47" t="inlineStr">
        <is>
          <t>FY2030E</t>
        </is>
      </c>
      <c r="K44" s="47" t="inlineStr">
        <is>
          <t>Units</t>
        </is>
      </c>
    </row>
    <row r="45" ht="28" customHeight="1">
      <c r="A45" s="34" t="inlineStr">
        <is>
          <t>Other channels (wholesale / license / outlets) ($000)</t>
        </is>
      </c>
      <c r="B45" s="17" t="inlineStr">
        <is>
          <t>Other channels (wholesale/license/outlets) held at FY25 $1.13B base; low-single-digit growth thereafter.</t>
        </is>
      </c>
      <c r="C45" s="18" t="inlineStr">
        <is>
          <t>FY2025 10-K: channel revenue table</t>
        </is>
      </c>
      <c r="D45" s="19" t="inlineStr">
        <is>
          <t>Ctrl+F "Company-operated stores" and "E-commerce" → residual other channels ≈ $1.13B.</t>
        </is>
      </c>
      <c r="E45" s="56" t="n">
        <v>1134159</v>
      </c>
      <c r="F45" s="35">
        <f>E45*(1+-0.02)</f>
        <v/>
      </c>
      <c r="G45" s="35">
        <f>F45*(1+0.0)</f>
        <v/>
      </c>
      <c r="H45" s="35">
        <f>G45*(1+0.02)</f>
        <v/>
      </c>
      <c r="I45" s="35">
        <f>H45*(1+0.02)</f>
        <v/>
      </c>
      <c r="J45" s="35">
        <f>I45*(1+0.02)</f>
        <v/>
      </c>
      <c r="K45" s="50" t="inlineStr">
        <is>
          <t>$000</t>
        </is>
      </c>
    </row>
    <row r="46" ht="28" customHeight="1">
      <c r="A46" s="34" t="inlineStr">
        <is>
          <t xml:space="preserve">  Americas net revenue ($000)</t>
        </is>
      </c>
      <c r="B46" s="17" t="inlineStr">
        <is>
          <t>Geographic split scales with consolidated growth; FY25 Americas 70.7% of revenue per 10-K segment table.</t>
        </is>
      </c>
      <c r="C46" s="18" t="inlineStr">
        <is>
          <t>FY2025 10-K: segmented net revenue</t>
        </is>
      </c>
      <c r="D46" s="19" t="inlineStr">
        <is>
          <t>Ctrl+F "Americas" segment table → $7,847,044 net revenue (70.7%).</t>
        </is>
      </c>
      <c r="E46" s="56" t="n">
        <v>7847044</v>
      </c>
      <c r="F46" s="35">
        <f>E46*(F31+F41+F45)/(E31+E41+E45)</f>
        <v/>
      </c>
      <c r="G46" s="35">
        <f>E46*(G31+G41+G45)/(E31+E41+E45)</f>
        <v/>
      </c>
      <c r="H46" s="35">
        <f>E46*(H31+H41+H45)/(E31+E41+E45)</f>
        <v/>
      </c>
      <c r="I46" s="35">
        <f>E46*(I31+I41+I45)/(E31+E41+E45)</f>
        <v/>
      </c>
      <c r="J46" s="35">
        <f>E46*(J31+J41+J45)/(E31+E41+E45)</f>
        <v/>
      </c>
      <c r="K46" s="50" t="inlineStr">
        <is>
          <t>$000</t>
        </is>
      </c>
    </row>
    <row r="47" ht="28" customHeight="1">
      <c r="A47" s="34" t="inlineStr">
        <is>
          <t xml:space="preserve">  China Mainland net revenue ($000)</t>
        </is>
      </c>
      <c r="B47" s="17" t="inlineStr">
        <is>
          <t>China 15.8% of FY25 revenue; fastest comp and store growth — expansion market in the driver schedule.</t>
        </is>
      </c>
      <c r="C47" s="18" t="inlineStr">
        <is>
          <t>FY2025 10-K: segmented net revenue</t>
        </is>
      </c>
      <c r="D47" s="19" t="inlineStr">
        <is>
          <t>Ctrl+F "China Mainland" segment → $1,754,799 net revenue (15.8%).</t>
        </is>
      </c>
      <c r="E47" s="56" t="n">
        <v>1754799</v>
      </c>
      <c r="F47" s="35">
        <f>E47*(F31+F41+F45)/(E31+E41+E45)</f>
        <v/>
      </c>
      <c r="G47" s="35">
        <f>E47*(G31+G41+G45)/(E31+E41+E45)</f>
        <v/>
      </c>
      <c r="H47" s="35">
        <f>E47*(H31+H41+H45)/(E31+E41+E45)</f>
        <v/>
      </c>
      <c r="I47" s="35">
        <f>E47*(I31+I41+I45)/(E31+E41+E45)</f>
        <v/>
      </c>
      <c r="J47" s="35">
        <f>E47*(J31+J41+J45)/(E31+E41+E45)</f>
        <v/>
      </c>
      <c r="K47" s="50" t="inlineStr">
        <is>
          <t>$000</t>
        </is>
      </c>
    </row>
    <row r="48" ht="28" customHeight="1">
      <c r="A48" s="34" t="inlineStr">
        <is>
          <t xml:space="preserve">  Rest of World net revenue ($000)</t>
        </is>
      </c>
      <c r="B48" s="17" t="inlineStr">
        <is>
          <t>Rest of World 13.5% of FY25 revenue; mid-single-digit comps and steady openings.</t>
        </is>
      </c>
      <c r="C48" s="18" t="inlineStr">
        <is>
          <t>FY2025 10-K: segmented net revenue</t>
        </is>
      </c>
      <c r="D48" s="19" t="inlineStr">
        <is>
          <t>Ctrl+F "Rest of World" segment → $1,500,757 net revenue (13.5%).</t>
        </is>
      </c>
      <c r="E48" s="56" t="n">
        <v>1500757</v>
      </c>
      <c r="F48" s="35">
        <f>E48*(F31+F41+F45)/(E31+E41+E45)</f>
        <v/>
      </c>
      <c r="G48" s="35">
        <f>E48*(G31+G41+G45)/(E31+E41+E45)</f>
        <v/>
      </c>
      <c r="H48" s="35">
        <f>E48*(H31+H41+H45)/(E31+E41+E45)</f>
        <v/>
      </c>
      <c r="I48" s="35">
        <f>E48*(I31+I41+I45)/(E31+E41+E45)</f>
        <v/>
      </c>
      <c r="J48" s="35">
        <f>E48*(J31+J41+J45)/(E31+E41+E45)</f>
        <v/>
      </c>
      <c r="K48" s="50" t="inlineStr">
        <is>
          <t>$000</t>
        </is>
      </c>
    </row>
    <row r="49" ht="28" customHeight="1">
      <c r="A49" s="34" t="inlineStr">
        <is>
          <t>Women's % of revenue</t>
        </is>
      </c>
      <c r="B49" s="17" t="inlineStr">
        <is>
          <t>Women's mix fades 62.5%→60% as men's penetrates; FY25 reported 63% women's per 10-K category disclosure.</t>
        </is>
      </c>
      <c r="C49" s="18" t="inlineStr">
        <is>
          <t>FY2025 10-K: product category mix</t>
        </is>
      </c>
      <c r="D49" s="19" t="inlineStr">
        <is>
          <t>Ctrl+F "women's, men's, and accessories" → 63% / 24% / 13% of net revenue.</t>
        </is>
      </c>
      <c r="E49" s="55" t="n">
        <v>0.63</v>
      </c>
      <c r="F49" s="55" t="n">
        <v>0.62</v>
      </c>
      <c r="G49" s="55" t="n">
        <v>0.615</v>
      </c>
      <c r="H49" s="55" t="n">
        <v>0.61</v>
      </c>
      <c r="I49" s="55" t="n">
        <v>0.605</v>
      </c>
      <c r="J49" s="55" t="n">
        <v>0.6</v>
      </c>
    </row>
    <row r="50" ht="28" customHeight="1">
      <c r="A50" s="34" t="inlineStr">
        <is>
          <t>Men's % of revenue</t>
        </is>
      </c>
      <c r="B50" s="17" t="inlineStr">
        <is>
          <t>Men's mix rises 24.5%→27%; FY25 men's grew 4% vs women's 5% per 10-K category commentary.</t>
        </is>
      </c>
      <c r="C50" s="18" t="inlineStr">
        <is>
          <t>FY2025 10-K: product category mix</t>
        </is>
      </c>
      <c r="D50" s="19" t="inlineStr">
        <is>
          <t>Ctrl+F "men's" category growth 4% in MD&amp;A; mix rises to 27% by FY30.</t>
        </is>
      </c>
      <c r="E50" s="55" t="n">
        <v>0.24</v>
      </c>
      <c r="F50" s="55" t="n">
        <v>0.25</v>
      </c>
      <c r="G50" s="55" t="n">
        <v>0.255</v>
      </c>
      <c r="H50" s="55" t="n">
        <v>0.26</v>
      </c>
      <c r="I50" s="55" t="n">
        <v>0.265</v>
      </c>
      <c r="J50" s="55" t="n">
        <v>0.27</v>
      </c>
    </row>
    <row r="51" ht="28" customHeight="1">
      <c r="A51" s="34" t="inlineStr">
        <is>
          <t>Accessories &amp; other % of revenue</t>
        </is>
      </c>
      <c r="B51" s="17" t="inlineStr">
        <is>
          <t>Accessories steady at 13% of revenue; FY25 accessories +8% per 10-K category disclosure.</t>
        </is>
      </c>
      <c r="C51" s="18" t="inlineStr">
        <is>
          <t>FY2025 10-K: product category mix</t>
        </is>
      </c>
      <c r="D51" s="19" t="inlineStr">
        <is>
          <t>Ctrl+F "accessories" +8% category growth; hold 13% mix.</t>
        </is>
      </c>
      <c r="E51" s="55" t="n">
        <v>0.13</v>
      </c>
      <c r="F51" s="55" t="n">
        <v>0.13</v>
      </c>
      <c r="G51" s="55" t="n">
        <v>0.13</v>
      </c>
      <c r="H51" s="55" t="n">
        <v>0.13</v>
      </c>
      <c r="I51" s="55" t="n">
        <v>0.13</v>
      </c>
      <c r="J51" s="55" t="n">
        <v>0.13</v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Justification</t>
        </is>
      </c>
      <c r="C54" s="46" t="inlineStr">
        <is>
          <t>Source</t>
        </is>
      </c>
      <c r="D54" s="46" t="inlineStr">
        <is>
          <t>Ctrl+F</t>
        </is>
      </c>
      <c r="E54" s="47" t="inlineStr">
        <is>
          <t>FY2025A</t>
        </is>
      </c>
      <c r="F54" s="48" t="inlineStr">
        <is>
          <t>FY2026E</t>
        </is>
      </c>
      <c r="G54" s="47" t="inlineStr">
        <is>
          <t>FY2027E</t>
        </is>
      </c>
      <c r="H54" s="47" t="inlineStr">
        <is>
          <t>FY2028E</t>
        </is>
      </c>
      <c r="I54" s="47" t="inlineStr">
        <is>
          <t>FY2029E</t>
        </is>
      </c>
      <c r="J54" s="47" t="inlineStr">
        <is>
          <t>FY2030E</t>
        </is>
      </c>
      <c r="K54" s="47" t="inlineStr">
        <is>
          <t>Units</t>
        </is>
      </c>
    </row>
    <row r="55">
      <c r="A55" s="60" t="inlineStr">
        <is>
          <t>Bottom-up total revenue ($000)</t>
        </is>
      </c>
      <c r="E55" s="61" t="n">
        <v>11102600</v>
      </c>
      <c r="F55" s="62">
        <f>F31+F41+F45</f>
        <v/>
      </c>
      <c r="G55" s="62">
        <f>G31+G41+G45</f>
        <v/>
      </c>
      <c r="H55" s="62">
        <f>H31+H41+H45</f>
        <v/>
      </c>
      <c r="I55" s="62">
        <f>I31+I41+I45</f>
        <v/>
      </c>
      <c r="J55" s="62">
        <f>J31+J41+J45</f>
        <v/>
      </c>
    </row>
    <row r="56">
      <c r="A56" s="34" t="inlineStr">
        <is>
          <t>Scenarios base-case revenue ($000)</t>
        </is>
      </c>
      <c r="E56" s="56" t="n">
        <v>11102600</v>
      </c>
      <c r="F56" s="35">
        <f>Scenarios!G18</f>
        <v/>
      </c>
      <c r="G56" s="35">
        <f>Scenarios!G19</f>
        <v/>
      </c>
      <c r="H56" s="35">
        <f>Scenarios!G20</f>
        <v/>
      </c>
      <c r="I56" s="35">
        <f>Scenarios!G21</f>
        <v/>
      </c>
      <c r="J56" s="35">
        <f>Scenarios!G22</f>
        <v/>
      </c>
    </row>
    <row r="57">
      <c r="A57" s="34" t="inlineStr">
        <is>
          <t>Variance (bottom-up − scenarios) ($000)</t>
        </is>
      </c>
      <c r="E57" s="35">
        <f>E55-E56</f>
        <v/>
      </c>
      <c r="F57" s="35">
        <f>F55-F56</f>
        <v/>
      </c>
      <c r="G57" s="35">
        <f>G55-G56</f>
        <v/>
      </c>
      <c r="H57" s="35">
        <f>H55-H56</f>
        <v/>
      </c>
      <c r="I57" s="35">
        <f>I55-I56</f>
        <v/>
      </c>
      <c r="J57" s="35">
        <f>J55-J56</f>
        <v/>
      </c>
    </row>
    <row r="58">
      <c r="A58" s="34" t="inlineStr">
        <is>
          <t>Variance (%)</t>
        </is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H58" s="36">
        <f>IF(H56=0,"",H57/H56)</f>
        <v/>
      </c>
      <c r="I58" s="36">
        <f>IF(I56=0,"",I57/I56)</f>
        <v/>
      </c>
      <c r="J58" s="36">
        <f>IF(J56=0,"",J57/J56)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5" r:id="rId5"/>
    <hyperlink xmlns:r="http://schemas.openxmlformats.org/officeDocument/2006/relationships" ref="C16" r:id="rId6"/>
    <hyperlink xmlns:r="http://schemas.openxmlformats.org/officeDocument/2006/relationships" ref="E18" r:id="rId7"/>
    <hyperlink xmlns:r="http://schemas.openxmlformats.org/officeDocument/2006/relationships" ref="C19" r:id="rId8"/>
    <hyperlink xmlns:r="http://schemas.openxmlformats.org/officeDocument/2006/relationships" ref="C24" r:id="rId9"/>
    <hyperlink xmlns:r="http://schemas.openxmlformats.org/officeDocument/2006/relationships" ref="C25" r:id="rId10"/>
    <hyperlink xmlns:r="http://schemas.openxmlformats.org/officeDocument/2006/relationships" ref="C26" r:id="rId11"/>
    <hyperlink xmlns:r="http://schemas.openxmlformats.org/officeDocument/2006/relationships" ref="C27" r:id="rId12"/>
    <hyperlink xmlns:r="http://schemas.openxmlformats.org/officeDocument/2006/relationships" ref="E28" r:id="rId13"/>
    <hyperlink xmlns:r="http://schemas.openxmlformats.org/officeDocument/2006/relationships" ref="E31" r:id="rId14"/>
    <hyperlink xmlns:r="http://schemas.openxmlformats.org/officeDocument/2006/relationships" ref="C32" r:id="rId15"/>
    <hyperlink xmlns:r="http://schemas.openxmlformats.org/officeDocument/2006/relationships" ref="C33" r:id="rId16"/>
    <hyperlink xmlns:r="http://schemas.openxmlformats.org/officeDocument/2006/relationships" ref="C34" r:id="rId17"/>
    <hyperlink xmlns:r="http://schemas.openxmlformats.org/officeDocument/2006/relationships" ref="C38" r:id="rId18"/>
    <hyperlink xmlns:r="http://schemas.openxmlformats.org/officeDocument/2006/relationships" ref="C39" r:id="rId19"/>
    <hyperlink xmlns:r="http://schemas.openxmlformats.org/officeDocument/2006/relationships" ref="C40" r:id="rId20"/>
    <hyperlink xmlns:r="http://schemas.openxmlformats.org/officeDocument/2006/relationships" ref="E41" r:id="rId21"/>
    <hyperlink xmlns:r="http://schemas.openxmlformats.org/officeDocument/2006/relationships" ref="C45" r:id="rId22"/>
    <hyperlink xmlns:r="http://schemas.openxmlformats.org/officeDocument/2006/relationships" ref="E45" r:id="rId23"/>
    <hyperlink xmlns:r="http://schemas.openxmlformats.org/officeDocument/2006/relationships" ref="C46" r:id="rId24"/>
    <hyperlink xmlns:r="http://schemas.openxmlformats.org/officeDocument/2006/relationships" ref="E46" r:id="rId25"/>
    <hyperlink xmlns:r="http://schemas.openxmlformats.org/officeDocument/2006/relationships" ref="C47" r:id="rId26"/>
    <hyperlink xmlns:r="http://schemas.openxmlformats.org/officeDocument/2006/relationships" ref="E47" r:id="rId27"/>
    <hyperlink xmlns:r="http://schemas.openxmlformats.org/officeDocument/2006/relationships" ref="C48" r:id="rId28"/>
    <hyperlink xmlns:r="http://schemas.openxmlformats.org/officeDocument/2006/relationships" ref="E48" r:id="rId29"/>
    <hyperlink xmlns:r="http://schemas.openxmlformats.org/officeDocument/2006/relationships" ref="C49" r:id="rId30"/>
    <hyperlink xmlns:r="http://schemas.openxmlformats.org/officeDocument/2006/relationships" ref="C50" r:id="rId31"/>
    <hyperlink xmlns:r="http://schemas.openxmlformats.org/officeDocument/2006/relationships" ref="C51" r:id="rId32"/>
    <hyperlink xmlns:r="http://schemas.openxmlformats.org/officeDocument/2006/relationships" ref="E55" r:id="rId33"/>
    <hyperlink xmlns:r="http://schemas.openxmlformats.org/officeDocument/2006/relationships" ref="E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7" t="inlineStr">
        <is>
          <t>Gordon Growth</t>
        </is>
      </c>
      <c r="C55" s="47" t="inlineStr">
        <is>
          <t>Exit Multiple</t>
        </is>
      </c>
      <c r="D55" s="47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7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7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7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7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7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7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7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7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7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7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7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2026-09-07T20:52:56Z</dcterms:created>
  <dcterms:modified xmlns:dcterms="http://purl.org/dc/terms/" xmlns:xsi="http://www.w3.org/2001/XMLSchema-instance" xsi:type="dcterms:W3CDTF">2026-09-07T20:52:56Z</dcterms:modified>
</cp:coreProperties>
</file>
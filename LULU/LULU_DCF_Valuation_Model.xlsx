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8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EPS ($) – year 1</t>
        </is>
      </c>
      <c r="F183" s="49">
        <f>F143*1000/111380</f>
        <v/>
      </c>
      <c r="G183" s="49">
        <f>G143*1000/111380</f>
        <v/>
      </c>
      <c r="H183" s="49">
        <f>H143*1000/111380</f>
        <v/>
      </c>
    </row>
    <row r="184">
      <c r="A184" s="41" t="inlineStr">
        <is>
          <t xml:space="preserve">  Diluted EPS ($) – year 2</t>
        </is>
      </c>
      <c r="F184" s="49">
        <f>F144*1000/111380</f>
        <v/>
      </c>
      <c r="G184" s="49">
        <f>G144*1000/111380</f>
        <v/>
      </c>
      <c r="H184" s="49">
        <f>H144*1000/111380</f>
        <v/>
      </c>
    </row>
    <row r="185">
      <c r="A185" s="41" t="inlineStr">
        <is>
          <t xml:space="preserve">  Diluted EPS ($) – year 3</t>
        </is>
      </c>
      <c r="F185" s="49">
        <f>F145*1000/111380</f>
        <v/>
      </c>
      <c r="G185" s="49">
        <f>G145*1000/111380</f>
        <v/>
      </c>
      <c r="H185" s="49">
        <f>H145*1000/111380</f>
        <v/>
      </c>
    </row>
    <row r="186">
      <c r="A186" s="41" t="inlineStr">
        <is>
          <t xml:space="preserve">  Diluted EPS ($) – year 4</t>
        </is>
      </c>
      <c r="F186" s="49">
        <f>F146*1000/111380</f>
        <v/>
      </c>
      <c r="G186" s="49">
        <f>G146*1000/111380</f>
        <v/>
      </c>
      <c r="H186" s="49">
        <f>H146*1000/111380</f>
        <v/>
      </c>
    </row>
    <row r="187">
      <c r="A187" s="41" t="inlineStr">
        <is>
          <t xml:space="preserve">  Diluted EPS ($) – year 5</t>
        </is>
      </c>
      <c r="F187" s="49">
        <f>F147*1000/111380</f>
        <v/>
      </c>
      <c r="G187" s="49">
        <f>G147*1000/111380</f>
        <v/>
      </c>
      <c r="H187" s="49">
        <f>H147*1000/111380</f>
        <v/>
      </c>
    </row>
    <row r="188">
      <c r="A188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 — SBC add-back flag. Set to 0 (Convention A).
SBC stays inside Scenarios EBIT/NOPAT as a real economic cost; DCF uses basic shares (111.4M).
FY25 reference: $62,203k (10-K). Flag = 1 would add back (Convention B + diluted shares) —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 —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 —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 — EBIT as % of e-commerce revenue only (not the Scenarios 13.2%–15.5% consolidated margin).
23.6% margin assumption.
EBIT_e-comm = Rev_e-comm × Margin_e-comm
FY25 check: 4,918,697 × 23.6% ≈ 1,160,812 ($000).
Higher than stores —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 —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 — EBIT as % of other-channel revenue only (not the Scenarios 13.2%–15.5% consolidated margin).
9.1% margin assumption.
EBIT_other = Rev_other × Margin_other
FY25 check: 1,134,159 × 9.1% ≈ 103,209 ($000).
Wholesale/license/outlets —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 —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 —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 —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 — SBC add-back flag. Set to 0 (Convention A).
SBC stays inside Scenarios EBIT/NOPAT as a real economic cost; DCF uses basic shares (111.4M).
FY25 reference: $62,203k (10-K). Flag = 1 would add back (Convention B + diluted shares) —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 —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 — held at $0.</t>
        </is>
      </c>
      <c r="C24" s="18" t="inlineStr">
        <is>
          <t>LULU FY2025 10-K: R&amp;D / software expense</t>
        </is>
      </c>
      <c r="D24" s="19" t="inlineStr">
        <is>
          <t>R&amp;D / software capitalization —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 —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 —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 —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 —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 —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 —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 — e-commerce EBIT ÷ e-commerce revenue only (not Scenarios consolidated EBIT margin).
EBIT_e-comm,t = Rev_e-comm,t × 23.6%
FY25: 4,918,697 × 23.6% ≈ 1,160,812 ($000).
Higher than stores —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 —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 — other-channel EBIT ÷ other revenue only (not Scenarios consolidated EBIT margin).
EBIT_other,t = Rev_other,t × 9.1%
FY25: 1,134,159 × 9.1% ≈ 103,209 ($000).
Wholesale/license/outlets — lowest channel margin.</t>
        </is>
      </c>
      <c r="C33" s="18" t="inlineStr">
        <is>
          <t>FY2025 10-K: other channels (residual)</t>
        </is>
      </c>
      <c r="D33" s="19" t="inlineStr">
        <is>
          <t>Not consolidated EBIT margin —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 —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 —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FCF allocated to buybacks</t>
        </is>
      </c>
      <c r="E65" s="20" t="n">
        <v>0.75</v>
      </c>
      <c r="F65" s="20">
        <f>$E$65</f>
        <v/>
      </c>
      <c r="G65" s="20">
        <f>$E$65</f>
        <v/>
      </c>
      <c r="H65" s="20">
        <f>$E$65</f>
        <v/>
      </c>
      <c r="I65" s="20">
        <f>$E$65</f>
        <v/>
      </c>
      <c r="J65" s="20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Available repurchase cash (= UFCF × allocation)</t>
        </is>
      </c>
      <c r="E69" s="75" t="n">
        <v>0</v>
      </c>
      <c r="F69" s="75">
        <f>F68*F65</f>
        <v/>
      </c>
      <c r="G69" s="75">
        <f>G68*G65</f>
        <v/>
      </c>
      <c r="H69" s="75">
        <f>H68*H65</f>
        <v/>
      </c>
      <c r="I69" s="75">
        <f>I68*I65</f>
        <v/>
      </c>
      <c r="J69" s="75">
        <f>J68*J65</f>
        <v/>
      </c>
    </row>
    <row r="71">
      <c r="A71" s="16" t="inlineStr">
        <is>
          <t>Projected share price ($)</t>
        </is>
      </c>
      <c r="E71" s="99" t="n">
        <v>100</v>
      </c>
      <c r="F71" s="99">
        <f>E71*(1+$E$66)</f>
        <v/>
      </c>
      <c r="G71" s="99">
        <f>F71*(1+$E$66)</f>
        <v/>
      </c>
      <c r="H71" s="99">
        <f>G71*(1+$E$66)</f>
        <v/>
      </c>
      <c r="I71" s="99">
        <f>H71*(1+$E$66)</f>
        <v/>
      </c>
      <c r="J71" s="99">
        <f>I71*(1+$E$66)</f>
        <v/>
      </c>
    </row>
    <row r="72">
      <c r="A72" s="16" t="inlineStr">
        <is>
          <t>Shares retired (000)</t>
        </is>
      </c>
      <c r="E72" s="75" t="n">
        <v>0</v>
      </c>
      <c r="F72" s="75">
        <f>F69/F71</f>
        <v/>
      </c>
      <c r="G72" s="75">
        <f>G69/G71</f>
        <v/>
      </c>
      <c r="H72" s="75">
        <f>H69/H71</f>
        <v/>
      </c>
      <c r="I72" s="75">
        <f>I69/I71</f>
        <v/>
      </c>
      <c r="J72" s="75">
        <f>J69/J71</f>
        <v/>
      </c>
    </row>
    <row r="73">
      <c r="A73" s="16" t="inlineStr">
        <is>
          <t>Beginning shares (000)</t>
        </is>
      </c>
      <c r="E73" s="22" t="n">
        <v>111380</v>
      </c>
      <c r="F73" s="75">
        <f>$E$73</f>
        <v/>
      </c>
      <c r="G73" s="75">
        <f>F74</f>
        <v/>
      </c>
      <c r="H73" s="75">
        <f>G74</f>
        <v/>
      </c>
      <c r="I73" s="75">
        <f>H74</f>
        <v/>
      </c>
      <c r="J73" s="75">
        <f>I74</f>
        <v/>
      </c>
    </row>
    <row r="74">
      <c r="A74" s="23" t="inlineStr">
        <is>
          <t>Ending shares (000)</t>
        </is>
      </c>
      <c r="E74" s="100" t="n">
        <v>111380</v>
      </c>
      <c r="F74" s="25">
        <f>F73-F72</f>
        <v/>
      </c>
      <c r="G74" s="25">
        <f>G73-G72</f>
        <v/>
      </c>
      <c r="H74" s="25">
        <f>H73-H72</f>
        <v/>
      </c>
      <c r="I74" s="25">
        <f>I73-I72</f>
        <v/>
      </c>
      <c r="J74" s="25">
        <f>J73-J72</f>
        <v/>
      </c>
    </row>
    <row r="76">
      <c r="A76" s="16" t="inlineStr">
        <is>
          <t>Projected net income ($000)</t>
        </is>
      </c>
      <c r="E76" s="22" t="n">
        <v>1579183</v>
      </c>
      <c r="F76" s="75">
        <f>('NOPAT Bridge'!F36-'NOPAT Bridge'!F23)*(1-'NOPAT Bridge'!F$39)</f>
        <v/>
      </c>
      <c r="G76" s="75">
        <f>('NOPAT Bridge'!G36-'NOPAT Bridge'!G23)*(1-'NOPAT Bridge'!G$39)</f>
        <v/>
      </c>
      <c r="H76" s="75">
        <f>('NOPAT Bridge'!H36-'NOPAT Bridge'!H23)*(1-'NOPAT Bridge'!H$39)</f>
        <v/>
      </c>
      <c r="I76" s="75">
        <f>('NOPAT Bridge'!I36-'NOPAT Bridge'!I23)*(1-'NOPAT Bridge'!I$39)</f>
        <v/>
      </c>
      <c r="J76" s="75">
        <f>('NOPAT Bridge'!J36-'NOPAT Bridge'!J23)*(1-'NOPAT Bridge'!J$39)</f>
        <v/>
      </c>
    </row>
    <row r="77">
      <c r="A77" s="23" t="inlineStr">
        <is>
          <t>Accretive EPS ($/share) = Net income ÷ ending shares</t>
        </is>
      </c>
      <c r="E77" s="101" t="n">
        <v>14.1783354282636</v>
      </c>
      <c r="F77" s="101">
        <f>F76/F74</f>
        <v/>
      </c>
      <c r="G77" s="101">
        <f>G76/G74</f>
        <v/>
      </c>
      <c r="H77" s="101">
        <f>H76/H74</f>
        <v/>
      </c>
      <c r="I77" s="101">
        <f>I76/I74</f>
        <v/>
      </c>
      <c r="J77" s="101">
        <f>J76/J74</f>
        <v/>
      </c>
    </row>
    <row r="79">
      <c r="A79" s="93" t="inlineStr">
        <is>
          <t>CROSS-CHECK — EXIT MULTIPLE METHOD</t>
        </is>
      </c>
      <c r="B79" s="13" t="n"/>
      <c r="C79" s="13" t="n"/>
    </row>
    <row r="80">
      <c r="A80" s="15" t="inlineStr">
        <is>
          <t>Exit multiple is the Gordon identity — not a peer pick or an average</t>
        </is>
      </c>
    </row>
    <row r="81" ht="28" customHeight="1">
      <c r="A81" s="16" t="inlineStr">
        <is>
          <t>Selected exit EV/EBITDA (Gordon implied)</t>
        </is>
      </c>
      <c r="B81" s="17" t="inlineStr">
        <is>
          <t>Selected exit is Gordon TV / FY30 EBITDA. Identity: (UFCF/EBITDA)×(1+g)/(WACC−g). Not Deckers and not a peer average.</t>
        </is>
      </c>
      <c r="C81" s="18" t="inlineStr">
        <is>
          <t>DCF: Gordon implied exit (TV / FY30 EBITDA)</t>
        </is>
      </c>
      <c r="D81" s="19" t="inlineStr">
        <is>
          <t>No peer Ctrl+F. This cell = Gordon TV / FY30 EBITDA = (UFCF/EBITDA)×(1+g)/(WACC−g). WACC and g are sourced on those rows.</t>
        </is>
      </c>
      <c r="E81" s="94">
        <f>E46</f>
        <v/>
      </c>
      <c r="M81" s="95" t="inlineStr">
        <is>
          <t>Comps: Exit Multiple Build</t>
        </is>
      </c>
    </row>
    <row r="82">
      <c r="A82" s="16" t="inlineStr">
        <is>
          <t>Terminal value = Terminal EBITDA × exit multiple</t>
        </is>
      </c>
      <c r="E82" s="75">
        <f>E44*E81</f>
        <v/>
      </c>
    </row>
    <row r="83">
      <c r="A83" s="16" t="inlineStr">
        <is>
          <t>PV of terminal value</t>
        </is>
      </c>
      <c r="E83" s="75">
        <f>E82/(1+Scenarios!$G$9)^J36</f>
        <v/>
      </c>
    </row>
    <row r="84">
      <c r="A84" s="23" t="inlineStr">
        <is>
          <t>Enterprise value (exit method)</t>
        </is>
      </c>
      <c r="E84" s="25">
        <f>E42+E83</f>
        <v/>
      </c>
    </row>
    <row r="85">
      <c r="A85" s="23" t="inlineStr">
        <is>
          <t>Implied value per share (exit method)</t>
        </is>
      </c>
      <c r="E85" s="102">
        <f>(E84+E50+E51)/E55</f>
        <v/>
      </c>
    </row>
    <row r="87">
      <c r="A87" s="93" t="inlineStr">
        <is>
          <t>TERMINAL VALUE RECONCILIATION (GORDON vs EXIT MULTIPLE)</t>
        </is>
      </c>
      <c r="B87" s="13" t="n"/>
      <c r="C87" s="13" t="n"/>
      <c r="D87" s="13" t="n"/>
    </row>
    <row r="88">
      <c r="A88" s="103" t="inlineStr"/>
      <c r="B88" s="54" t="inlineStr">
        <is>
          <t>Gordon Growth</t>
        </is>
      </c>
      <c r="C88" s="54" t="inlineStr">
        <is>
          <t>Exit Multiple</t>
        </is>
      </c>
      <c r="D88" s="54" t="inlineStr">
        <is>
          <t>Variance</t>
        </is>
      </c>
    </row>
    <row r="89">
      <c r="A89" s="23" t="inlineStr">
        <is>
          <t>Terminal value ($)</t>
        </is>
      </c>
      <c r="B89" s="70">
        <f>E45</f>
        <v/>
      </c>
      <c r="C89" s="70">
        <f>E82</f>
        <v/>
      </c>
      <c r="D89" s="70">
        <f>B89-C89</f>
        <v/>
      </c>
    </row>
    <row r="90">
      <c r="A90" s="23" t="inlineStr">
        <is>
          <t>Exit EV/EBITDA (implied vs selected)</t>
        </is>
      </c>
      <c r="B90" s="104">
        <f>E46</f>
        <v/>
      </c>
      <c r="C90" s="104">
        <f>E81</f>
        <v/>
      </c>
      <c r="D90" s="104">
        <f>B90-C90</f>
        <v/>
      </c>
    </row>
    <row r="91">
      <c r="A91" s="16" t="inlineStr">
        <is>
          <t>Terminal value variance (%)</t>
        </is>
      </c>
      <c r="B91" s="32" t="inlineStr"/>
      <c r="C91" s="32" t="inlineStr"/>
      <c r="D91" s="32">
        <f>(B89-C89)/B89</f>
        <v/>
      </c>
    </row>
    <row r="92">
      <c r="A92" s="23" t="inlineStr">
        <is>
          <t>Implied share price</t>
        </is>
      </c>
      <c r="B92" s="105">
        <f>E56</f>
        <v/>
      </c>
      <c r="C92" s="105">
        <f>E85</f>
        <v/>
      </c>
      <c r="D92" s="105">
        <f>B92-C92</f>
        <v/>
      </c>
    </row>
    <row r="93">
      <c r="A93" s="68" t="inlineStr">
        <is>
          <t>Sanity check: multiples within ±1.5 turns?</t>
        </is>
      </c>
      <c r="B93" s="106">
        <f>IF(ABS(D90)&lt;=1.5,"PASS","REVIEW")</f>
        <v/>
      </c>
      <c r="C93" s="107">
        <f>TEXT(D90,"0.0")&amp;"x spread vs Gordon-implied exit"</f>
        <v/>
      </c>
      <c r="D93" s="26" t="inlineStr">
        <is>
          <t>Selected exit is the Gordon identity, so spread should be 0</t>
        </is>
      </c>
    </row>
    <row r="96">
      <c r="A96" s="93" t="inlineStr">
        <is>
          <t>SENSITIVITY — IMPLIED SHARE PRICE (WACC vs terminal growth)</t>
        </is>
      </c>
      <c r="B96" s="13" t="n"/>
      <c r="C96" s="13" t="n"/>
      <c r="D96" s="13" t="n"/>
      <c r="E96" s="13" t="n"/>
      <c r="F96" s="13" t="n"/>
      <c r="G96" s="13" t="n"/>
      <c r="H96" s="13" t="n"/>
    </row>
    <row r="97" ht="28" customHeight="1">
      <c r="A97" s="108" t="inlineStr">
        <is>
          <t>WACC \ g</t>
        </is>
      </c>
      <c r="B97" s="17" t="inlineStr">
        <is>
          <t>Terminal-g axis 1.5–3.0% brackets 2.25% base; bounded by long-run real GDP and inflation benchmarks.</t>
        </is>
      </c>
      <c r="C97" s="18" t="inlineStr">
        <is>
          <t>FRED: Real GDP (GDPC1)</t>
        </is>
      </c>
      <c r="D97" s="19" t="inlineStr">
        <is>
          <t>Ctrl+F "GDPC1" → bounds terminal-g sensitivity grid 1.5%–3.0%</t>
        </is>
      </c>
      <c r="F97" s="109" t="n">
        <v>0.015</v>
      </c>
      <c r="G97" s="109" t="n">
        <v>0.02</v>
      </c>
      <c r="H97" s="109" t="n">
        <v>0.0225</v>
      </c>
      <c r="I97" s="109" t="n">
        <v>0.025</v>
      </c>
      <c r="J97" s="109" t="n">
        <v>0.03</v>
      </c>
      <c r="L97" s="95" t="inlineStr">
        <is>
          <t>Scenarios: terminal g</t>
        </is>
      </c>
    </row>
    <row r="98" ht="28" customHeight="1">
      <c r="A98" s="109" t="n">
        <v>0.095</v>
      </c>
      <c r="C98" s="95" t="inlineStr">
        <is>
          <t>Damodaran: Historical Implied ERP</t>
        </is>
      </c>
      <c r="D98" s="19" t="inlineStr">
        <is>
          <t>WACC tab → green WACC cell ~9.0%. Sensitivity WACC axis brackets base ±100bps.</t>
        </is>
      </c>
      <c r="F98" s="110">
        <f>(NPV(0.095,F35:J35)+(J35*(1+0.015)/(0.095-0.015))/(1+0.095)^5+E50+E51)/E55</f>
        <v/>
      </c>
      <c r="G98" s="110">
        <f>(NPV(0.095,F35:J35)+(J35*(1+0.02)/(0.095-0.02))/(1+0.095)^5+E50+E51)/E55</f>
        <v/>
      </c>
      <c r="H98" s="110">
        <f>(NPV(0.095,F35:J35)+(J35*(1+0.0225)/(0.095-0.0225))/(1+0.095)^5+E50+E51)/E55</f>
        <v/>
      </c>
      <c r="I98" s="110">
        <f>(NPV(0.095,F35:J35)+(J35*(1+0.025)/(0.095-0.025))/(1+0.095)^5+E50+E51)/E55</f>
        <v/>
      </c>
      <c r="J98" s="110">
        <f>(NPV(0.095,F35:J35)+(J35*(1+0.03)/(0.095-0.03))/(1+0.095)^5+E50+E51)/E55</f>
        <v/>
      </c>
      <c r="L98" s="95" t="inlineStr">
        <is>
          <t>WACC tab</t>
        </is>
      </c>
    </row>
    <row r="99" ht="28" customHeight="1">
      <c r="A99" s="109" t="n">
        <v>0.1</v>
      </c>
      <c r="D99" s="19" t="inlineStr">
        <is>
          <t>WACC tab → green WACC cell ~9.0%. Sensitivity WACC axis brackets base ±100bps.</t>
        </is>
      </c>
      <c r="F99" s="110">
        <f>(NPV(0.1,F35:J35)+(J35*(1+0.015)/(0.1-0.015))/(1+0.1)^5+E50+E51)/E55</f>
        <v/>
      </c>
      <c r="G99" s="110">
        <f>(NPV(0.1,F35:J35)+(J35*(1+0.02)/(0.1-0.02))/(1+0.1)^5+E50+E51)/E55</f>
        <v/>
      </c>
      <c r="H99" s="110">
        <f>(NPV(0.1,F35:J35)+(J35*(1+0.0225)/(0.1-0.0225))/(1+0.1)^5+E50+E51)/E55</f>
        <v/>
      </c>
      <c r="I99" s="110">
        <f>(NPV(0.1,F35:J35)+(J35*(1+0.025)/(0.1-0.025))/(1+0.1)^5+E50+E51)/E55</f>
        <v/>
      </c>
      <c r="J99" s="110">
        <f>(NPV(0.1,F35:J35)+(J35*(1+0.03)/(0.1-0.03))/(1+0.1)^5+E50+E51)/E55</f>
        <v/>
      </c>
      <c r="L99" s="95" t="inlineStr">
        <is>
          <t>WACC tab</t>
        </is>
      </c>
    </row>
    <row r="100" ht="28" customHeight="1">
      <c r="A100" s="109" t="n">
        <v>0.105</v>
      </c>
      <c r="D100" s="19" t="inlineStr">
        <is>
          <t>WACC tab → green WACC cell ~9.0%. Sensitivity WACC axis brackets base ±100bps.</t>
        </is>
      </c>
      <c r="F100" s="110">
        <f>(NPV(0.105,F35:J35)+(J35*(1+0.015)/(0.105-0.015))/(1+0.105)^5+E50+E51)/E55</f>
        <v/>
      </c>
      <c r="G100" s="110">
        <f>(NPV(0.105,F35:J35)+(J35*(1+0.02)/(0.105-0.02))/(1+0.105)^5+E50+E51)/E55</f>
        <v/>
      </c>
      <c r="H100" s="111">
        <f>(NPV(0.105,F35:J35)+(J35*(1+0.0225)/(0.105-0.0225))/(1+0.105)^5+E50+E51)/E55</f>
        <v/>
      </c>
      <c r="I100" s="110">
        <f>(NPV(0.105,F35:J35)+(J35*(1+0.025)/(0.105-0.025))/(1+0.105)^5+E50+E51)/E55</f>
        <v/>
      </c>
      <c r="J100" s="110">
        <f>(NPV(0.105,F35:J35)+(J35*(1+0.03)/(0.105-0.03))/(1+0.105)^5+E50+E51)/E55</f>
        <v/>
      </c>
      <c r="L100" s="95" t="inlineStr">
        <is>
          <t>WACC tab</t>
        </is>
      </c>
    </row>
    <row r="101" ht="28" customHeight="1">
      <c r="A101" s="109" t="n">
        <v>0.11</v>
      </c>
      <c r="D101" s="19" t="inlineStr">
        <is>
          <t>WACC tab → green WACC cell ~9.0%. Sensitivity WACC axis brackets base ±100bps.</t>
        </is>
      </c>
      <c r="F101" s="110">
        <f>(NPV(0.11,F35:J35)+(J35*(1+0.015)/(0.11-0.015))/(1+0.11)^5+E50+E51)/E55</f>
        <v/>
      </c>
      <c r="G101" s="110">
        <f>(NPV(0.11,F35:J35)+(J35*(1+0.02)/(0.11-0.02))/(1+0.11)^5+E50+E51)/E55</f>
        <v/>
      </c>
      <c r="H101" s="110">
        <f>(NPV(0.11,F35:J35)+(J35*(1+0.0225)/(0.11-0.0225))/(1+0.11)^5+E50+E51)/E55</f>
        <v/>
      </c>
      <c r="I101" s="110">
        <f>(NPV(0.11,F35:J35)+(J35*(1+0.025)/(0.11-0.025))/(1+0.11)^5+E50+E51)/E55</f>
        <v/>
      </c>
      <c r="J101" s="110">
        <f>(NPV(0.11,F35:J35)+(J35*(1+0.03)/(0.11-0.03))/(1+0.11)^5+E50+E51)/E55</f>
        <v/>
      </c>
      <c r="L101" s="95" t="inlineStr">
        <is>
          <t>WACC tab</t>
        </is>
      </c>
    </row>
    <row r="102" ht="28" customHeight="1">
      <c r="A102" s="109" t="n">
        <v>0.115</v>
      </c>
      <c r="D102" s="19" t="inlineStr">
        <is>
          <t>WACC tab → green WACC cell ~9.0%. Sensitivity WACC axis brackets base ±100bps.</t>
        </is>
      </c>
      <c r="F102" s="110">
        <f>(NPV(0.115,F35:J35)+(J35*(1+0.015)/(0.115-0.015))/(1+0.115)^5+E50+E51)/E55</f>
        <v/>
      </c>
      <c r="G102" s="110">
        <f>(NPV(0.115,F35:J35)+(J35*(1+0.02)/(0.115-0.02))/(1+0.115)^5+E50+E51)/E55</f>
        <v/>
      </c>
      <c r="H102" s="110">
        <f>(NPV(0.115,F35:J35)+(J35*(1+0.0225)/(0.115-0.0225))/(1+0.115)^5+E50+E51)/E55</f>
        <v/>
      </c>
      <c r="I102" s="110">
        <f>(NPV(0.115,F35:J35)+(J35*(1+0.025)/(0.115-0.025))/(1+0.115)^5+E50+E51)/E55</f>
        <v/>
      </c>
      <c r="J102" s="110">
        <f>(NPV(0.115,F35:J35)+(J35*(1+0.03)/(0.115-0.03))/(1+0.115)^5+E50+E51)/E55</f>
        <v/>
      </c>
      <c r="L102" s="95" t="inlineStr">
        <is>
          <t>WACC tab</t>
        </is>
      </c>
    </row>
    <row r="103" ht="28" customHeight="1">
      <c r="B103" s="17" t="inlineStr">
        <is>
          <t>Red WACC and g grid values bracket base case ±100bps discount rate and ±75bps terminal growth for sensitivity.</t>
        </is>
      </c>
      <c r="C103" s="18" t="inlineStr">
        <is>
          <t>Scenarios: WACC &amp; terminal g</t>
        </is>
      </c>
      <c r="D103" s="19" t="inlineStr">
        <is>
          <t>Scenarios tab → Ctrl+F "WACC" and "Terminal growth" rows (base-case inputs)</t>
        </is>
      </c>
      <c r="L103" s="95" t="inlineStr">
        <is>
          <t>FRED: Real GDP (GDPC1)</t>
        </is>
      </c>
      <c r="M103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1" location="'DCF'!E46"/>
    <hyperlink ref="M81" location="'Comps'!A45"/>
    <hyperlink xmlns:r="http://schemas.openxmlformats.org/officeDocument/2006/relationships" ref="C97" r:id="rId46"/>
    <hyperlink ref="L97" location="'Scenarios'!G10"/>
    <hyperlink xmlns:r="http://schemas.openxmlformats.org/officeDocument/2006/relationships" ref="C98" r:id="rId47"/>
    <hyperlink ref="L98" location="'WACC'!E41"/>
    <hyperlink ref="L99" location="'WACC'!E41"/>
    <hyperlink ref="L100" location="'WACC'!E41"/>
    <hyperlink ref="L101" location="'WACC'!E41"/>
    <hyperlink ref="L102" location="'WACC'!E41"/>
    <hyperlink ref="C103" location="'Scenarios'!G9"/>
    <hyperlink xmlns:r="http://schemas.openxmlformats.org/officeDocument/2006/relationships" ref="L103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DCF!E81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DCF!E81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1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2026-09-08T21:22:04Z</dcterms:created>
  <dcterms:modified xmlns:dcterms="http://purl.org/dc/terms/" xmlns:xsi="http://www.w3.org/2001/XMLSchema-instance" xsi:type="dcterms:W3CDTF">2026-09-08T21:22:04Z</dcterms:modified>
</cp:coreProperties>
</file>
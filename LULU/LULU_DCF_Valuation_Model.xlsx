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"/>
    <numFmt numFmtId="166" formatCode="$#,##0.00"/>
    <numFmt numFmtId="167" formatCode="0.000"/>
    <numFmt numFmtId="168" formatCode="0.0x"/>
  </numFmts>
  <fonts count="31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color rgb="000000CC"/>
      <sz val="10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2" borderId="0" pivotButton="0" quotePrefix="0" xfId="0"/>
    <xf numFmtId="0" fontId="0" fillId="2" borderId="0" pivotButton="0" quotePrefix="0" xfId="0"/>
    <xf numFmtId="0" fontId="12" fillId="0" borderId="0" pivotButton="0" quotePrefix="0" xfId="0"/>
    <xf numFmtId="0" fontId="9" fillId="0" borderId="0" applyAlignment="1" pivotButton="0" quotePrefix="0" xfId="0">
      <alignment horizontal="left" vertical="center" indent="1"/>
    </xf>
    <xf numFmtId="164" fontId="13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 indent="1"/>
    </xf>
    <xf numFmtId="2" fontId="13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indent="1"/>
    </xf>
    <xf numFmtId="164" fontId="16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17" fillId="3" borderId="1" applyAlignment="1" pivotButton="0" quotePrefix="0" xfId="0">
      <alignment horizontal="right" vertical="center"/>
    </xf>
    <xf numFmtId="0" fontId="18" fillId="4" borderId="0" applyAlignment="1" pivotButton="0" quotePrefix="0" xfId="0">
      <alignment horizontal="center" vertical="center" wrapText="1"/>
    </xf>
    <xf numFmtId="0" fontId="18" fillId="5" borderId="0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center" indent="1"/>
    </xf>
    <xf numFmtId="165" fontId="19" fillId="0" borderId="0" applyAlignment="1" pivotButton="0" quotePrefix="0" xfId="0">
      <alignment horizontal="right" vertical="center"/>
    </xf>
    <xf numFmtId="164" fontId="19" fillId="0" borderId="0" applyAlignment="1" pivotButton="0" quotePrefix="0" xfId="0">
      <alignment horizontal="right" vertical="center"/>
    </xf>
    <xf numFmtId="165" fontId="16" fillId="0" borderId="1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6" fontId="21" fillId="3" borderId="2" applyAlignment="1" pivotButton="0" quotePrefix="0" xfId="0">
      <alignment horizontal="right" vertical="center"/>
    </xf>
    <xf numFmtId="166" fontId="17" fillId="3" borderId="2" applyAlignment="1" pivotButton="0" quotePrefix="0" xfId="0">
      <alignment horizontal="right" vertical="center"/>
    </xf>
    <xf numFmtId="164" fontId="16" fillId="0" borderId="0" applyAlignment="1" pivotButton="0" quotePrefix="0" xfId="0">
      <alignment horizontal="right" vertical="center"/>
    </xf>
    <xf numFmtId="0" fontId="22" fillId="0" borderId="0" applyAlignment="1" pivotButton="0" quotePrefix="0" xfId="0">
      <alignment horizontal="center" vertical="center" wrapText="1"/>
    </xf>
    <xf numFmtId="0" fontId="23" fillId="4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165" fontId="25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5" fontId="22" fillId="0" borderId="1" applyAlignment="1" pivotButton="0" quotePrefix="0" xfId="0">
      <alignment horizontal="right" vertical="center"/>
    </xf>
    <xf numFmtId="165" fontId="16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23" fillId="2" borderId="0" pivotButton="0" quotePrefix="0" xfId="0"/>
    <xf numFmtId="165" fontId="16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66" fontId="26" fillId="3" borderId="2" applyAlignment="1" pivotButton="0" quotePrefix="0" xfId="0">
      <alignment horizontal="right" vertical="center"/>
    </xf>
    <xf numFmtId="166" fontId="25" fillId="0" borderId="0" applyAlignment="1" pivotButton="0" quotePrefix="0" xfId="0">
      <alignment horizontal="right" vertical="center"/>
    </xf>
    <xf numFmtId="164" fontId="27" fillId="0" borderId="0" applyAlignment="1" pivotButton="0" quotePrefix="0" xfId="0">
      <alignment horizontal="right" vertical="center"/>
    </xf>
    <xf numFmtId="168" fontId="13" fillId="0" borderId="0" applyAlignment="1" pivotButton="0" quotePrefix="0" xfId="0">
      <alignment horizontal="right" vertical="center"/>
    </xf>
    <xf numFmtId="166" fontId="27" fillId="0" borderId="0" applyAlignment="1" pivotButton="0" quotePrefix="0" xfId="0">
      <alignment horizontal="right" vertical="center"/>
    </xf>
    <xf numFmtId="0" fontId="28" fillId="6" borderId="0" applyAlignment="1" pivotButton="0" quotePrefix="0" xfId="0">
      <alignment horizontal="center" vertical="center" wrapText="1"/>
    </xf>
    <xf numFmtId="164" fontId="29" fillId="6" borderId="0" applyAlignment="1" pivotButton="0" quotePrefix="0" xfId="0">
      <alignment horizontal="center" vertical="center" wrapText="1"/>
    </xf>
    <xf numFmtId="166" fontId="19" fillId="0" borderId="0" applyAlignment="1" pivotButton="0" quotePrefix="0" xfId="0">
      <alignment horizontal="center" vertical="center" wrapText="1"/>
    </xf>
    <xf numFmtId="166" fontId="30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indent="1"/>
    </xf>
    <xf numFmtId="168" fontId="10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23" fillId="2" borderId="0" applyAlignment="1" pivotButton="0" quotePrefix="0" xfId="0">
      <alignment horizontal="center" vertical="center" wrapText="1"/>
    </xf>
    <xf numFmtId="168" fontId="13" fillId="0" borderId="0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6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(release, filing, or call)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/ inputs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>
      <c r="B18" s="9" t="inlineStr">
        <is>
          <t>SEC EDGAR XBRL company facts, CIK 0001397187 (Form 10-K, FY2025 ended Feb 1, 2026).</t>
        </is>
      </c>
    </row>
    <row r="19">
      <c r="B19" s="9" t="inlineStr">
        <is>
          <t>Market data &amp; Q2 FY2026 results per company release dated Sep 3, 2026.</t>
        </is>
      </c>
    </row>
    <row r="21">
      <c r="B21" s="10" t="inlineStr">
        <is>
          <t>Built from scratch for the GIS IR selection assignment.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" customWidth="1" min="2" max="2"/>
    <col width="16" customWidth="1" min="3" max="3"/>
    <col width="40" customWidth="1" min="4" max="4"/>
  </cols>
  <sheetData>
    <row r="1" ht="16" customHeight="1">
      <c r="A1" s="11" t="inlineStr">
        <is>
          <t>WEIGHTED AVERAGE COST OF CAPITAL</t>
        </is>
      </c>
      <c r="B1" s="12" t="n"/>
      <c r="C1" s="12" t="n"/>
      <c r="D1" s="12" t="n"/>
    </row>
    <row r="2">
      <c r="A2" s="13" t="inlineStr">
        <is>
          <t>Cost of equity (CAPM)</t>
        </is>
      </c>
    </row>
    <row r="3">
      <c r="A3" s="14" t="inlineStr">
        <is>
          <t>Risk-free rate (10-yr UST)</t>
        </is>
      </c>
      <c r="C3" s="15" t="n">
        <v>0.043</v>
      </c>
      <c r="D3" s="16" t="inlineStr">
        <is>
          <t>analyst input</t>
        </is>
      </c>
    </row>
    <row r="4">
      <c r="A4" s="14" t="inlineStr">
        <is>
          <t>Equity risk premium</t>
        </is>
      </c>
      <c r="C4" s="15" t="n">
        <v>0.06</v>
      </c>
      <c r="D4" s="16" t="inlineStr">
        <is>
          <t>analyst input</t>
        </is>
      </c>
    </row>
    <row r="5">
      <c r="A5" s="14" t="inlineStr">
        <is>
          <t>Levered beta</t>
        </is>
      </c>
      <c r="C5" s="17" t="n">
        <v>0.95</v>
      </c>
      <c r="D5" s="16" t="inlineStr">
        <is>
          <t>~0.86 market beta; 0.95 used for near-term uncertainty</t>
        </is>
      </c>
    </row>
    <row r="6">
      <c r="A6" s="18" t="inlineStr">
        <is>
          <t>Cost of equity = rf + β × ERP</t>
        </is>
      </c>
      <c r="C6" s="19">
        <f>C3+C5*C4</f>
        <v/>
      </c>
    </row>
    <row r="8">
      <c r="A8" s="13" t="inlineStr">
        <is>
          <t>Cost of debt</t>
        </is>
      </c>
    </row>
    <row r="9">
      <c r="A9" s="14" t="inlineStr">
        <is>
          <t>Pre-tax cost of debt</t>
        </is>
      </c>
      <c r="C9" s="15" t="n">
        <v>0.05</v>
      </c>
      <c r="D9" s="16" t="inlineStr">
        <is>
          <t>illustrative; LULU has no funded debt</t>
        </is>
      </c>
    </row>
    <row r="10">
      <c r="A10" s="14" t="inlineStr">
        <is>
          <t>Tax rate</t>
        </is>
      </c>
      <c r="C10" s="15" t="n">
        <v>0.27</v>
      </c>
      <c r="D10" s="16" t="inlineStr">
        <is>
          <t>normalized marginal rate</t>
        </is>
      </c>
    </row>
    <row r="11">
      <c r="A11" s="14" t="inlineStr">
        <is>
          <t>After-tax cost of debt</t>
        </is>
      </c>
      <c r="C11" s="20">
        <f>C9*(1-C10)</f>
        <v/>
      </c>
    </row>
    <row r="13">
      <c r="A13" s="13" t="inlineStr">
        <is>
          <t>Capital structure (market values)</t>
        </is>
      </c>
    </row>
    <row r="14">
      <c r="A14" s="14" t="inlineStr">
        <is>
          <t>Equity weight</t>
        </is>
      </c>
      <c r="C14" s="15" t="n">
        <v>1</v>
      </c>
      <c r="D14" s="16" t="inlineStr">
        <is>
          <t>net-cash balance sheet → ~100% equity</t>
        </is>
      </c>
    </row>
    <row r="15">
      <c r="A15" s="14" t="inlineStr">
        <is>
          <t>Debt weight</t>
        </is>
      </c>
      <c r="C15" s="15" t="n">
        <v>0</v>
      </c>
    </row>
    <row r="16">
      <c r="A16" s="18" t="inlineStr">
        <is>
          <t>WACC</t>
        </is>
      </c>
      <c r="C16" s="21">
        <f>C14*C6+C15*C11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" customWidth="1" min="2" max="2"/>
    <col width="15" customWidth="1" min="3" max="3"/>
    <col width="15" customWidth="1" min="4" max="4"/>
    <col width="15" customWidth="1" min="5" max="5"/>
  </cols>
  <sheetData>
    <row r="1" ht="16" customHeight="1">
      <c r="A1" s="11" t="inlineStr">
        <is>
          <t>SCENARIO ANALYSIS</t>
        </is>
      </c>
      <c r="B1" s="12" t="n"/>
      <c r="C1" s="12" t="n"/>
      <c r="D1" s="12" t="n"/>
      <c r="E1" s="12" t="n"/>
    </row>
    <row r="2">
      <c r="C2" s="22" t="inlineStr">
        <is>
          <t>Bear</t>
        </is>
      </c>
      <c r="D2" s="23" t="inlineStr">
        <is>
          <t>Base</t>
        </is>
      </c>
      <c r="E2" s="24" t="inlineStr">
        <is>
          <t>Bull</t>
        </is>
      </c>
    </row>
    <row r="3">
      <c r="A3" s="13" t="inlineStr">
        <is>
          <t>Key assumptions (5-yr forecast)</t>
        </is>
      </c>
    </row>
    <row r="4">
      <c r="A4" s="14" t="inlineStr">
        <is>
          <t>FY2026E revenue growth</t>
        </is>
      </c>
      <c r="C4" s="15" t="n">
        <v>-0.09</v>
      </c>
      <c r="D4" s="15" t="n">
        <v>-0.061</v>
      </c>
      <c r="E4" s="15" t="n">
        <v>-0.04</v>
      </c>
    </row>
    <row r="5">
      <c r="A5" s="14" t="inlineStr">
        <is>
          <t>FY2027–FY2030E revenue growth (avg)</t>
        </is>
      </c>
      <c r="C5" s="15" t="n">
        <v>-0.01</v>
      </c>
      <c r="D5" s="15" t="n">
        <v>0.028</v>
      </c>
      <c r="E5" s="15" t="n">
        <v>0.06</v>
      </c>
    </row>
    <row r="6">
      <c r="A6" s="14" t="inlineStr">
        <is>
          <t>FY2026E EBIT margin</t>
        </is>
      </c>
      <c r="C6" s="15" t="n">
        <v>0.125</v>
      </c>
      <c r="D6" s="15" t="n">
        <v>0.139</v>
      </c>
      <c r="E6" s="15" t="n">
        <v>0.15</v>
      </c>
    </row>
    <row r="7">
      <c r="A7" s="14" t="inlineStr">
        <is>
          <t>Terminal (FY2030E) EBIT margin</t>
        </is>
      </c>
      <c r="C7" s="15" t="n">
        <v>0.12</v>
      </c>
      <c r="D7" s="15" t="n">
        <v>0.155</v>
      </c>
      <c r="E7" s="15" t="n">
        <v>0.19</v>
      </c>
    </row>
    <row r="8">
      <c r="A8" s="14" t="inlineStr">
        <is>
          <t>WACC</t>
        </is>
      </c>
      <c r="C8" s="15" t="n">
        <v>0.11</v>
      </c>
      <c r="D8" s="15" t="n">
        <v>0.1</v>
      </c>
      <c r="E8" s="15" t="n">
        <v>0.09</v>
      </c>
    </row>
    <row r="9">
      <c r="A9" s="14" t="inlineStr">
        <is>
          <t>Terminal growth</t>
        </is>
      </c>
      <c r="C9" s="15" t="n">
        <v>0.015</v>
      </c>
      <c r="D9" s="15" t="n">
        <v>0.0225</v>
      </c>
      <c r="E9" s="15" t="n">
        <v>0.03</v>
      </c>
    </row>
    <row r="11">
      <c r="A11" s="13" t="inlineStr">
        <is>
          <t>5-year forecast paths (by scenario)</t>
        </is>
      </c>
    </row>
    <row r="12">
      <c r="A12" s="25" t="inlineStr">
        <is>
          <t xml:space="preserve">  Revenue – year 1</t>
        </is>
      </c>
      <c r="C12" s="26">
        <f>11102600*(1+C4)</f>
        <v/>
      </c>
      <c r="D12" s="26">
        <f>11102600*(1+D4)</f>
        <v/>
      </c>
      <c r="E12" s="26">
        <f>11102600*(1+E4)</f>
        <v/>
      </c>
    </row>
    <row r="13">
      <c r="A13" s="25" t="inlineStr">
        <is>
          <t xml:space="preserve">  Revenue – year 2</t>
        </is>
      </c>
      <c r="C13" s="26">
        <f>C12*(1+C5)</f>
        <v/>
      </c>
      <c r="D13" s="26">
        <f>D12*(1+D5)</f>
        <v/>
      </c>
      <c r="E13" s="26">
        <f>E12*(1+E5)</f>
        <v/>
      </c>
    </row>
    <row r="14">
      <c r="A14" s="25" t="inlineStr">
        <is>
          <t xml:space="preserve">  Revenue – year 3</t>
        </is>
      </c>
      <c r="C14" s="26">
        <f>C13*(1+C5)</f>
        <v/>
      </c>
      <c r="D14" s="26">
        <f>D13*(1+D5)</f>
        <v/>
      </c>
      <c r="E14" s="26">
        <f>E13*(1+E5)</f>
        <v/>
      </c>
    </row>
    <row r="15">
      <c r="A15" s="25" t="inlineStr">
        <is>
          <t xml:space="preserve">  Revenue – year 4</t>
        </is>
      </c>
      <c r="C15" s="26">
        <f>C14*(1+C5)</f>
        <v/>
      </c>
      <c r="D15" s="26">
        <f>D14*(1+D5)</f>
        <v/>
      </c>
      <c r="E15" s="26">
        <f>E14*(1+E5)</f>
        <v/>
      </c>
    </row>
    <row r="16">
      <c r="A16" s="25" t="inlineStr">
        <is>
          <t xml:space="preserve">  Revenue – year 5</t>
        </is>
      </c>
      <c r="C16" s="26">
        <f>C15*(1+C5)</f>
        <v/>
      </c>
      <c r="D16" s="26">
        <f>D15*(1+D5)</f>
        <v/>
      </c>
      <c r="E16" s="26">
        <f>E15*(1+E5)</f>
        <v/>
      </c>
    </row>
    <row r="17">
      <c r="A17" s="25" t="inlineStr">
        <is>
          <t xml:space="preserve">  EBIT margin – year 1</t>
        </is>
      </c>
      <c r="C17" s="27">
        <f>C6+(C7-C6)*0/4</f>
        <v/>
      </c>
      <c r="D17" s="27">
        <f>D6+(D7-D6)*0/4</f>
        <v/>
      </c>
      <c r="E17" s="27">
        <f>E6+(E7-E6)*0/4</f>
        <v/>
      </c>
    </row>
    <row r="18">
      <c r="A18" s="25" t="inlineStr">
        <is>
          <t xml:space="preserve">  EBIT margin – year 2</t>
        </is>
      </c>
      <c r="C18" s="27">
        <f>C6+(C7-C6)*1/4</f>
        <v/>
      </c>
      <c r="D18" s="27">
        <f>D6+(D7-D6)*1/4</f>
        <v/>
      </c>
      <c r="E18" s="27">
        <f>E6+(E7-E6)*1/4</f>
        <v/>
      </c>
    </row>
    <row r="19">
      <c r="A19" s="25" t="inlineStr">
        <is>
          <t xml:space="preserve">  EBIT margin – year 3</t>
        </is>
      </c>
      <c r="C19" s="27">
        <f>C6+(C7-C6)*2/4</f>
        <v/>
      </c>
      <c r="D19" s="27">
        <f>D6+(D7-D6)*2/4</f>
        <v/>
      </c>
      <c r="E19" s="27">
        <f>E6+(E7-E6)*2/4</f>
        <v/>
      </c>
    </row>
    <row r="20">
      <c r="A20" s="25" t="inlineStr">
        <is>
          <t xml:space="preserve">  EBIT margin – year 4</t>
        </is>
      </c>
      <c r="C20" s="27">
        <f>C6+(C7-C6)*3/4</f>
        <v/>
      </c>
      <c r="D20" s="27">
        <f>D6+(D7-D6)*3/4</f>
        <v/>
      </c>
      <c r="E20" s="27">
        <f>E6+(E7-E6)*3/4</f>
        <v/>
      </c>
    </row>
    <row r="21">
      <c r="A21" s="25" t="inlineStr">
        <is>
          <t xml:space="preserve">  EBIT margin – year 5</t>
        </is>
      </c>
      <c r="C21" s="27">
        <f>C6+(C7-C6)*4/4</f>
        <v/>
      </c>
      <c r="D21" s="27">
        <f>D6+(D7-D6)*4/4</f>
        <v/>
      </c>
      <c r="E21" s="27">
        <f>E6+(E7-E6)*4/4</f>
        <v/>
      </c>
    </row>
    <row r="22">
      <c r="A22" s="25" t="inlineStr">
        <is>
          <t xml:space="preserve">  Unlevered FCF – year 1</t>
        </is>
      </c>
      <c r="C22" s="26">
        <f>(C12*C17)*(1-0.27)+C12*0.045-C12*0.05-0.075*(C12-11102600)</f>
        <v/>
      </c>
      <c r="D22" s="26">
        <f>(D12*D17)*(1-0.27)+D12*0.045-D12*0.05-0.075*(D12-11102600)</f>
        <v/>
      </c>
      <c r="E22" s="26">
        <f>(E12*E17)*(1-0.27)+E12*0.045-E12*0.05-0.075*(E12-11102600)</f>
        <v/>
      </c>
    </row>
    <row r="23">
      <c r="A23" s="25" t="inlineStr">
        <is>
          <t xml:space="preserve">  Unlevered FCF – year 2</t>
        </is>
      </c>
      <c r="C23" s="26">
        <f>(C13*C18)*(1-0.27)+C13*0.045-C13*0.05-0.075*(C13-C12)</f>
        <v/>
      </c>
      <c r="D23" s="26">
        <f>(D13*D18)*(1-0.27)+D13*0.045-D13*0.05-0.075*(D13-D12)</f>
        <v/>
      </c>
      <c r="E23" s="26">
        <f>(E13*E18)*(1-0.27)+E13*0.045-E13*0.05-0.075*(E13-E12)</f>
        <v/>
      </c>
    </row>
    <row r="24">
      <c r="A24" s="25" t="inlineStr">
        <is>
          <t xml:space="preserve">  Unlevered FCF – year 3</t>
        </is>
      </c>
      <c r="C24" s="26">
        <f>(C14*C19)*(1-0.27)+C14*0.045-C14*0.05-0.075*(C14-C13)</f>
        <v/>
      </c>
      <c r="D24" s="26">
        <f>(D14*D19)*(1-0.27)+D14*0.045-D14*0.05-0.075*(D14-D13)</f>
        <v/>
      </c>
      <c r="E24" s="26">
        <f>(E14*E19)*(1-0.27)+E14*0.045-E14*0.05-0.075*(E14-E13)</f>
        <v/>
      </c>
    </row>
    <row r="25">
      <c r="A25" s="25" t="inlineStr">
        <is>
          <t xml:space="preserve">  Unlevered FCF – year 4</t>
        </is>
      </c>
      <c r="C25" s="26">
        <f>(C15*C20)*(1-0.27)+C15*0.045-C15*0.05-0.075*(C15-C14)</f>
        <v/>
      </c>
      <c r="D25" s="26">
        <f>(D15*D20)*(1-0.27)+D15*0.045-D15*0.05-0.075*(D15-D14)</f>
        <v/>
      </c>
      <c r="E25" s="26">
        <f>(E15*E20)*(1-0.27)+E15*0.045-E15*0.05-0.075*(E15-E14)</f>
        <v/>
      </c>
    </row>
    <row r="26">
      <c r="A26" s="25" t="inlineStr">
        <is>
          <t xml:space="preserve">  Unlevered FCF – year 5</t>
        </is>
      </c>
      <c r="C26" s="26">
        <f>(C16*C21)*(1-0.27)+C16*0.045-C16*0.05-0.075*(C16-C15)</f>
        <v/>
      </c>
      <c r="D26" s="26">
        <f>(D16*D21)*(1-0.27)+D16*0.045-D16*0.05-0.075*(D16-D15)</f>
        <v/>
      </c>
      <c r="E26" s="26">
        <f>(E16*E21)*(1-0.27)+E16*0.045-E16*0.05-0.075*(E16-E15)</f>
        <v/>
      </c>
    </row>
    <row r="28">
      <c r="A28" s="18" t="inlineStr">
        <is>
          <t>Enterprise value (DCF)</t>
        </is>
      </c>
      <c r="C28" s="28">
        <f>NPV(C8,C22,C23,C24,C25,C26)+(C26*(1+C9)/(C8-C9))/(1+C8)^5</f>
        <v/>
      </c>
      <c r="D28" s="28">
        <f>NPV(D8,D22,D23,D24,D25,D26)+(D26*(1+D9)/(D8-D9))/(1+D8)^5</f>
        <v/>
      </c>
      <c r="E28" s="28">
        <f>NPV(E8,E22,E23,E24,E25,E26)+(E26*(1+E9)/(E8-E9))/(1+E8)^5</f>
        <v/>
      </c>
    </row>
    <row r="29">
      <c r="A29" s="29" t="inlineStr">
        <is>
          <t>Implied share price</t>
        </is>
      </c>
      <c r="C29" s="30">
        <f>(C28+1807202-0)/111380</f>
        <v/>
      </c>
      <c r="D29" s="31">
        <f>(D28+1807202-0)/111380</f>
        <v/>
      </c>
      <c r="E29" s="30">
        <f>(E28+1807202-0)/111380</f>
        <v/>
      </c>
    </row>
    <row r="30">
      <c r="A30" s="18" t="inlineStr">
        <is>
          <t>Upside / (downside) vs current</t>
        </is>
      </c>
      <c r="C30" s="32">
        <f>C29/100.0-1</f>
        <v/>
      </c>
      <c r="D30" s="32">
        <f>D29/100.0-1</f>
        <v/>
      </c>
      <c r="E30" s="32">
        <f>E29/100.0-1</f>
        <v/>
      </c>
    </row>
    <row r="32">
      <c r="A32" s="16" t="inlineStr">
        <is>
          <t>Current price $100.00; cash $1,807,202 k; net debt $0 (net-cash balance sheet).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6" customHeight="1">
      <c r="A1" s="11" t="inlineStr">
        <is>
          <t>DISCOUNTED CASH FLOW — BASE CASE  (US$ thousands)</t>
        </is>
      </c>
      <c r="B1" s="12" t="n"/>
      <c r="C1" s="12" t="n"/>
      <c r="D1" s="12" t="n"/>
      <c r="E1" s="12" t="n"/>
      <c r="F1" s="12" t="n"/>
      <c r="G1" s="12" t="n"/>
      <c r="H1" s="12" t="n"/>
    </row>
    <row r="2">
      <c r="C2" s="33" t="inlineStr">
        <is>
          <t>FY2025A</t>
        </is>
      </c>
      <c r="D2" s="34" t="inlineStr">
        <is>
          <t>FY2026E</t>
        </is>
      </c>
      <c r="E2" s="34" t="inlineStr">
        <is>
          <t>FY2027E</t>
        </is>
      </c>
      <c r="F2" s="34" t="inlineStr">
        <is>
          <t>FY2028E</t>
        </is>
      </c>
      <c r="G2" s="34" t="inlineStr">
        <is>
          <t>FY2029E</t>
        </is>
      </c>
      <c r="H2" s="34" t="inlineStr">
        <is>
          <t>FY2030E</t>
        </is>
      </c>
    </row>
    <row r="3">
      <c r="A3" s="35" t="inlineStr">
        <is>
          <t>Forecast drivers linked to Scenarios tab → Base case (column D)</t>
        </is>
      </c>
    </row>
    <row r="5">
      <c r="A5" s="14" t="inlineStr">
        <is>
          <t>Net revenue</t>
        </is>
      </c>
      <c r="C5" s="36" t="n">
        <v>11102600</v>
      </c>
      <c r="D5" s="37">
        <f>Scenarios!D12</f>
        <v/>
      </c>
      <c r="E5" s="37">
        <f>Scenarios!D13</f>
        <v/>
      </c>
      <c r="F5" s="37">
        <f>Scenarios!D14</f>
        <v/>
      </c>
      <c r="G5" s="37">
        <f>Scenarios!D15</f>
        <v/>
      </c>
      <c r="H5" s="37">
        <f>Scenarios!D16</f>
        <v/>
      </c>
    </row>
    <row r="6">
      <c r="A6" s="14" t="inlineStr">
        <is>
          <t>Revenue growth %</t>
        </is>
      </c>
      <c r="D6" s="38">
        <f>D5/C5-1</f>
        <v/>
      </c>
      <c r="E6" s="38">
        <f>E5/D5-1</f>
        <v/>
      </c>
      <c r="F6" s="38">
        <f>F5/E5-1</f>
        <v/>
      </c>
      <c r="G6" s="38">
        <f>G5/F5-1</f>
        <v/>
      </c>
      <c r="H6" s="38">
        <f>H5/G5-1</f>
        <v/>
      </c>
    </row>
    <row r="7">
      <c r="A7" s="14" t="inlineStr">
        <is>
          <t>EBIT (operating) margin %</t>
        </is>
      </c>
      <c r="D7" s="38">
        <f>Scenarios!D17</f>
        <v/>
      </c>
      <c r="E7" s="38">
        <f>Scenarios!D18</f>
        <v/>
      </c>
      <c r="F7" s="38">
        <f>Scenarios!D19</f>
        <v/>
      </c>
      <c r="G7" s="38">
        <f>Scenarios!D20</f>
        <v/>
      </c>
      <c r="H7" s="38">
        <f>Scenarios!D21</f>
        <v/>
      </c>
    </row>
    <row r="8">
      <c r="A8" s="18" t="inlineStr">
        <is>
          <t>EBIT</t>
        </is>
      </c>
      <c r="C8" s="39" t="n">
        <v>2210615</v>
      </c>
      <c r="D8" s="28">
        <f>D5*D7</f>
        <v/>
      </c>
      <c r="E8" s="28">
        <f>E5*E7</f>
        <v/>
      </c>
      <c r="F8" s="28">
        <f>F5*F7</f>
        <v/>
      </c>
      <c r="G8" s="28">
        <f>G5*G7</f>
        <v/>
      </c>
      <c r="H8" s="28">
        <f>H5*H7</f>
        <v/>
      </c>
    </row>
    <row r="9">
      <c r="A9" s="14" t="inlineStr">
        <is>
          <t>Less: cash taxes on EBIT</t>
        </is>
      </c>
      <c r="D9" s="37">
        <f>-D8*WACC!C10</f>
        <v/>
      </c>
      <c r="E9" s="37">
        <f>-E8*WACC!C10</f>
        <v/>
      </c>
      <c r="F9" s="37">
        <f>-F8*WACC!C10</f>
        <v/>
      </c>
      <c r="G9" s="37">
        <f>-G8*WACC!C10</f>
        <v/>
      </c>
      <c r="H9" s="37">
        <f>-H8*WACC!C10</f>
        <v/>
      </c>
    </row>
    <row r="10">
      <c r="A10" s="18" t="inlineStr">
        <is>
          <t>NOPAT</t>
        </is>
      </c>
      <c r="D10" s="28">
        <f>D8+D9</f>
        <v/>
      </c>
      <c r="E10" s="28">
        <f>E8+E9</f>
        <v/>
      </c>
      <c r="F10" s="28">
        <f>F8+F9</f>
        <v/>
      </c>
      <c r="G10" s="28">
        <f>G8+G9</f>
        <v/>
      </c>
      <c r="H10" s="28">
        <f>H8+H9</f>
        <v/>
      </c>
    </row>
    <row r="11">
      <c r="A11" s="14" t="inlineStr">
        <is>
          <t xml:space="preserve">  D&amp;A % of revenue</t>
        </is>
      </c>
      <c r="D11" s="15" t="n">
        <v>0.045</v>
      </c>
      <c r="E11" s="15" t="n">
        <v>0.045</v>
      </c>
      <c r="F11" s="15" t="n">
        <v>0.045</v>
      </c>
      <c r="G11" s="15" t="n">
        <v>0.045</v>
      </c>
      <c r="H11" s="15" t="n">
        <v>0.045</v>
      </c>
    </row>
    <row r="12">
      <c r="A12" s="14" t="inlineStr">
        <is>
          <t>Plus: depreciation &amp; amortization</t>
        </is>
      </c>
      <c r="D12" s="37">
        <f>D5*D11</f>
        <v/>
      </c>
      <c r="E12" s="37">
        <f>E5*E11</f>
        <v/>
      </c>
      <c r="F12" s="37">
        <f>F5*F11</f>
        <v/>
      </c>
      <c r="G12" s="37">
        <f>G5*G11</f>
        <v/>
      </c>
      <c r="H12" s="37">
        <f>H5*H11</f>
        <v/>
      </c>
    </row>
    <row r="13">
      <c r="A13" s="14" t="inlineStr">
        <is>
          <t xml:space="preserve">  Capex % of revenue</t>
        </is>
      </c>
      <c r="D13" s="15" t="n">
        <v>0.05</v>
      </c>
      <c r="E13" s="15" t="n">
        <v>0.05</v>
      </c>
      <c r="F13" s="15" t="n">
        <v>0.05</v>
      </c>
      <c r="G13" s="15" t="n">
        <v>0.05</v>
      </c>
      <c r="H13" s="15" t="n">
        <v>0.05</v>
      </c>
    </row>
    <row r="14">
      <c r="A14" s="14" t="inlineStr">
        <is>
          <t>Less: capital expenditures</t>
        </is>
      </c>
      <c r="D14" s="37">
        <f>-D5*D13</f>
        <v/>
      </c>
      <c r="E14" s="37">
        <f>-E5*E13</f>
        <v/>
      </c>
      <c r="F14" s="37">
        <f>-F5*F13</f>
        <v/>
      </c>
      <c r="G14" s="37">
        <f>-G5*G13</f>
        <v/>
      </c>
      <c r="H14" s="37">
        <f>-H5*H13</f>
        <v/>
      </c>
    </row>
    <row r="15">
      <c r="A15" s="14" t="inlineStr">
        <is>
          <t xml:space="preserve">  NWC % of revenue</t>
        </is>
      </c>
      <c r="D15" s="15" t="n">
        <v>0.075</v>
      </c>
      <c r="E15" s="15" t="n">
        <v>0.075</v>
      </c>
      <c r="F15" s="15" t="n">
        <v>0.075</v>
      </c>
      <c r="G15" s="15" t="n">
        <v>0.075</v>
      </c>
      <c r="H15" s="15" t="n">
        <v>0.075</v>
      </c>
    </row>
    <row r="16">
      <c r="A16" s="14" t="inlineStr">
        <is>
          <t>Less: increase in net working capital</t>
        </is>
      </c>
      <c r="D16" s="37">
        <f>-D15*(D5-C5)</f>
        <v/>
      </c>
      <c r="E16" s="37">
        <f>-E15*(E5-D5)</f>
        <v/>
      </c>
      <c r="F16" s="37">
        <f>-F15*(F5-E5)</f>
        <v/>
      </c>
      <c r="G16" s="37">
        <f>-G15*(G5-F5)</f>
        <v/>
      </c>
      <c r="H16" s="37">
        <f>-H15*(H5-G5)</f>
        <v/>
      </c>
    </row>
    <row r="17">
      <c r="A17" s="18" t="inlineStr">
        <is>
          <t>Unlevered free cash flow</t>
        </is>
      </c>
      <c r="D17" s="40">
        <f>D10+D12+D14+D16</f>
        <v/>
      </c>
      <c r="E17" s="40">
        <f>E10+E12+E14+E16</f>
        <v/>
      </c>
      <c r="F17" s="40">
        <f>F10+F12+F14+F16</f>
        <v/>
      </c>
      <c r="G17" s="40">
        <f>G10+G12+G14+G16</f>
        <v/>
      </c>
      <c r="H17" s="40">
        <f>H10+H12+H14+H16</f>
        <v/>
      </c>
    </row>
    <row r="18">
      <c r="A18" s="14" t="inlineStr">
        <is>
          <t>Discount period (years)</t>
        </is>
      </c>
      <c r="D18" s="41" t="n">
        <v>1</v>
      </c>
      <c r="E18" s="41" t="n">
        <v>2</v>
      </c>
      <c r="F18" s="41" t="n">
        <v>3</v>
      </c>
      <c r="G18" s="41" t="n">
        <v>4</v>
      </c>
      <c r="H18" s="41" t="n">
        <v>5</v>
      </c>
    </row>
    <row r="19">
      <c r="A19" s="14" t="inlineStr">
        <is>
          <t>Discount factor @ WACC</t>
        </is>
      </c>
      <c r="D19" s="42">
        <f>1/(1+Scenarios!$D$8)^D18</f>
        <v/>
      </c>
      <c r="E19" s="42">
        <f>1/(1+Scenarios!$D$8)^E18</f>
        <v/>
      </c>
      <c r="F19" s="42">
        <f>1/(1+Scenarios!$D$8)^F18</f>
        <v/>
      </c>
      <c r="G19" s="42">
        <f>1/(1+Scenarios!$D$8)^G18</f>
        <v/>
      </c>
      <c r="H19" s="42">
        <f>1/(1+Scenarios!$D$8)^H18</f>
        <v/>
      </c>
    </row>
    <row r="20">
      <c r="A20" s="18" t="inlineStr">
        <is>
          <t>PV of unlevered FCF</t>
        </is>
      </c>
      <c r="D20" s="28">
        <f>D17*D19</f>
        <v/>
      </c>
      <c r="E20" s="28">
        <f>E17*E19</f>
        <v/>
      </c>
      <c r="F20" s="28">
        <f>F17*F19</f>
        <v/>
      </c>
      <c r="G20" s="28">
        <f>G17*G19</f>
        <v/>
      </c>
      <c r="H20" s="28">
        <f>H17*H19</f>
        <v/>
      </c>
    </row>
    <row r="22">
      <c r="A22" s="43" t="inlineStr">
        <is>
          <t>VALUATION — GORDON GROWTH (PERPETUITY) METHOD</t>
        </is>
      </c>
      <c r="B22" s="12" t="n"/>
      <c r="C22" s="12" t="n"/>
    </row>
    <row r="23">
      <c r="A23" s="18" t="inlineStr">
        <is>
          <t>Sum of PV of explicit FCF (FY26–FY30)</t>
        </is>
      </c>
      <c r="C23" s="44">
        <f>SUM(D20:H20)</f>
        <v/>
      </c>
    </row>
    <row r="24">
      <c r="A24" s="14" t="inlineStr">
        <is>
          <t>Terminal growth rate (g)</t>
        </is>
      </c>
      <c r="C24" s="38">
        <f>Scenarios!$D$9</f>
        <v/>
      </c>
    </row>
    <row r="25">
      <c r="A25" s="14" t="inlineStr">
        <is>
          <t>Terminal value = FCF₅×(1+g)/(WACC−g)</t>
        </is>
      </c>
      <c r="C25" s="37">
        <f>H17*(1+Scenarios!$D$9)/(Scenarios!$D$8-Scenarios!$D$9)</f>
        <v/>
      </c>
    </row>
    <row r="26">
      <c r="A26" s="14" t="inlineStr">
        <is>
          <t xml:space="preserve">  Implied terminal EV/EBITDA (sanity check)</t>
        </is>
      </c>
      <c r="C26" s="45">
        <f>C25/(H8+H12)</f>
        <v/>
      </c>
    </row>
    <row r="27">
      <c r="A27" s="18" t="inlineStr">
        <is>
          <t>PV of terminal value</t>
        </is>
      </c>
      <c r="C27" s="44">
        <f>C25/(1+Scenarios!$D$8)^H18</f>
        <v/>
      </c>
    </row>
    <row r="28">
      <c r="A28" s="18" t="inlineStr">
        <is>
          <t>Enterprise value</t>
        </is>
      </c>
      <c r="C28" s="28">
        <f>C23+C27</f>
        <v/>
      </c>
    </row>
    <row r="29">
      <c r="A29" s="14" t="inlineStr">
        <is>
          <t>Plus: cash &amp; equivalents (FY2025)</t>
        </is>
      </c>
      <c r="C29" s="36" t="n">
        <v>1807202</v>
      </c>
    </row>
    <row r="30">
      <c r="A30" s="14" t="inlineStr">
        <is>
          <t>Less: total debt</t>
        </is>
      </c>
      <c r="C30" s="36" t="n">
        <v>0</v>
      </c>
    </row>
    <row r="31">
      <c r="A31" s="18" t="inlineStr">
        <is>
          <t>Equity value</t>
        </is>
      </c>
      <c r="C31" s="28">
        <f>C28+C29+C30</f>
        <v/>
      </c>
    </row>
    <row r="32">
      <c r="A32" s="14" t="inlineStr">
        <is>
          <t>Diluted shares outstanding (000)</t>
        </is>
      </c>
      <c r="C32" s="36" t="n">
        <v>111380</v>
      </c>
    </row>
    <row r="33">
      <c r="A33" s="18" t="inlineStr">
        <is>
          <t>Implied value per share</t>
        </is>
      </c>
      <c r="C33" s="46">
        <f>C31/C32</f>
        <v/>
      </c>
    </row>
    <row r="34">
      <c r="A34" s="14" t="inlineStr">
        <is>
          <t>Current share price</t>
        </is>
      </c>
      <c r="C34" s="47" t="n">
        <v>100</v>
      </c>
    </row>
    <row r="35">
      <c r="A35" s="18" t="inlineStr">
        <is>
          <t>Implied upside / (downside)</t>
        </is>
      </c>
      <c r="C35" s="48">
        <f>C33/C34-1</f>
        <v/>
      </c>
    </row>
    <row r="36">
      <c r="A36" s="14" t="inlineStr">
        <is>
          <t xml:space="preserve">  memo: % of EV from terminal value</t>
        </is>
      </c>
      <c r="C36" s="38">
        <f>C27/C28</f>
        <v/>
      </c>
    </row>
    <row r="38">
      <c r="A38" s="43" t="inlineStr">
        <is>
          <t>CROSS-CHECK — EXIT MULTIPLE METHOD</t>
        </is>
      </c>
      <c r="B38" s="12" t="n"/>
      <c r="C38" s="12" t="n"/>
    </row>
    <row r="39">
      <c r="A39" s="18" t="inlineStr">
        <is>
          <t>Terminal EBITDA (FY2030E EBIT + D&amp;A)</t>
        </is>
      </c>
      <c r="C39" s="44">
        <f>H8+H12</f>
        <v/>
      </c>
    </row>
    <row r="40">
      <c r="A40" s="14" t="inlineStr">
        <is>
          <t>Exit EV/EBITDA multiple</t>
        </is>
      </c>
      <c r="C40" s="49" t="n">
        <v>8</v>
      </c>
    </row>
    <row r="41">
      <c r="A41" s="14" t="inlineStr">
        <is>
          <t>Terminal value (exit multiple)</t>
        </is>
      </c>
      <c r="C41" s="37">
        <f>C39*C40</f>
        <v/>
      </c>
    </row>
    <row r="42">
      <c r="A42" s="14" t="inlineStr">
        <is>
          <t>PV of terminal value</t>
        </is>
      </c>
      <c r="C42" s="37">
        <f>C41/(1+Scenarios!$D$8)^H18</f>
        <v/>
      </c>
    </row>
    <row r="43">
      <c r="A43" s="18" t="inlineStr">
        <is>
          <t>Enterprise value (exit method)</t>
        </is>
      </c>
      <c r="C43" s="28">
        <f>C23+C42</f>
        <v/>
      </c>
    </row>
    <row r="44">
      <c r="A44" s="18" t="inlineStr">
        <is>
          <t>Implied value per share (exit method)</t>
        </is>
      </c>
      <c r="C44" s="50">
        <f>(C43+C29+C30)/C32</f>
        <v/>
      </c>
    </row>
    <row r="47">
      <c r="A47" s="43" t="inlineStr">
        <is>
          <t>SENSITIVITY — IMPLIED SHARE PRICE (WACC vs terminal growth)</t>
        </is>
      </c>
      <c r="B47" s="12" t="n"/>
      <c r="C47" s="12" t="n"/>
      <c r="D47" s="12" t="n"/>
      <c r="E47" s="12" t="n"/>
      <c r="F47" s="12" t="n"/>
      <c r="G47" s="12" t="n"/>
      <c r="H47" s="12" t="n"/>
    </row>
    <row r="48">
      <c r="A48" s="51" t="inlineStr">
        <is>
          <t>WACC \ g</t>
        </is>
      </c>
      <c r="D48" s="52" t="n">
        <v>0.015</v>
      </c>
      <c r="E48" s="52" t="n">
        <v>0.02</v>
      </c>
      <c r="F48" s="52" t="n">
        <v>0.0225</v>
      </c>
      <c r="G48" s="52" t="n">
        <v>0.025</v>
      </c>
      <c r="H48" s="52" t="n">
        <v>0.03</v>
      </c>
    </row>
    <row r="49">
      <c r="A49" s="52" t="n">
        <v>0.09</v>
      </c>
      <c r="D49" s="53">
        <f>(NPV(0.09,D17:H17)+(H17*(1+0.015)/(0.09-0.015))/(1+0.09)^5+C29+C30)/C32</f>
        <v/>
      </c>
      <c r="E49" s="53">
        <f>(NPV(0.09,D17:H17)+(H17*(1+0.02)/(0.09-0.02))/(1+0.09)^5+C29+C30)/C32</f>
        <v/>
      </c>
      <c r="F49" s="53">
        <f>(NPV(0.09,D17:H17)+(H17*(1+0.0225)/(0.09-0.0225))/(1+0.09)^5+C29+C30)/C32</f>
        <v/>
      </c>
      <c r="G49" s="53">
        <f>(NPV(0.09,D17:H17)+(H17*(1+0.025)/(0.09-0.025))/(1+0.09)^5+C29+C30)/C32</f>
        <v/>
      </c>
      <c r="H49" s="53">
        <f>(NPV(0.09,D17:H17)+(H17*(1+0.03)/(0.09-0.03))/(1+0.09)^5+C29+C30)/C32</f>
        <v/>
      </c>
    </row>
    <row r="50">
      <c r="A50" s="52" t="n">
        <v>0.095</v>
      </c>
      <c r="D50" s="53">
        <f>(NPV(0.095,D17:H17)+(H17*(1+0.015)/(0.095-0.015))/(1+0.095)^5+C29+C30)/C32</f>
        <v/>
      </c>
      <c r="E50" s="53">
        <f>(NPV(0.095,D17:H17)+(H17*(1+0.02)/(0.095-0.02))/(1+0.095)^5+C29+C30)/C32</f>
        <v/>
      </c>
      <c r="F50" s="53">
        <f>(NPV(0.095,D17:H17)+(H17*(1+0.0225)/(0.095-0.0225))/(1+0.095)^5+C29+C30)/C32</f>
        <v/>
      </c>
      <c r="G50" s="53">
        <f>(NPV(0.095,D17:H17)+(H17*(1+0.025)/(0.095-0.025))/(1+0.095)^5+C29+C30)/C32</f>
        <v/>
      </c>
      <c r="H50" s="53">
        <f>(NPV(0.095,D17:H17)+(H17*(1+0.03)/(0.095-0.03))/(1+0.095)^5+C29+C30)/C32</f>
        <v/>
      </c>
    </row>
    <row r="51">
      <c r="A51" s="52" t="n">
        <v>0.1</v>
      </c>
      <c r="D51" s="53">
        <f>(NPV(0.1,D17:H17)+(H17*(1+0.015)/(0.1-0.015))/(1+0.1)^5+C29+C30)/C32</f>
        <v/>
      </c>
      <c r="E51" s="53">
        <f>(NPV(0.1,D17:H17)+(H17*(1+0.02)/(0.1-0.02))/(1+0.1)^5+C29+C30)/C32</f>
        <v/>
      </c>
      <c r="F51" s="54">
        <f>(NPV(0.1,D17:H17)+(H17*(1+0.0225)/(0.1-0.0225))/(1+0.1)^5+C29+C30)/C32</f>
        <v/>
      </c>
      <c r="G51" s="53">
        <f>(NPV(0.1,D17:H17)+(H17*(1+0.025)/(0.1-0.025))/(1+0.1)^5+C29+C30)/C32</f>
        <v/>
      </c>
      <c r="H51" s="53">
        <f>(NPV(0.1,D17:H17)+(H17*(1+0.03)/(0.1-0.03))/(1+0.1)^5+C29+C30)/C32</f>
        <v/>
      </c>
    </row>
    <row r="52">
      <c r="A52" s="52" t="n">
        <v>0.105</v>
      </c>
      <c r="D52" s="53">
        <f>(NPV(0.105,D17:H17)+(H17*(1+0.015)/(0.105-0.015))/(1+0.105)^5+C29+C30)/C32</f>
        <v/>
      </c>
      <c r="E52" s="53">
        <f>(NPV(0.105,D17:H17)+(H17*(1+0.02)/(0.105-0.02))/(1+0.105)^5+C29+C30)/C32</f>
        <v/>
      </c>
      <c r="F52" s="53">
        <f>(NPV(0.105,D17:H17)+(H17*(1+0.0225)/(0.105-0.0225))/(1+0.105)^5+C29+C30)/C32</f>
        <v/>
      </c>
      <c r="G52" s="53">
        <f>(NPV(0.105,D17:H17)+(H17*(1+0.025)/(0.105-0.025))/(1+0.105)^5+C29+C30)/C32</f>
        <v/>
      </c>
      <c r="H52" s="53">
        <f>(NPV(0.105,D17:H17)+(H17*(1+0.03)/(0.105-0.03))/(1+0.105)^5+C29+C30)/C32</f>
        <v/>
      </c>
    </row>
    <row r="53">
      <c r="A53" s="52" t="n">
        <v>0.11</v>
      </c>
      <c r="D53" s="53">
        <f>(NPV(0.11,D17:H17)+(H17*(1+0.015)/(0.11-0.015))/(1+0.11)^5+C29+C30)/C32</f>
        <v/>
      </c>
      <c r="E53" s="53">
        <f>(NPV(0.11,D17:H17)+(H17*(1+0.02)/(0.11-0.02))/(1+0.11)^5+C29+C30)/C32</f>
        <v/>
      </c>
      <c r="F53" s="53">
        <f>(NPV(0.11,D17:H17)+(H17*(1+0.0225)/(0.11-0.0225))/(1+0.11)^5+C29+C30)/C32</f>
        <v/>
      </c>
      <c r="G53" s="53">
        <f>(NPV(0.11,D17:H17)+(H17*(1+0.025)/(0.11-0.025))/(1+0.11)^5+C29+C30)/C32</f>
        <v/>
      </c>
      <c r="H53" s="53">
        <f>(NPV(0.11,D17:H17)+(H17*(1+0.03)/(0.11-0.03))/(1+0.11)^5+C29+C30)/C32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16" customHeight="1">
      <c r="A1" s="11" t="inlineStr">
        <is>
          <t>RELATIVE VALUATION — IMPLIED PRICE RANGES (FOOTBALL FIELD)</t>
        </is>
      </c>
      <c r="B1" s="12" t="n"/>
      <c r="C1" s="12" t="n"/>
      <c r="D1" s="12" t="n"/>
      <c r="E1" s="12" t="n"/>
      <c r="F1" s="12" t="n"/>
    </row>
    <row r="3">
      <c r="A3" s="13" t="inlineStr">
        <is>
          <t>LULU operating metrics (FY2025A / FY2026E)</t>
        </is>
      </c>
    </row>
    <row r="4">
      <c r="A4" s="14" t="inlineStr">
        <is>
          <t>FY2025A revenue</t>
        </is>
      </c>
      <c r="C4" s="36" t="n">
        <v>11102600</v>
      </c>
    </row>
    <row r="5">
      <c r="A5" s="14" t="inlineStr">
        <is>
          <t>FY2025A EBITDA (EBIT + D&amp;A)</t>
        </is>
      </c>
      <c r="C5" s="37">
        <f>2210615+496228</f>
        <v/>
      </c>
    </row>
    <row r="6">
      <c r="A6" s="14" t="inlineStr">
        <is>
          <t>FY2026E diluted EPS (guidance midpoint)</t>
        </is>
      </c>
      <c r="C6" s="47" t="n">
        <v>9.609999999999999</v>
      </c>
    </row>
    <row r="7">
      <c r="A7" s="14" t="inlineStr">
        <is>
          <t>Cash &amp; equivalents</t>
        </is>
      </c>
      <c r="C7" s="36" t="n">
        <v>1807202</v>
      </c>
    </row>
    <row r="8">
      <c r="A8" s="14" t="inlineStr">
        <is>
          <t>Diluted shares (000)</t>
        </is>
      </c>
      <c r="C8" s="36" t="n">
        <v>111380</v>
      </c>
    </row>
    <row r="9">
      <c r="A9" s="14" t="inlineStr">
        <is>
          <t>Current share price</t>
        </is>
      </c>
      <c r="C9" s="47" t="n">
        <v>100</v>
      </c>
    </row>
    <row r="10">
      <c r="A10" s="55" t="inlineStr">
        <is>
          <t xml:space="preserve">  memo: current EV / EBITDA</t>
        </is>
      </c>
      <c r="C10" s="56">
        <f>(C9*C8-C7)/C5</f>
        <v/>
      </c>
    </row>
    <row r="11">
      <c r="A11" s="55" t="inlineStr">
        <is>
          <t xml:space="preserve">  memo: current P / E (FY2026E)</t>
        </is>
      </c>
      <c r="C11" s="56">
        <f>C9/C6</f>
        <v/>
      </c>
    </row>
    <row r="13">
      <c r="A13" s="13" t="inlineStr">
        <is>
          <t>Methodology / multiple ranges</t>
        </is>
      </c>
    </row>
    <row r="14">
      <c r="A14" s="57" t="inlineStr">
        <is>
          <t>Method</t>
        </is>
      </c>
      <c r="C14" s="58" t="inlineStr">
        <is>
          <t>Low mult.</t>
        </is>
      </c>
      <c r="D14" s="58" t="inlineStr">
        <is>
          <t>High mult.</t>
        </is>
      </c>
      <c r="E14" s="58" t="inlineStr">
        <is>
          <t>Implied px (low)</t>
        </is>
      </c>
      <c r="F14" s="58" t="inlineStr">
        <is>
          <t>Implied px (high)</t>
        </is>
      </c>
    </row>
    <row r="15">
      <c r="A15" s="14" t="inlineStr">
        <is>
          <t>EV / EBITDA (FY2025A)</t>
        </is>
      </c>
      <c r="C15" s="59" t="n">
        <v>4.5</v>
      </c>
      <c r="D15" s="59" t="n">
        <v>7.5</v>
      </c>
      <c r="E15" s="60">
        <f>(C5*C15+C7)/C8</f>
        <v/>
      </c>
      <c r="F15" s="60">
        <f>(C5*D15+C7)/C8</f>
        <v/>
      </c>
    </row>
    <row r="16">
      <c r="A16" s="14" t="inlineStr">
        <is>
          <t>P / E (FY2026E EPS)</t>
        </is>
      </c>
      <c r="C16" s="59" t="n">
        <v>10</v>
      </c>
      <c r="D16" s="59" t="n">
        <v>18</v>
      </c>
      <c r="E16" s="60">
        <f>C6*C16</f>
        <v/>
      </c>
      <c r="F16" s="60">
        <f>C6*D16</f>
        <v/>
      </c>
    </row>
    <row r="17">
      <c r="A17" s="14" t="inlineStr">
        <is>
          <t>DCF (bear – bull)</t>
        </is>
      </c>
      <c r="C17" s="61" t="inlineStr">
        <is>
          <t>—</t>
        </is>
      </c>
      <c r="D17" s="61" t="inlineStr">
        <is>
          <t>—</t>
        </is>
      </c>
      <c r="E17" s="60">
        <f>Scenarios!C29</f>
        <v/>
      </c>
      <c r="F17" s="60">
        <f>Scenarios!E29</f>
        <v/>
      </c>
    </row>
    <row r="19">
      <c r="A19" s="62" t="inlineStr">
        <is>
          <t>Current price</t>
        </is>
      </c>
      <c r="C19" s="63" t="n">
        <v>100</v>
      </c>
    </row>
    <row r="20">
      <c r="A20" s="16" t="inlineStr">
        <is>
          <t>Note: peer set includes NKE, DECK, ONON, adidas, VFC; multiples are analyst ranges (red).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2026-09-06T18:34:20Z</dcterms:created>
  <dcterms:modified xmlns:dcterms="http://purl.org/dc/terms/" xmlns:xsi="http://www.w3.org/2001/XMLSchema-instance" xsi:type="dcterms:W3CDTF">2026-09-06T18:34:20Z</dcterms:modified>
</cp:coreProperties>
</file>
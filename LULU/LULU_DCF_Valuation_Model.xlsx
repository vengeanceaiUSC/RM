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0.000"/>
    <numFmt numFmtId="168" formatCode="0.0x"/>
    <numFmt numFmtId="169" formatCode="#,##0.0"/>
  </numFmts>
  <fonts count="4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168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9" fontId="11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8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fred.stlouisfed.org/series/GDPC1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nasdaq.com/market-activity/stocks/lulu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hyperlink" Target="https://fred.stlouisfed.org/series/GDPC1" TargetMode="External" Id="rId2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2" t="inlineStr">
        <is>
          <t>Justification (~20 words)</t>
        </is>
      </c>
      <c r="C2" s="42" t="inlineStr">
        <is>
          <t>Source (click)</t>
        </is>
      </c>
      <c r="D2" s="42" t="inlineStr">
        <is>
          <t>Ctrl+F (prove number)</t>
        </is>
      </c>
      <c r="E2" s="43" t="inlineStr">
        <is>
          <t>FY2025A</t>
        </is>
      </c>
      <c r="F2" s="44" t="inlineStr">
        <is>
          <t>FY2026E</t>
        </is>
      </c>
      <c r="G2" s="44" t="inlineStr">
        <is>
          <t>FY2027E</t>
        </is>
      </c>
      <c r="H2" s="44" t="inlineStr">
        <is>
          <t>FY2028E</t>
        </is>
      </c>
      <c r="I2" s="44" t="inlineStr">
        <is>
          <t>FY2029E</t>
        </is>
      </c>
      <c r="J2" s="44" t="inlineStr">
        <is>
          <t>FY2030E</t>
        </is>
      </c>
      <c r="K2" s="45" t="inlineStr">
        <is>
          <t>Δ vs Scenarios</t>
        </is>
      </c>
      <c r="L2" s="42" t="inlineStr">
        <is>
          <t>Alt. source</t>
        </is>
      </c>
      <c r="M2" s="42" t="inlineStr">
        <is>
          <t>Alt. Ctrl+F</t>
        </is>
      </c>
    </row>
    <row r="3" ht="28" customHeight="1">
      <c r="A3" s="46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7" t="inlineStr">
        <is>
          <t>10-K</t>
        </is>
      </c>
      <c r="K3" s="48" t="inlineStr">
        <is>
          <t>(should be 0)</t>
        </is>
      </c>
    </row>
    <row r="5">
      <c r="A5" s="16" t="inlineStr">
        <is>
          <t>Net revenue</t>
        </is>
      </c>
      <c r="E5" s="49" t="n">
        <v>11102600</v>
      </c>
      <c r="F5" s="50">
        <f>Scenarios!G18</f>
        <v/>
      </c>
      <c r="G5" s="50">
        <f>Scenarios!G19</f>
        <v/>
      </c>
      <c r="H5" s="50">
        <f>Scenarios!G20</f>
        <v/>
      </c>
      <c r="I5" s="50">
        <f>Scenarios!G21</f>
        <v/>
      </c>
      <c r="J5" s="50">
        <f>Scenarios!G22</f>
        <v/>
      </c>
      <c r="K5" s="51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2">
        <f>F5/E5-1</f>
        <v/>
      </c>
      <c r="G6" s="52">
        <f>G5/F5-1</f>
        <v/>
      </c>
      <c r="H6" s="52">
        <f>H5/G5-1</f>
        <v/>
      </c>
      <c r="I6" s="52">
        <f>I5/H5-1</f>
        <v/>
      </c>
      <c r="J6" s="5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2">
        <f>Scenarios!G23</f>
        <v/>
      </c>
      <c r="G7" s="52">
        <f>Scenarios!G24</f>
        <v/>
      </c>
      <c r="H7" s="52">
        <f>Scenarios!G25</f>
        <v/>
      </c>
      <c r="I7" s="52">
        <f>Scenarios!G26</f>
        <v/>
      </c>
      <c r="J7" s="52">
        <f>Scenarios!G27</f>
        <v/>
      </c>
      <c r="K7" s="51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9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53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54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55" t="n">
        <v>0.1991078666258354</v>
      </c>
      <c r="F10" s="52">
        <f>F9/F5</f>
        <v/>
      </c>
      <c r="G10" s="52">
        <f>G9/G5</f>
        <v/>
      </c>
      <c r="H10" s="52">
        <f>H9/H5</f>
        <v/>
      </c>
      <c r="I10" s="52">
        <f>I9/I5</f>
        <v/>
      </c>
      <c r="J10" s="52">
        <f>J9/J5</f>
        <v/>
      </c>
    </row>
    <row r="11">
      <c r="A11" s="16" t="inlineStr">
        <is>
          <t>Less: cash taxes on EBIT</t>
        </is>
      </c>
      <c r="F11" s="50">
        <f>-Scenarios!G28*Scenarios!$G$11</f>
        <v/>
      </c>
      <c r="G11" s="50">
        <f>-Scenarios!G29*Scenarios!$G$11</f>
        <v/>
      </c>
      <c r="H11" s="50">
        <f>-Scenarios!G30*Scenarios!$G$11</f>
        <v/>
      </c>
      <c r="I11" s="50">
        <f>-Scenarios!G31*Scenarios!$G$11</f>
        <v/>
      </c>
      <c r="J11" s="50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54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50">
        <f>Scenarios!G38</f>
        <v/>
      </c>
      <c r="G14" s="50">
        <f>Scenarios!G39</f>
        <v/>
      </c>
      <c r="H14" s="50">
        <f>Scenarios!G40</f>
        <v/>
      </c>
      <c r="I14" s="50">
        <f>Scenarios!G41</f>
        <v/>
      </c>
      <c r="J14" s="50">
        <f>Scenarios!G42</f>
        <v/>
      </c>
      <c r="K14" s="51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50">
        <f>-Scenarios!G43</f>
        <v/>
      </c>
      <c r="G16" s="50">
        <f>-Scenarios!G44</f>
        <v/>
      </c>
      <c r="H16" s="50">
        <f>-Scenarios!G45</f>
        <v/>
      </c>
      <c r="I16" s="50">
        <f>-Scenarios!G46</f>
        <v/>
      </c>
      <c r="J16" s="50">
        <f>-Scenarios!G47</f>
        <v/>
      </c>
      <c r="K16" s="51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49" t="n">
        <v>190657</v>
      </c>
      <c r="F19" s="50">
        <f>Scenarios!G48</f>
        <v/>
      </c>
      <c r="G19" s="50">
        <f>Scenarios!G49</f>
        <v/>
      </c>
      <c r="H19" s="50">
        <f>Scenarios!G50</f>
        <v/>
      </c>
      <c r="I19" s="50">
        <f>Scenarios!G51</f>
        <v/>
      </c>
      <c r="J19" s="50">
        <f>Scenarios!G52</f>
        <v/>
      </c>
      <c r="K19" s="51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50">
        <f>-Scenarios!G53</f>
        <v/>
      </c>
      <c r="G20" s="50">
        <f>-Scenarios!G54</f>
        <v/>
      </c>
      <c r="H20" s="50">
        <f>-Scenarios!G55</f>
        <v/>
      </c>
      <c r="I20" s="50">
        <f>-Scenarios!G56</f>
        <v/>
      </c>
      <c r="J20" s="50">
        <f>-Scenarios!G57</f>
        <v/>
      </c>
      <c r="K20" s="51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56">
        <f>Scenarios!G58</f>
        <v/>
      </c>
      <c r="G22" s="56">
        <f>Scenarios!G59</f>
        <v/>
      </c>
      <c r="H22" s="56">
        <f>Scenarios!G60</f>
        <v/>
      </c>
      <c r="I22" s="56">
        <f>Scenarios!G61</f>
        <v/>
      </c>
      <c r="J22" s="56">
        <f>Scenarios!G62</f>
        <v/>
      </c>
      <c r="K22" s="54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57" t="n">
        <v>1</v>
      </c>
      <c r="G23" s="57" t="n">
        <v>2</v>
      </c>
      <c r="H23" s="57" t="n">
        <v>3</v>
      </c>
      <c r="I23" s="57" t="n">
        <v>4</v>
      </c>
      <c r="J23" s="57" t="n">
        <v>5</v>
      </c>
    </row>
    <row r="24">
      <c r="A24" s="16" t="inlineStr">
        <is>
          <t>Discount factor @ WACC</t>
        </is>
      </c>
      <c r="F24" s="58">
        <f>1/(1+Scenarios!$G$9)^F23</f>
        <v/>
      </c>
      <c r="G24" s="58">
        <f>1/(1+Scenarios!$G$9)^G23</f>
        <v/>
      </c>
      <c r="H24" s="58">
        <f>1/(1+Scenarios!$G$9)^H23</f>
        <v/>
      </c>
      <c r="I24" s="58">
        <f>1/(1+Scenarios!$G$9)^I23</f>
        <v/>
      </c>
      <c r="J24" s="58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59">
        <f>IF(COUNTIF(K5:K22,"CHECK")=0,"ALL OK","REVIEW")</f>
        <v/>
      </c>
    </row>
    <row r="28">
      <c r="A28" s="60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1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52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50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62">
        <f>E32/E31</f>
        <v/>
      </c>
    </row>
    <row r="34">
      <c r="A34" s="16" t="inlineStr">
        <is>
          <t xml:space="preserve">  memo: (UFCF₃₀ / EBITDA₃₀) × (1+g) / (WACC−g)</t>
        </is>
      </c>
      <c r="E34" s="62">
        <f>J22/E31*(1+Scenarios!$G$10)/(Scenarios!$G$9-Scenarios!$G$10)</f>
        <v/>
      </c>
    </row>
    <row r="35">
      <c r="A35" s="24" t="inlineStr">
        <is>
          <t>PV of terminal value</t>
        </is>
      </c>
      <c r="E35" s="61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63" t="inlineStr">
        <is>
          <t>10-K</t>
        </is>
      </c>
      <c r="D37" s="19" t="inlineStr">
        <is>
          <t>Ctrl+F "Cash and cash equivalents" → 1,807,202 ($000) FY2025</t>
        </is>
      </c>
      <c r="E37" s="49" t="n">
        <v>1807202</v>
      </c>
    </row>
    <row r="38" ht="28" customHeight="1">
      <c r="A38" s="16" t="inlineStr">
        <is>
          <t>Less: total debt</t>
        </is>
      </c>
      <c r="C38" s="63" t="inlineStr">
        <is>
          <t>10-K</t>
        </is>
      </c>
      <c r="D38" s="19" t="inlineStr">
        <is>
          <t>Ctrl+F "no borrowings were outstanding under this facility" → no funded term debt</t>
        </is>
      </c>
      <c r="E38" s="49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63" t="inlineStr">
        <is>
          <t>10-K</t>
        </is>
      </c>
      <c r="D40" s="19" t="inlineStr">
        <is>
          <t>Ctrl+F "Diluted weighted-average number of shares outstanding" → 119,068 (000)</t>
        </is>
      </c>
      <c r="E40" s="49" t="n">
        <v>111380</v>
      </c>
    </row>
    <row r="41">
      <c r="A41" s="24" t="inlineStr">
        <is>
          <t>Implied value per share</t>
        </is>
      </c>
      <c r="E41" s="64">
        <f>E39/E40</f>
        <v/>
      </c>
      <c r="K41" s="54">
        <f>IF(ABS(E41-Scenarios!$G$65)&lt;0.05,"OK","CHECK")</f>
        <v/>
      </c>
    </row>
    <row r="42" ht="28" customHeight="1">
      <c r="A42" s="16" t="inlineStr">
        <is>
          <t>Current share price</t>
        </is>
      </c>
      <c r="C42" s="63" t="inlineStr">
        <is>
          <t>NASDAQ</t>
        </is>
      </c>
      <c r="D42" s="19" t="inlineStr">
        <is>
          <t>Ctrl+F "LULU" → Last Sale or Previous Close on NASDAQ quote page</t>
        </is>
      </c>
      <c r="E42" s="65" t="n">
        <v>100</v>
      </c>
    </row>
    <row r="43">
      <c r="A43" s="24" t="inlineStr">
        <is>
          <t>Implied upside / (downside)</t>
        </is>
      </c>
      <c r="E43" s="66">
        <f>E41/E42-1</f>
        <v/>
      </c>
    </row>
    <row r="44">
      <c r="A44" s="16" t="inlineStr">
        <is>
          <t xml:space="preserve">  memo: % of EV from terminal value</t>
        </is>
      </c>
      <c r="E44" s="52">
        <f>E35/E36</f>
        <v/>
      </c>
    </row>
    <row r="46">
      <c r="A46" s="60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62">
        <f>E33</f>
        <v/>
      </c>
      <c r="M48" s="63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50">
        <f>E31*E48</f>
        <v/>
      </c>
    </row>
    <row r="50">
      <c r="A50" s="16" t="inlineStr">
        <is>
          <t>PV of terminal value</t>
        </is>
      </c>
      <c r="E50" s="50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67">
        <f>(E51+E37+E38)/E40</f>
        <v/>
      </c>
    </row>
    <row r="54">
      <c r="A54" s="60" t="inlineStr">
        <is>
          <t>TERMINAL VALUE RECONCILIATION (GORDON vs EXIT MULTIPLE)</t>
        </is>
      </c>
      <c r="B54" s="13" t="n"/>
      <c r="C54" s="13" t="n"/>
      <c r="D54" s="13" t="n"/>
    </row>
    <row r="55">
      <c r="A55" s="68" t="inlineStr"/>
      <c r="B55" s="69" t="inlineStr">
        <is>
          <t>Gordon Growth</t>
        </is>
      </c>
      <c r="C55" s="69" t="inlineStr">
        <is>
          <t>Exit Multiple</t>
        </is>
      </c>
      <c r="D55" s="69" t="inlineStr">
        <is>
          <t>Variance</t>
        </is>
      </c>
    </row>
    <row r="56">
      <c r="A56" s="24" t="inlineStr">
        <is>
          <t>Terminal value ($)</t>
        </is>
      </c>
      <c r="B56" s="61">
        <f>E32</f>
        <v/>
      </c>
      <c r="C56" s="61">
        <f>E49</f>
        <v/>
      </c>
      <c r="D56" s="61">
        <f>B56-C56</f>
        <v/>
      </c>
    </row>
    <row r="57">
      <c r="A57" s="24" t="inlineStr">
        <is>
          <t>Exit EV/EBITDA (implied vs selected)</t>
        </is>
      </c>
      <c r="B57" s="70">
        <f>E33</f>
        <v/>
      </c>
      <c r="C57" s="70">
        <f>E48</f>
        <v/>
      </c>
      <c r="D57" s="70">
        <f>B57-C57</f>
        <v/>
      </c>
    </row>
    <row r="58">
      <c r="A58" s="16" t="inlineStr">
        <is>
          <t>Terminal value variance (%)</t>
        </is>
      </c>
      <c r="B58" s="52" t="inlineStr"/>
      <c r="C58" s="52" t="inlineStr"/>
      <c r="D58" s="52">
        <f>(B56-C56)/B56</f>
        <v/>
      </c>
    </row>
    <row r="59">
      <c r="A59" s="24" t="inlineStr">
        <is>
          <t>Implied share price</t>
        </is>
      </c>
      <c r="B59" s="71">
        <f>E41</f>
        <v/>
      </c>
      <c r="C59" s="71">
        <f>E52</f>
        <v/>
      </c>
      <c r="D59" s="71">
        <f>B59-C59</f>
        <v/>
      </c>
    </row>
    <row r="60">
      <c r="A60" s="72" t="inlineStr">
        <is>
          <t>Sanity check: multiples within ±1.5 turns?</t>
        </is>
      </c>
      <c r="B60" s="73">
        <f>IF(ABS(D57)&lt;=1.5,"PASS","REVIEW")</f>
        <v/>
      </c>
      <c r="C60" s="74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60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75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76" t="n">
        <v>0.015</v>
      </c>
      <c r="G64" s="76" t="n">
        <v>0.02</v>
      </c>
      <c r="H64" s="76" t="n">
        <v>0.0225</v>
      </c>
      <c r="I64" s="76" t="n">
        <v>0.025</v>
      </c>
      <c r="J64" s="76" t="n">
        <v>0.03</v>
      </c>
      <c r="L64" s="63" t="inlineStr">
        <is>
          <t>Scenarios: terminal g</t>
        </is>
      </c>
    </row>
    <row r="65" ht="28" customHeight="1">
      <c r="A65" s="76" t="n">
        <v>0.095</v>
      </c>
      <c r="C65" s="63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77">
        <f>(NPV(0.095,F22:J22)+(J22*(1+0.015)/(0.095-0.015))/(1+0.095)^5+E37+E38)/E40</f>
        <v/>
      </c>
      <c r="G65" s="77">
        <f>(NPV(0.095,F22:J22)+(J22*(1+0.02)/(0.095-0.02))/(1+0.095)^5+E37+E38)/E40</f>
        <v/>
      </c>
      <c r="H65" s="77">
        <f>(NPV(0.095,F22:J22)+(J22*(1+0.0225)/(0.095-0.0225))/(1+0.095)^5+E37+E38)/E40</f>
        <v/>
      </c>
      <c r="I65" s="77">
        <f>(NPV(0.095,F22:J22)+(J22*(1+0.025)/(0.095-0.025))/(1+0.095)^5+E37+E38)/E40</f>
        <v/>
      </c>
      <c r="J65" s="77">
        <f>(NPV(0.095,F22:J22)+(J22*(1+0.03)/(0.095-0.03))/(1+0.095)^5+E37+E38)/E40</f>
        <v/>
      </c>
      <c r="L65" s="63" t="inlineStr">
        <is>
          <t>WACC tab</t>
        </is>
      </c>
    </row>
    <row r="66" ht="28" customHeight="1">
      <c r="A66" s="76" t="n">
        <v>0.1</v>
      </c>
      <c r="D66" s="19" t="inlineStr">
        <is>
          <t>Ctrl+F "4.23%" (2025 implied ERP). Sensitivity WACC axis brackets the 10.5% base.</t>
        </is>
      </c>
      <c r="F66" s="77">
        <f>(NPV(0.1,F22:J22)+(J22*(1+0.015)/(0.1-0.015))/(1+0.1)^5+E37+E38)/E40</f>
        <v/>
      </c>
      <c r="G66" s="77">
        <f>(NPV(0.1,F22:J22)+(J22*(1+0.02)/(0.1-0.02))/(1+0.1)^5+E37+E38)/E40</f>
        <v/>
      </c>
      <c r="H66" s="77">
        <f>(NPV(0.1,F22:J22)+(J22*(1+0.0225)/(0.1-0.0225))/(1+0.1)^5+E37+E38)/E40</f>
        <v/>
      </c>
      <c r="I66" s="77">
        <f>(NPV(0.1,F22:J22)+(J22*(1+0.025)/(0.1-0.025))/(1+0.1)^5+E37+E38)/E40</f>
        <v/>
      </c>
      <c r="J66" s="77">
        <f>(NPV(0.1,F22:J22)+(J22*(1+0.03)/(0.1-0.03))/(1+0.1)^5+E37+E38)/E40</f>
        <v/>
      </c>
      <c r="L66" s="63" t="inlineStr">
        <is>
          <t>WACC tab</t>
        </is>
      </c>
    </row>
    <row r="67" ht="28" customHeight="1">
      <c r="A67" s="76" t="n">
        <v>0.105</v>
      </c>
      <c r="D67" s="19" t="inlineStr">
        <is>
          <t>Ctrl+F "4.23%" (2025 implied ERP). Sensitivity WACC axis brackets the 10.5% base.</t>
        </is>
      </c>
      <c r="F67" s="77">
        <f>(NPV(0.105,F22:J22)+(J22*(1+0.015)/(0.105-0.015))/(1+0.105)^5+E37+E38)/E40</f>
        <v/>
      </c>
      <c r="G67" s="77">
        <f>(NPV(0.105,F22:J22)+(J22*(1+0.02)/(0.105-0.02))/(1+0.105)^5+E37+E38)/E40</f>
        <v/>
      </c>
      <c r="H67" s="78">
        <f>(NPV(0.105,F22:J22)+(J22*(1+0.0225)/(0.105-0.0225))/(1+0.105)^5+E37+E38)/E40</f>
        <v/>
      </c>
      <c r="I67" s="77">
        <f>(NPV(0.105,F22:J22)+(J22*(1+0.025)/(0.105-0.025))/(1+0.105)^5+E37+E38)/E40</f>
        <v/>
      </c>
      <c r="J67" s="77">
        <f>(NPV(0.105,F22:J22)+(J22*(1+0.03)/(0.105-0.03))/(1+0.105)^5+E37+E38)/E40</f>
        <v/>
      </c>
      <c r="L67" s="63" t="inlineStr">
        <is>
          <t>WACC tab</t>
        </is>
      </c>
    </row>
    <row r="68" ht="28" customHeight="1">
      <c r="A68" s="76" t="n">
        <v>0.11</v>
      </c>
      <c r="D68" s="19" t="inlineStr">
        <is>
          <t>Ctrl+F "4.23%" (2025 implied ERP). Sensitivity WACC axis brackets the 10.5% base.</t>
        </is>
      </c>
      <c r="F68" s="77">
        <f>(NPV(0.11,F22:J22)+(J22*(1+0.015)/(0.11-0.015))/(1+0.11)^5+E37+E38)/E40</f>
        <v/>
      </c>
      <c r="G68" s="77">
        <f>(NPV(0.11,F22:J22)+(J22*(1+0.02)/(0.11-0.02))/(1+0.11)^5+E37+E38)/E40</f>
        <v/>
      </c>
      <c r="H68" s="77">
        <f>(NPV(0.11,F22:J22)+(J22*(1+0.0225)/(0.11-0.0225))/(1+0.11)^5+E37+E38)/E40</f>
        <v/>
      </c>
      <c r="I68" s="77">
        <f>(NPV(0.11,F22:J22)+(J22*(1+0.025)/(0.11-0.025))/(1+0.11)^5+E37+E38)/E40</f>
        <v/>
      </c>
      <c r="J68" s="77">
        <f>(NPV(0.11,F22:J22)+(J22*(1+0.03)/(0.11-0.03))/(1+0.11)^5+E37+E38)/E40</f>
        <v/>
      </c>
      <c r="L68" s="63" t="inlineStr">
        <is>
          <t>WACC tab</t>
        </is>
      </c>
    </row>
    <row r="69" ht="28" customHeight="1">
      <c r="A69" s="76" t="n">
        <v>0.115</v>
      </c>
      <c r="D69" s="19" t="inlineStr">
        <is>
          <t>Ctrl+F "4.23%" (2025 implied ERP). Sensitivity WACC axis brackets the 10.5% base.</t>
        </is>
      </c>
      <c r="F69" s="77">
        <f>(NPV(0.115,F22:J22)+(J22*(1+0.015)/(0.115-0.015))/(1+0.115)^5+E37+E38)/E40</f>
        <v/>
      </c>
      <c r="G69" s="77">
        <f>(NPV(0.115,F22:J22)+(J22*(1+0.02)/(0.115-0.02))/(1+0.115)^5+E37+E38)/E40</f>
        <v/>
      </c>
      <c r="H69" s="77">
        <f>(NPV(0.115,F22:J22)+(J22*(1+0.0225)/(0.115-0.0225))/(1+0.115)^5+E37+E38)/E40</f>
        <v/>
      </c>
      <c r="I69" s="77">
        <f>(NPV(0.115,F22:J22)+(J22*(1+0.025)/(0.115-0.025))/(1+0.115)^5+E37+E38)/E40</f>
        <v/>
      </c>
      <c r="J69" s="77">
        <f>(NPV(0.115,F22:J22)+(J22*(1+0.03)/(0.115-0.03))/(1+0.115)^5+E37+E38)/E40</f>
        <v/>
      </c>
      <c r="L69" s="63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63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E19" r:id="rId14"/>
    <hyperlink xmlns:r="http://schemas.openxmlformats.org/officeDocument/2006/relationships" ref="C30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38" r:id="rId18"/>
    <hyperlink xmlns:r="http://schemas.openxmlformats.org/officeDocument/2006/relationships" ref="E38" r:id="rId19"/>
    <hyperlink xmlns:r="http://schemas.openxmlformats.org/officeDocument/2006/relationships" ref="C40" r:id="rId20"/>
    <hyperlink xmlns:r="http://schemas.openxmlformats.org/officeDocument/2006/relationships" ref="E40" r:id="rId21"/>
    <hyperlink xmlns:r="http://schemas.openxmlformats.org/officeDocument/2006/relationships" ref="C42" r:id="rId22"/>
    <hyperlink xmlns:r="http://schemas.openxmlformats.org/officeDocument/2006/relationships" ref="E42" r:id="rId23"/>
    <hyperlink ref="C48" location="'DCF'!E33"/>
    <hyperlink ref="M48" location="'Comps'!A45"/>
    <hyperlink xmlns:r="http://schemas.openxmlformats.org/officeDocument/2006/relationships" ref="C64" r:id="rId24"/>
    <hyperlink ref="L64" location="'Scenarios'!G10"/>
    <hyperlink xmlns:r="http://schemas.openxmlformats.org/officeDocument/2006/relationships" ref="C65" r:id="rId25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3" t="inlineStr">
        <is>
          <t>10-K</t>
        </is>
      </c>
      <c r="D4" s="19" t="inlineStr">
        <is>
          <t>Ctrl+F "Net revenue" → 11,102,600 ($000) in FY2025 column</t>
        </is>
      </c>
      <c r="E4" s="49" t="n">
        <v>11102600</v>
      </c>
    </row>
    <row r="5">
      <c r="A5" s="16" t="inlineStr">
        <is>
          <t>FY2025A EBITDA (EBIT + D&amp;A)</t>
        </is>
      </c>
      <c r="E5" s="50">
        <f>2210615+496228</f>
        <v/>
      </c>
    </row>
    <row r="6">
      <c r="A6" s="16" t="inlineStr">
        <is>
          <t>FY2030E terminal EBITDA (DCF EBIT + D&amp;A)</t>
        </is>
      </c>
      <c r="C6" s="63" t="inlineStr">
        <is>
          <t>↳ DCF base case</t>
        </is>
      </c>
      <c r="E6" s="50">
        <f>DCF!E31</f>
        <v/>
      </c>
    </row>
    <row r="7" ht="28" customHeight="1">
      <c r="A7" s="16" t="inlineStr">
        <is>
          <t>FY2026E diluted EPS (guidance midpoint)</t>
        </is>
      </c>
      <c r="C7" s="63" t="inlineStr">
        <is>
          <t>Release</t>
        </is>
      </c>
      <c r="D7" s="19" t="inlineStr">
        <is>
          <t>Ctrl+F "$9.48 to $9.73" → FY2026 diluted EPS guidance; model midpoint $9.61</t>
        </is>
      </c>
      <c r="E7" s="65" t="n">
        <v>9.609999999999999</v>
      </c>
    </row>
    <row r="8" ht="28" customHeight="1">
      <c r="A8" s="16" t="inlineStr">
        <is>
          <t>Cash &amp; equivalents</t>
        </is>
      </c>
      <c r="C8" s="63" t="inlineStr">
        <is>
          <t>10-K</t>
        </is>
      </c>
      <c r="D8" s="19" t="inlineStr">
        <is>
          <t>Ctrl+F "Cash and cash equivalents" → 1,807,202 ($000) FY2025</t>
        </is>
      </c>
      <c r="E8" s="49" t="n">
        <v>1807202</v>
      </c>
    </row>
    <row r="9" ht="28" customHeight="1">
      <c r="A9" s="16" t="inlineStr">
        <is>
          <t>Diluted shares (000)</t>
        </is>
      </c>
      <c r="C9" s="63" t="inlineStr">
        <is>
          <t>10-K</t>
        </is>
      </c>
      <c r="D9" s="19" t="inlineStr">
        <is>
          <t>Ctrl+F "Diluted weighted-average number of shares outstanding" → 119,068 (000)</t>
        </is>
      </c>
      <c r="E9" s="49" t="n">
        <v>111380</v>
      </c>
    </row>
    <row r="10" ht="28" customHeight="1">
      <c r="A10" s="16" t="inlineStr">
        <is>
          <t>Current share price</t>
        </is>
      </c>
      <c r="C10" s="63" t="inlineStr">
        <is>
          <t>NASDAQ</t>
        </is>
      </c>
      <c r="D10" s="19" t="inlineStr">
        <is>
          <t>Ctrl+F "LULU" → Last Sale or Previous Close on NASDAQ quote page</t>
        </is>
      </c>
      <c r="E10" s="65" t="n">
        <v>100</v>
      </c>
    </row>
    <row r="11">
      <c r="A11" s="74" t="inlineStr">
        <is>
          <t xml:space="preserve">  memo: current EV / EBITDA</t>
        </is>
      </c>
      <c r="E11" s="79">
        <f>(E10*E9-E8)/E5</f>
        <v/>
      </c>
    </row>
    <row r="12">
      <c r="A12" s="74" t="inlineStr">
        <is>
          <t xml:space="preserve">  memo: current P / E (FY2026E)</t>
        </is>
      </c>
      <c r="E12" s="79">
        <f>E10/E7</f>
        <v/>
      </c>
    </row>
    <row r="14">
      <c r="A14" s="14" t="inlineStr">
        <is>
          <t>EXIT MULTIPLE BUILD — FY2030E TERMINAL YEAR</t>
        </is>
      </c>
    </row>
    <row r="15">
      <c r="A15" s="74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80" t="inlineStr">
        <is>
          <t>Company</t>
        </is>
      </c>
      <c r="B18" s="80" t="inlineStr">
        <is>
          <t>Justification</t>
        </is>
      </c>
      <c r="C18" s="80" t="inlineStr">
        <is>
          <t>Source</t>
        </is>
      </c>
      <c r="D18" s="80" t="inlineStr">
        <is>
          <t>Ctrl+F / proof</t>
        </is>
      </c>
      <c r="E18" s="81" t="inlineStr">
        <is>
          <t>EV/EBITDA</t>
        </is>
      </c>
      <c r="I18" s="81" t="inlineStr">
        <is>
          <t>EV ($000)</t>
        </is>
      </c>
      <c r="J18" s="81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82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83">
        <f>IF(J19&lt;=0,"n.m.",I19/J19)</f>
        <v/>
      </c>
      <c r="I19" s="84" t="n">
        <v>11890440</v>
      </c>
      <c r="J19" s="84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82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83">
        <f>IF(J20&lt;=0,"n.m.",I20/J20)</f>
        <v/>
      </c>
      <c r="I20" s="84" t="n">
        <v>3208397</v>
      </c>
      <c r="J20" s="84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82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83">
        <f>IF(J21&lt;=0,"n.m.",I21/J21)</f>
        <v/>
      </c>
      <c r="I21" s="84" t="n">
        <v>35661944</v>
      </c>
      <c r="J21" s="84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82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83">
        <f>IF(J22&lt;=0,"n.m.",I22/J22)</f>
        <v/>
      </c>
      <c r="I22" s="84" t="n">
        <v>58972350</v>
      </c>
      <c r="J22" s="84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82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83">
        <f>IF(J23&lt;=0,"n.m.",I23/J23)</f>
        <v/>
      </c>
      <c r="I23" s="84" t="n">
        <v>10555510</v>
      </c>
      <c r="J23" s="84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82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83">
        <f>IF(J24&lt;=0,"n.m.",I24/J24)</f>
        <v/>
      </c>
      <c r="I24" s="84" t="n">
        <v>27284350</v>
      </c>
      <c r="J24" s="84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82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83">
        <f>IF(J25&lt;=0,"n.m.",I25/J25)</f>
        <v/>
      </c>
      <c r="I25" s="84" t="n">
        <v>7153911</v>
      </c>
      <c r="J25" s="84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82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83">
        <f>IF(J26&lt;=0,"n.m.",I26/J26)</f>
        <v/>
      </c>
      <c r="I26" s="84" t="n">
        <v>616045</v>
      </c>
      <c r="J26" s="84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82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83">
        <f>IF(J27&lt;=0,"n.m.",I27/J27)</f>
        <v/>
      </c>
      <c r="I27" s="84" t="n">
        <v>9422753</v>
      </c>
      <c r="J27" s="84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82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83">
        <f>IF(J28&lt;=0,"n.m.",I28/J28)</f>
        <v/>
      </c>
      <c r="I28" s="84" t="n">
        <v>1598873</v>
      </c>
      <c r="J28" s="84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82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83">
        <f>IF(J29&lt;=0,"n.m.",I29/J29)</f>
        <v/>
      </c>
      <c r="I29" s="84" t="n">
        <v>5236269</v>
      </c>
      <c r="J29" s="84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85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85" t="n">
        <v>2</v>
      </c>
    </row>
    <row r="35" ht="28" customHeight="1">
      <c r="A35" s="72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63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86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87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83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83">
        <f>AVERAGE(E19,E21,E22,E23,E24,E25,E26,E27,E28,E29)</f>
        <v/>
      </c>
    </row>
    <row r="41">
      <c r="A41" s="74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62">
        <f>DCF!E33</f>
        <v/>
      </c>
    </row>
    <row r="45">
      <c r="A45" s="72" t="inlineStr">
        <is>
          <t>Selected exit multiple (base case)</t>
        </is>
      </c>
      <c r="E45" s="70">
        <f>DCF!E48</f>
        <v/>
      </c>
    </row>
    <row r="46">
      <c r="A46" s="16" t="inlineStr">
        <is>
          <t>Spread (selected − Gordon implied)</t>
        </is>
      </c>
      <c r="E46" s="62">
        <f>E45-E44</f>
        <v/>
      </c>
    </row>
    <row r="47">
      <c r="A47" s="72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80" t="inlineStr">
        <is>
          <t>Method</t>
        </is>
      </c>
      <c r="B56" s="80" t="inlineStr">
        <is>
          <t>Justification</t>
        </is>
      </c>
      <c r="C56" s="80" t="inlineStr">
        <is>
          <t>Source</t>
        </is>
      </c>
      <c r="D56" s="80" t="inlineStr">
        <is>
          <t>Ctrl+F</t>
        </is>
      </c>
      <c r="E56" s="81" t="inlineStr">
        <is>
          <t>Low mult.</t>
        </is>
      </c>
      <c r="F56" s="81" t="inlineStr">
        <is>
          <t>High mult.</t>
        </is>
      </c>
      <c r="G56" s="81" t="inlineStr">
        <is>
          <t>Implied px (low)</t>
        </is>
      </c>
      <c r="H56" s="81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8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89" t="n">
        <v>5</v>
      </c>
      <c r="F57" s="89" t="n">
        <v>8</v>
      </c>
      <c r="G57" s="90">
        <f>(E6*E57+E8)/E9</f>
        <v/>
      </c>
      <c r="H57" s="90">
        <f>(E6*F57+E8)/E9</f>
        <v/>
      </c>
    </row>
    <row r="58" ht="28" customHeight="1">
      <c r="A58" s="72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86">
        <f>DCF!E48</f>
        <v/>
      </c>
      <c r="G58" s="9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8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89" t="n">
        <v>10</v>
      </c>
      <c r="F59" s="89" t="n">
        <v>18</v>
      </c>
      <c r="G59" s="90">
        <f>E7*E59</f>
        <v/>
      </c>
      <c r="H59" s="90">
        <f>E7*F59</f>
        <v/>
      </c>
    </row>
    <row r="60">
      <c r="A60" s="16" t="inlineStr">
        <is>
          <t>DCF (bear – bull)</t>
        </is>
      </c>
      <c r="E60" s="92" t="inlineStr">
        <is>
          <t>—</t>
        </is>
      </c>
      <c r="F60" s="92" t="inlineStr">
        <is>
          <t>—</t>
        </is>
      </c>
      <c r="G60" s="90">
        <f>Scenarios!F65</f>
        <v/>
      </c>
      <c r="H60" s="90">
        <f>Scenarios!H65</f>
        <v/>
      </c>
    </row>
    <row r="62" ht="28" customHeight="1">
      <c r="A62" s="93" t="inlineStr">
        <is>
          <t>Current price</t>
        </is>
      </c>
      <c r="C62" s="63" t="inlineStr">
        <is>
          <t>NASDAQ</t>
        </is>
      </c>
      <c r="D62" s="19" t="inlineStr">
        <is>
          <t>Ctrl+F "LULU" → Last Sale or Previous Close on NASDAQ quote page</t>
        </is>
      </c>
      <c r="E62" s="9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2026-09-07T20:22:38Z</dcterms:created>
  <dcterms:modified xmlns:dcterms="http://purl.org/dc/terms/" xmlns:xsi="http://www.w3.org/2001/XMLSchema-instance" xsi:type="dcterms:W3CDTF">2026-09-07T20:22:38Z</dcterms:modified>
</cp:coreProperties>
</file>
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3" t="inlineStr">
        <is>
          <t>Equation (every formula row)</t>
        </is>
      </c>
      <c r="J3" s="43" t="inlineStr">
        <is>
          <t>Justification (~20 words)</t>
        </is>
      </c>
      <c r="K3" s="43" t="inlineStr">
        <is>
          <t>Source (click)</t>
        </is>
      </c>
      <c r="L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FY2025A</t>
        </is>
      </c>
      <c r="C5" s="47" t="inlineStr">
        <is>
          <t>FY2026E</t>
        </is>
      </c>
      <c r="D5" s="46" t="inlineStr">
        <is>
          <t>FY2027E</t>
        </is>
      </c>
      <c r="E5" s="46" t="inlineStr">
        <is>
          <t>FY2028E</t>
        </is>
      </c>
      <c r="F5" s="46" t="inlineStr">
        <is>
          <t>FY2029E</t>
        </is>
      </c>
      <c r="G5" s="46" t="inlineStr">
        <is>
          <t>FY2030E</t>
        </is>
      </c>
      <c r="H5" s="46" t="inlineStr">
        <is>
          <t>Units</t>
        </is>
      </c>
      <c r="I5" s="47" t="inlineStr">
        <is>
          <t>Equation</t>
        </is>
      </c>
      <c r="J5" s="48" t="inlineStr">
        <is>
          <t>Justification</t>
        </is>
      </c>
      <c r="K5" s="48" t="inlineStr">
        <is>
          <t>Source</t>
        </is>
      </c>
      <c r="L5" s="48" t="inlineStr">
        <is>
          <t>Ctrl+F</t>
        </is>
      </c>
    </row>
    <row r="6" ht="28" customHeight="1">
      <c r="A6" s="34" t="inlineStr">
        <is>
          <t xml:space="preserve">  Americas — beginning stores</t>
        </is>
      </c>
      <c r="B6" s="49" t="n">
        <v>462</v>
      </c>
      <c r="C6" s="35">
        <f>B9</f>
        <v/>
      </c>
      <c r="D6" s="35">
        <f>C9</f>
        <v/>
      </c>
      <c r="E6" s="35">
        <f>D9</f>
        <v/>
      </c>
      <c r="F6" s="35">
        <f>E9</f>
        <v/>
      </c>
      <c r="G6" s="35">
        <f>F9</f>
        <v/>
      </c>
      <c r="H6" s="50" t="inlineStr">
        <is>
          <t>stores</t>
        </is>
      </c>
      <c r="I6" s="51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52" t="inlineStr">
        <is>
          <t>Revenue Drivers: beginning-stores formula</t>
        </is>
      </c>
    </row>
    <row r="7" ht="28" customHeight="1">
      <c r="A7" s="34" t="inlineStr">
        <is>
          <t xml:space="preserve">  Americas — openings</t>
        </is>
      </c>
      <c r="C7" s="53" t="n">
        <v>8</v>
      </c>
      <c r="D7" s="53" t="n">
        <v>7</v>
      </c>
      <c r="E7" s="53" t="n">
        <v>6</v>
      </c>
      <c r="F7" s="53" t="n">
        <v>5</v>
      </c>
      <c r="G7" s="53" t="n">
        <v>4</v>
      </c>
      <c r="H7" s="50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4" t="inlineStr">
        <is>
          <t xml:space="preserve">  Americas — closures</t>
        </is>
      </c>
      <c r="C8" s="53" t="n">
        <v>3</v>
      </c>
      <c r="D8" s="53" t="n">
        <v>3</v>
      </c>
      <c r="E8" s="53" t="n">
        <v>2</v>
      </c>
      <c r="F8" s="53" t="n">
        <v>2</v>
      </c>
      <c r="G8" s="53" t="n">
        <v>2</v>
      </c>
      <c r="H8" s="50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4" t="inlineStr">
        <is>
          <t xml:space="preserve">  Americas — ending stores</t>
        </is>
      </c>
      <c r="B9" s="49" t="n">
        <v>476</v>
      </c>
      <c r="C9" s="55">
        <f>C6+C7-C8</f>
        <v/>
      </c>
      <c r="D9" s="55">
        <f>D6+D7-D8</f>
        <v/>
      </c>
      <c r="E9" s="55">
        <f>E6+E7-E8</f>
        <v/>
      </c>
      <c r="F9" s="55">
        <f>F6+F7-F8</f>
        <v/>
      </c>
      <c r="G9" s="55">
        <f>G6+G7-G8</f>
        <v/>
      </c>
      <c r="H9" s="50" t="inlineStr">
        <is>
          <t>stores</t>
        </is>
      </c>
      <c r="I9" s="51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52" t="inlineStr">
        <is>
          <t>Revenue Drivers: ending-stores formula</t>
        </is>
      </c>
    </row>
    <row r="10" ht="28" customHeight="1">
      <c r="A10" s="34" t="inlineStr">
        <is>
          <t xml:space="preserve">  China Mainland — beginning stores</t>
        </is>
      </c>
      <c r="B10" s="49" t="n">
        <v>151</v>
      </c>
      <c r="C10" s="35">
        <f>B13</f>
        <v/>
      </c>
      <c r="D10" s="35">
        <f>C13</f>
        <v/>
      </c>
      <c r="E10" s="35">
        <f>D13</f>
        <v/>
      </c>
      <c r="F10" s="35">
        <f>E13</f>
        <v/>
      </c>
      <c r="G10" s="35">
        <f>F13</f>
        <v/>
      </c>
      <c r="H10" s="50" t="inlineStr">
        <is>
          <t>stores</t>
        </is>
      </c>
      <c r="I10" s="51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52" t="inlineStr">
        <is>
          <t>Revenue Drivers: beginning-stores formula</t>
        </is>
      </c>
    </row>
    <row r="11" ht="28" customHeight="1">
      <c r="A11" s="34" t="inlineStr">
        <is>
          <t xml:space="preserve">  China Mainland — openings</t>
        </is>
      </c>
      <c r="C11" s="53" t="n">
        <v>20</v>
      </c>
      <c r="D11" s="53" t="n">
        <v>18</v>
      </c>
      <c r="E11" s="53" t="n">
        <v>16</v>
      </c>
      <c r="F11" s="53" t="n">
        <v>14</v>
      </c>
      <c r="G11" s="53" t="n">
        <v>12</v>
      </c>
      <c r="H11" s="50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4" t="inlineStr">
        <is>
          <t xml:space="preserve">  China Mainland — closures</t>
        </is>
      </c>
      <c r="C12" s="53" t="n">
        <v>1</v>
      </c>
      <c r="D12" s="53" t="n">
        <v>1</v>
      </c>
      <c r="E12" s="53" t="n">
        <v>1</v>
      </c>
      <c r="F12" s="53" t="n">
        <v>1</v>
      </c>
      <c r="G12" s="53" t="n">
        <v>1</v>
      </c>
      <c r="H12" s="50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4" t="inlineStr">
        <is>
          <t xml:space="preserve">  China Mainland — ending stores</t>
        </is>
      </c>
      <c r="B13" s="49" t="n">
        <v>172</v>
      </c>
      <c r="C13" s="55">
        <f>C10+C11-C12</f>
        <v/>
      </c>
      <c r="D13" s="55">
        <f>D10+D11-D12</f>
        <v/>
      </c>
      <c r="E13" s="55">
        <f>E10+E11-E12</f>
        <v/>
      </c>
      <c r="F13" s="55">
        <f>F10+F11-F12</f>
        <v/>
      </c>
      <c r="G13" s="55">
        <f>G10+G11-G12</f>
        <v/>
      </c>
      <c r="H13" s="50" t="inlineStr">
        <is>
          <t>stores</t>
        </is>
      </c>
      <c r="I13" s="51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52" t="inlineStr">
        <is>
          <t>Revenue Drivers: ending-stores formula</t>
        </is>
      </c>
    </row>
    <row r="14" ht="28" customHeight="1">
      <c r="A14" s="34" t="inlineStr">
        <is>
          <t xml:space="preserve">  Rest of World — beginning stores</t>
        </is>
      </c>
      <c r="B14" s="49" t="n">
        <v>154</v>
      </c>
      <c r="C14" s="35">
        <f>B17</f>
        <v/>
      </c>
      <c r="D14" s="35">
        <f>C17</f>
        <v/>
      </c>
      <c r="E14" s="35">
        <f>D17</f>
        <v/>
      </c>
      <c r="F14" s="35">
        <f>E17</f>
        <v/>
      </c>
      <c r="G14" s="35">
        <f>F17</f>
        <v/>
      </c>
      <c r="H14" s="50" t="inlineStr">
        <is>
          <t>stores</t>
        </is>
      </c>
      <c r="I14" s="51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52" t="inlineStr">
        <is>
          <t>Revenue Drivers: beginning-stores formula</t>
        </is>
      </c>
    </row>
    <row r="15" ht="28" customHeight="1">
      <c r="A15" s="34" t="inlineStr">
        <is>
          <t xml:space="preserve">  Rest of World — openings</t>
        </is>
      </c>
      <c r="C15" s="53" t="n">
        <v>7</v>
      </c>
      <c r="D15" s="53" t="n">
        <v>6</v>
      </c>
      <c r="E15" s="53" t="n">
        <v>5</v>
      </c>
      <c r="F15" s="53" t="n">
        <v>5</v>
      </c>
      <c r="G15" s="53" t="n">
        <v>4</v>
      </c>
      <c r="H15" s="50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4" t="inlineStr">
        <is>
          <t xml:space="preserve">  Rest of World — closures</t>
        </is>
      </c>
      <c r="C16" s="53" t="n">
        <v>2</v>
      </c>
      <c r="D16" s="53" t="n">
        <v>2</v>
      </c>
      <c r="E16" s="53" t="n">
        <v>2</v>
      </c>
      <c r="F16" s="53" t="n">
        <v>2</v>
      </c>
      <c r="G16" s="53" t="n">
        <v>2</v>
      </c>
      <c r="H16" s="50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4" t="inlineStr">
        <is>
          <t xml:space="preserve">  Rest of World — ending stores</t>
        </is>
      </c>
      <c r="B17" s="49" t="n">
        <v>163</v>
      </c>
      <c r="C17" s="55">
        <f>C14+C15-C16</f>
        <v/>
      </c>
      <c r="D17" s="55">
        <f>D14+D15-D16</f>
        <v/>
      </c>
      <c r="E17" s="55">
        <f>E14+E15-E16</f>
        <v/>
      </c>
      <c r="F17" s="55">
        <f>F14+F15-F16</f>
        <v/>
      </c>
      <c r="G17" s="55">
        <f>G14+G15-G16</f>
        <v/>
      </c>
      <c r="H17" s="50" t="inlineStr">
        <is>
          <t>stores</t>
        </is>
      </c>
      <c r="I17" s="51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52" t="inlineStr">
        <is>
          <t>Revenue Drivers: ending-stores formula</t>
        </is>
      </c>
    </row>
    <row r="18" ht="28" customHeight="1">
      <c r="A18" s="54" t="inlineStr">
        <is>
          <t>Total ending stores</t>
        </is>
      </c>
      <c r="B18" s="56" t="n">
        <v>811</v>
      </c>
      <c r="C18" s="55">
        <f>C9+C13+C17</f>
        <v/>
      </c>
      <c r="D18" s="55">
        <f>D9+D13+D17</f>
        <v/>
      </c>
      <c r="E18" s="55">
        <f>E9+E13+E17</f>
        <v/>
      </c>
      <c r="F18" s="55">
        <f>F9+F13+F17</f>
        <v/>
      </c>
      <c r="G18" s="55">
        <f>G9+G13+G17</f>
        <v/>
      </c>
      <c r="I18" s="51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52" t="inlineStr">
        <is>
          <t>Revenue Drivers: total-stores formula</t>
        </is>
      </c>
    </row>
    <row r="19" ht="28" customHeight="1">
      <c r="A19" s="34" t="inlineStr">
        <is>
          <t>Avg square feet per store</t>
        </is>
      </c>
      <c r="B19" s="53" t="n">
        <v>4366</v>
      </c>
      <c r="C19" s="53" t="n">
        <v>4400</v>
      </c>
      <c r="D19" s="53" t="n">
        <v>4425</v>
      </c>
      <c r="E19" s="53" t="n">
        <v>4450</v>
      </c>
      <c r="F19" s="53" t="n">
        <v>4475</v>
      </c>
      <c r="G19" s="53" t="n">
        <v>4500</v>
      </c>
      <c r="H19" s="50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4" t="inlineStr">
        <is>
          <t>Total square footage (end stores × avg sq ft)</t>
        </is>
      </c>
      <c r="B20" s="35">
        <f>B18*B19</f>
        <v/>
      </c>
      <c r="C20" s="35">
        <f>C18*C19</f>
        <v/>
      </c>
      <c r="D20" s="35">
        <f>D18*D19</f>
        <v/>
      </c>
      <c r="E20" s="35">
        <f>E18*E19</f>
        <v/>
      </c>
      <c r="F20" s="35">
        <f>F18*F19</f>
        <v/>
      </c>
      <c r="G20" s="35">
        <f>G18*G19</f>
        <v/>
      </c>
      <c r="H20" s="50" t="inlineStr">
        <is>
          <t>sq ft</t>
        </is>
      </c>
      <c r="I20" s="51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52" t="inlineStr">
        <is>
          <t>Revenue Drivers: total-sqft formula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FY2025A</t>
        </is>
      </c>
      <c r="C23" s="47" t="inlineStr">
        <is>
          <t>FY2026E</t>
        </is>
      </c>
      <c r="D23" s="46" t="inlineStr">
        <is>
          <t>FY2027E</t>
        </is>
      </c>
      <c r="E23" s="46" t="inlineStr">
        <is>
          <t>FY2028E</t>
        </is>
      </c>
      <c r="F23" s="46" t="inlineStr">
        <is>
          <t>FY2029E</t>
        </is>
      </c>
      <c r="G23" s="46" t="inlineStr">
        <is>
          <t>FY2030E</t>
        </is>
      </c>
      <c r="H23" s="46" t="inlineStr">
        <is>
          <t>Units</t>
        </is>
      </c>
      <c r="I23" s="47" t="inlineStr">
        <is>
          <t>Equation</t>
        </is>
      </c>
      <c r="J23" s="48" t="inlineStr">
        <is>
          <t>Justification</t>
        </is>
      </c>
      <c r="K23" s="48" t="inlineStr">
        <is>
          <t>Source</t>
        </is>
      </c>
      <c r="L23" s="48" t="inlineStr">
        <is>
          <t>Ctrl+F</t>
        </is>
      </c>
    </row>
    <row r="24" ht="28" customHeight="1">
      <c r="A24" s="34" t="inlineStr">
        <is>
          <t>Sales per square foot ($)</t>
        </is>
      </c>
      <c r="B24" s="53" t="n">
        <v>1426</v>
      </c>
      <c r="C24" s="53" t="n">
        <v>1360</v>
      </c>
      <c r="D24" s="53" t="n">
        <v>1380</v>
      </c>
      <c r="E24" s="53" t="n">
        <v>1400</v>
      </c>
      <c r="F24" s="53" t="n">
        <v>1420</v>
      </c>
      <c r="G24" s="53" t="n">
        <v>1440</v>
      </c>
      <c r="H24" s="50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4" t="inlineStr">
        <is>
          <t xml:space="preserve">  Americas — comparable sales growth</t>
        </is>
      </c>
      <c r="B25" s="57" t="n">
        <v>-0.03</v>
      </c>
      <c r="C25" s="57" t="n">
        <v>-0.04</v>
      </c>
      <c r="D25" s="57" t="n">
        <v>0</v>
      </c>
      <c r="E25" s="57" t="n">
        <v>0.01</v>
      </c>
      <c r="F25" s="57" t="n">
        <v>0.02</v>
      </c>
      <c r="G25" s="57" t="n">
        <v>0.02</v>
      </c>
      <c r="H25" s="50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4" t="inlineStr">
        <is>
          <t xml:space="preserve">  China Mainland — comparable sales growth</t>
        </is>
      </c>
      <c r="B26" s="57" t="n">
        <v>0.2</v>
      </c>
      <c r="C26" s="57" t="n">
        <v>0.14</v>
      </c>
      <c r="D26" s="57" t="n">
        <v>0.12</v>
      </c>
      <c r="E26" s="57" t="n">
        <v>0.1</v>
      </c>
      <c r="F26" s="57" t="n">
        <v>0.08</v>
      </c>
      <c r="G26" s="57" t="n">
        <v>0.07000000000000001</v>
      </c>
      <c r="H26" s="50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4" t="inlineStr">
        <is>
          <t xml:space="preserve">  Rest of World — comparable sales growth</t>
        </is>
      </c>
      <c r="B27" s="57" t="n">
        <v>0.09</v>
      </c>
      <c r="C27" s="57" t="n">
        <v>0.07000000000000001</v>
      </c>
      <c r="D27" s="57" t="n">
        <v>0.06</v>
      </c>
      <c r="E27" s="57" t="n">
        <v>0.05</v>
      </c>
      <c r="F27" s="57" t="n">
        <v>0.04</v>
      </c>
      <c r="G27" s="57" t="n">
        <v>0.04</v>
      </c>
      <c r="H27" s="50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4" t="inlineStr">
        <is>
          <t>Prior-year store channel revenue ($000)</t>
        </is>
      </c>
      <c r="B28" s="58" t="n">
        <v>5049744</v>
      </c>
      <c r="C28" s="35">
        <f>B31</f>
        <v/>
      </c>
      <c r="D28" s="35">
        <f>C31</f>
        <v/>
      </c>
      <c r="E28" s="35">
        <f>D31</f>
        <v/>
      </c>
      <c r="F28" s="35">
        <f>E31</f>
        <v/>
      </c>
      <c r="G28" s="35">
        <f>F31</f>
        <v/>
      </c>
      <c r="H28" s="50" t="inlineStr">
        <is>
          <t>$000</t>
        </is>
      </c>
      <c r="I28" s="51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52" t="inlineStr">
        <is>
          <t>Revenue Drivers: prior store-rev formula</t>
        </is>
      </c>
    </row>
    <row r="29" ht="28" customHeight="1">
      <c r="A29" s="34" t="inlineStr">
        <is>
          <t>Comparable store revenue ($000)</t>
        </is>
      </c>
      <c r="B29" s="49" t="n">
        <v>5049744</v>
      </c>
      <c r="C29" s="35">
        <f>B28*0.71*(1+C25)+B28*0.16*(1+C26)+B28*0.13*(1+C27)</f>
        <v/>
      </c>
      <c r="D29" s="35">
        <f>C28*0.71*(1+D25)+C28*0.16*(1+D26)+C28*0.13*(1+D27)</f>
        <v/>
      </c>
      <c r="E29" s="35">
        <f>D28*0.71*(1+E25)+D28*0.16*(1+E26)+D28*0.13*(1+E27)</f>
        <v/>
      </c>
      <c r="F29" s="35">
        <f>E28*0.71*(1+F25)+E28*0.16*(1+F26)+E28*0.13*(1+F27)</f>
        <v/>
      </c>
      <c r="G29" s="35">
        <f>F28*0.71*(1+G25)+F28*0.16*(1+G26)+F28*0.13*(1+G27)</f>
        <v/>
      </c>
      <c r="I29" s="51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52" t="inlineStr">
        <is>
          <t>Revenue Drivers: comp-store formula</t>
        </is>
      </c>
    </row>
    <row r="30" ht="28" customHeight="1">
      <c r="A30" s="34" t="inlineStr">
        <is>
          <t>Net new store revenue contribution ($000)</t>
        </is>
      </c>
      <c r="B30" s="35" t="n">
        <v>0</v>
      </c>
      <c r="C30" s="35">
        <f>(C7-C8+C11-C12+C15-C16)*C19*C24/1000*0.55</f>
        <v/>
      </c>
      <c r="D30" s="35">
        <f>(D7-D8+D11-D12+D15-D16)*D19*D24/1000*0.55</f>
        <v/>
      </c>
      <c r="E30" s="35">
        <f>(E7-E8+E11-E12+E15-E16)*E19*E24/1000*0.55</f>
        <v/>
      </c>
      <c r="F30" s="35">
        <f>(F7-F8+F11-F12+F15-F16)*F19*F24/1000*0.55</f>
        <v/>
      </c>
      <c r="G30" s="35">
        <f>(G7-G8+G11-G12+G15-G16)*G19*G24/1000*0.55</f>
        <v/>
      </c>
      <c r="I30" s="51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52" t="inlineStr">
        <is>
          <t>Revenue Drivers: net-new-store formula</t>
        </is>
      </c>
    </row>
    <row r="31" ht="28" customHeight="1">
      <c r="A31" s="54" t="inlineStr">
        <is>
          <t>Store channel revenue ($000)</t>
        </is>
      </c>
      <c r="B31" s="56" t="n">
        <v>5049744</v>
      </c>
      <c r="C31" s="55">
        <f>C29+C30</f>
        <v/>
      </c>
      <c r="D31" s="55">
        <f>D29+D30</f>
        <v/>
      </c>
      <c r="E31" s="55">
        <f>E29+E30</f>
        <v/>
      </c>
      <c r="F31" s="55">
        <f>F29+F30</f>
        <v/>
      </c>
      <c r="G31" s="55">
        <f>G29+G30</f>
        <v/>
      </c>
      <c r="I31" s="51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52" t="inlineStr">
        <is>
          <t>Revenue Drivers: store-channel formula</t>
        </is>
      </c>
    </row>
    <row r="32" ht="28" customHeight="1">
      <c r="A32" s="34" t="inlineStr">
        <is>
          <t xml:space="preserve">  memo: fleet traffic (millions of visits)</t>
        </is>
      </c>
      <c r="B32" s="59" t="n">
        <v>42.5</v>
      </c>
      <c r="C32" s="59" t="n">
        <v>40</v>
      </c>
      <c r="D32" s="59" t="n">
        <v>41</v>
      </c>
      <c r="E32" s="59" t="n">
        <v>42</v>
      </c>
      <c r="F32" s="59" t="n">
        <v>43</v>
      </c>
      <c r="G32" s="59" t="n">
        <v>44</v>
      </c>
      <c r="H32" s="50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4" t="inlineStr">
        <is>
          <t xml:space="preserve">  memo: in-store conversion rate</t>
        </is>
      </c>
      <c r="B33" s="57" t="n">
        <v>0.28</v>
      </c>
      <c r="C33" s="57" t="n">
        <v>0.27</v>
      </c>
      <c r="D33" s="57" t="n">
        <v>0.275</v>
      </c>
      <c r="E33" s="57" t="n">
        <v>0.28</v>
      </c>
      <c r="F33" s="57" t="n">
        <v>0.285</v>
      </c>
      <c r="G33" s="57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4" t="inlineStr">
        <is>
          <t xml:space="preserve">  memo: in-store average transaction ($)</t>
        </is>
      </c>
      <c r="B34" s="60" t="n">
        <v>118</v>
      </c>
      <c r="C34" s="60" t="n">
        <v>115</v>
      </c>
      <c r="D34" s="60" t="n">
        <v>116</v>
      </c>
      <c r="E34" s="60" t="n">
        <v>118</v>
      </c>
      <c r="F34" s="60" t="n">
        <v>120</v>
      </c>
      <c r="G34" s="60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FY2025A</t>
        </is>
      </c>
      <c r="C37" s="47" t="inlineStr">
        <is>
          <t>FY2026E</t>
        </is>
      </c>
      <c r="D37" s="46" t="inlineStr">
        <is>
          <t>FY2027E</t>
        </is>
      </c>
      <c r="E37" s="46" t="inlineStr">
        <is>
          <t>FY2028E</t>
        </is>
      </c>
      <c r="F37" s="46" t="inlineStr">
        <is>
          <t>FY2029E</t>
        </is>
      </c>
      <c r="G37" s="46" t="inlineStr">
        <is>
          <t>FY2030E</t>
        </is>
      </c>
      <c r="H37" s="46" t="inlineStr">
        <is>
          <t>Units</t>
        </is>
      </c>
      <c r="I37" s="47" t="inlineStr">
        <is>
          <t>Equation</t>
        </is>
      </c>
      <c r="J37" s="48" t="inlineStr">
        <is>
          <t>Justification</t>
        </is>
      </c>
      <c r="K37" s="48" t="inlineStr">
        <is>
          <t>Source</t>
        </is>
      </c>
      <c r="L37" s="48" t="inlineStr">
        <is>
          <t>Ctrl+F</t>
        </is>
      </c>
    </row>
    <row r="38" ht="28" customHeight="1">
      <c r="A38" s="34" t="inlineStr">
        <is>
          <t>Unique digital sessions (millions)</t>
        </is>
      </c>
      <c r="B38" s="53" t="n">
        <v>485</v>
      </c>
      <c r="C38" s="53" t="n">
        <v>485</v>
      </c>
      <c r="D38" s="53" t="n">
        <v>505</v>
      </c>
      <c r="E38" s="53" t="n">
        <v>525</v>
      </c>
      <c r="F38" s="53" t="n">
        <v>545</v>
      </c>
      <c r="G38" s="53" t="n">
        <v>560</v>
      </c>
      <c r="H38" s="50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4" t="inlineStr">
        <is>
          <t>Digital conversion rate</t>
        </is>
      </c>
      <c r="B39" s="57" t="n">
        <v>0.033</v>
      </c>
      <c r="C39" s="57" t="n">
        <v>0.033</v>
      </c>
      <c r="D39" s="57" t="n">
        <v>0.034</v>
      </c>
      <c r="E39" s="57" t="n">
        <v>0.035</v>
      </c>
      <c r="F39" s="57" t="n">
        <v>0.035</v>
      </c>
      <c r="G39" s="57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4" t="inlineStr">
        <is>
          <t>Digital average order value ($)</t>
        </is>
      </c>
      <c r="B40" s="60" t="n">
        <v>307</v>
      </c>
      <c r="C40" s="60" t="n">
        <v>305</v>
      </c>
      <c r="D40" s="60" t="n">
        <v>308</v>
      </c>
      <c r="E40" s="60" t="n">
        <v>310</v>
      </c>
      <c r="F40" s="60" t="n">
        <v>312</v>
      </c>
      <c r="G40" s="60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4" t="inlineStr">
        <is>
          <t>E-commerce revenue ($000)</t>
        </is>
      </c>
      <c r="B41" s="56" t="n">
        <v>4918697</v>
      </c>
      <c r="C41" s="55">
        <f>C38*1000000*C39*C40/1000</f>
        <v/>
      </c>
      <c r="D41" s="55">
        <f>D38*1000000*D39*D40/1000</f>
        <v/>
      </c>
      <c r="E41" s="55">
        <f>E38*1000000*E39*E40/1000</f>
        <v/>
      </c>
      <c r="F41" s="55">
        <f>F38*1000000*F39*F40/1000</f>
        <v/>
      </c>
      <c r="G41" s="55">
        <f>G38*1000000*G39*G40/1000</f>
        <v/>
      </c>
      <c r="I41" s="51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52" t="inlineStr">
        <is>
          <t>Revenue Drivers: e-comm formula</t>
        </is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FY2025A</t>
        </is>
      </c>
      <c r="C44" s="47" t="inlineStr">
        <is>
          <t>FY2026E</t>
        </is>
      </c>
      <c r="D44" s="46" t="inlineStr">
        <is>
          <t>FY2027E</t>
        </is>
      </c>
      <c r="E44" s="46" t="inlineStr">
        <is>
          <t>FY2028E</t>
        </is>
      </c>
      <c r="F44" s="46" t="inlineStr">
        <is>
          <t>FY2029E</t>
        </is>
      </c>
      <c r="G44" s="46" t="inlineStr">
        <is>
          <t>FY2030E</t>
        </is>
      </c>
      <c r="H44" s="46" t="inlineStr">
        <is>
          <t>Units</t>
        </is>
      </c>
      <c r="I44" s="47" t="inlineStr">
        <is>
          <t>Equation</t>
        </is>
      </c>
      <c r="J44" s="48" t="inlineStr">
        <is>
          <t>Justification</t>
        </is>
      </c>
      <c r="K44" s="48" t="inlineStr">
        <is>
          <t>Source</t>
        </is>
      </c>
      <c r="L44" s="48" t="inlineStr">
        <is>
          <t>Ctrl+F</t>
        </is>
      </c>
    </row>
    <row r="45" ht="28" customHeight="1">
      <c r="A45" s="34" t="inlineStr">
        <is>
          <t>Other channels (wholesale / license / outlets) ($000)</t>
        </is>
      </c>
      <c r="B45" s="58" t="n">
        <v>1134159</v>
      </c>
      <c r="C45" s="35">
        <f>B45*(1+-0.02)</f>
        <v/>
      </c>
      <c r="D45" s="35">
        <f>C45*(1+0.0)</f>
        <v/>
      </c>
      <c r="E45" s="35">
        <f>D45*(1+0.02)</f>
        <v/>
      </c>
      <c r="F45" s="35">
        <f>E45*(1+0.02)</f>
        <v/>
      </c>
      <c r="G45" s="35">
        <f>F45*(1+0.02)</f>
        <v/>
      </c>
      <c r="H45" s="50" t="inlineStr">
        <is>
          <t>$000</t>
        </is>
      </c>
      <c r="I45" s="51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4" t="inlineStr">
        <is>
          <t xml:space="preserve">  Americas net revenue ($000)</t>
        </is>
      </c>
      <c r="B46" s="58" t="n">
        <v>7847044</v>
      </c>
      <c r="C46" s="35">
        <f>B46*(C31+C41+C45)/(B31+B41+B45)</f>
        <v/>
      </c>
      <c r="D46" s="35">
        <f>B46*(D31+D41+D45)/(B31+B41+B45)</f>
        <v/>
      </c>
      <c r="E46" s="35">
        <f>B46*(E31+E41+E45)/(B31+B41+B45)</f>
        <v/>
      </c>
      <c r="F46" s="35">
        <f>B46*(F31+F41+F45)/(B31+B41+B45)</f>
        <v/>
      </c>
      <c r="G46" s="35">
        <f>B46*(G31+G41+G45)/(B31+B41+B45)</f>
        <v/>
      </c>
      <c r="H46" s="50" t="inlineStr">
        <is>
          <t>$000</t>
        </is>
      </c>
      <c r="I46" s="51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4" t="inlineStr">
        <is>
          <t xml:space="preserve">  China Mainland net revenue ($000)</t>
        </is>
      </c>
      <c r="B47" s="58" t="n">
        <v>1754799</v>
      </c>
      <c r="C47" s="35">
        <f>B47*(C31+C41+C45)/(B31+B41+B45)</f>
        <v/>
      </c>
      <c r="D47" s="35">
        <f>B47*(D31+D41+D45)/(B31+B41+B45)</f>
        <v/>
      </c>
      <c r="E47" s="35">
        <f>B47*(E31+E41+E45)/(B31+B41+B45)</f>
        <v/>
      </c>
      <c r="F47" s="35">
        <f>B47*(F31+F41+F45)/(B31+B41+B45)</f>
        <v/>
      </c>
      <c r="G47" s="35">
        <f>B47*(G31+G41+G45)/(B31+B41+B45)</f>
        <v/>
      </c>
      <c r="H47" s="50" t="inlineStr">
        <is>
          <t>$000</t>
        </is>
      </c>
      <c r="I47" s="51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4" t="inlineStr">
        <is>
          <t xml:space="preserve">  Rest of World net revenue ($000)</t>
        </is>
      </c>
      <c r="B48" s="58" t="n">
        <v>1500757</v>
      </c>
      <c r="C48" s="35">
        <f>B48*(C31+C41+C45)/(B31+B41+B45)</f>
        <v/>
      </c>
      <c r="D48" s="35">
        <f>B48*(D31+D41+D45)/(B31+B41+B45)</f>
        <v/>
      </c>
      <c r="E48" s="35">
        <f>B48*(E31+E41+E45)/(B31+B41+B45)</f>
        <v/>
      </c>
      <c r="F48" s="35">
        <f>B48*(F31+F41+F45)/(B31+B41+B45)</f>
        <v/>
      </c>
      <c r="G48" s="35">
        <f>B48*(G31+G41+G45)/(B31+B41+B45)</f>
        <v/>
      </c>
      <c r="H48" s="50" t="inlineStr">
        <is>
          <t>$000</t>
        </is>
      </c>
      <c r="I48" s="51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4" t="inlineStr">
        <is>
          <t>Women's % of revenue</t>
        </is>
      </c>
      <c r="B49" s="57" t="n">
        <v>0.63</v>
      </c>
      <c r="C49" s="57" t="n">
        <v>0.62</v>
      </c>
      <c r="D49" s="57" t="n">
        <v>0.615</v>
      </c>
      <c r="E49" s="57" t="n">
        <v>0.61</v>
      </c>
      <c r="F49" s="57" t="n">
        <v>0.605</v>
      </c>
      <c r="G49" s="57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4" t="inlineStr">
        <is>
          <t>Men's % of revenue</t>
        </is>
      </c>
      <c r="B50" s="57" t="n">
        <v>0.24</v>
      </c>
      <c r="C50" s="57" t="n">
        <v>0.25</v>
      </c>
      <c r="D50" s="57" t="n">
        <v>0.255</v>
      </c>
      <c r="E50" s="57" t="n">
        <v>0.26</v>
      </c>
      <c r="F50" s="57" t="n">
        <v>0.265</v>
      </c>
      <c r="G50" s="57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4" t="inlineStr">
        <is>
          <t>Accessories &amp; other % of revenue</t>
        </is>
      </c>
      <c r="B51" s="57" t="n">
        <v>0.13</v>
      </c>
      <c r="C51" s="57" t="n">
        <v>0.13</v>
      </c>
      <c r="D51" s="57" t="n">
        <v>0.13</v>
      </c>
      <c r="E51" s="57" t="n">
        <v>0.13</v>
      </c>
      <c r="F51" s="57" t="n">
        <v>0.13</v>
      </c>
      <c r="G51" s="57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FY2025A</t>
        </is>
      </c>
      <c r="C54" s="47" t="inlineStr">
        <is>
          <t>FY2026E</t>
        </is>
      </c>
      <c r="D54" s="46" t="inlineStr">
        <is>
          <t>FY2027E</t>
        </is>
      </c>
      <c r="E54" s="46" t="inlineStr">
        <is>
          <t>FY2028E</t>
        </is>
      </c>
      <c r="F54" s="46" t="inlineStr">
        <is>
          <t>FY2029E</t>
        </is>
      </c>
      <c r="G54" s="46" t="inlineStr">
        <is>
          <t>FY2030E</t>
        </is>
      </c>
      <c r="H54" s="46" t="inlineStr">
        <is>
          <t>Units</t>
        </is>
      </c>
      <c r="I54" s="47" t="inlineStr">
        <is>
          <t>Equation</t>
        </is>
      </c>
      <c r="J54" s="48" t="inlineStr">
        <is>
          <t>Justification</t>
        </is>
      </c>
      <c r="K54" s="48" t="inlineStr">
        <is>
          <t>Source</t>
        </is>
      </c>
      <c r="L54" s="48" t="inlineStr">
        <is>
          <t>Ctrl+F</t>
        </is>
      </c>
    </row>
    <row r="55" ht="28" customHeight="1">
      <c r="A55" s="61" t="inlineStr">
        <is>
          <t>Bottom-up total revenue ($000)</t>
        </is>
      </c>
      <c r="B55" s="62" t="n">
        <v>11102600</v>
      </c>
      <c r="C55" s="63">
        <f>C31+C41+C45</f>
        <v/>
      </c>
      <c r="D55" s="63">
        <f>D31+D41+D45</f>
        <v/>
      </c>
      <c r="E55" s="63">
        <f>E31+E41+E45</f>
        <v/>
      </c>
      <c r="F55" s="63">
        <f>F31+F41+F45</f>
        <v/>
      </c>
      <c r="G55" s="63">
        <f>G31+G41+G45</f>
        <v/>
      </c>
      <c r="I55" s="51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52" t="inlineStr">
        <is>
          <t>Revenue Drivers: total-rev formula</t>
        </is>
      </c>
    </row>
    <row r="56" ht="28" customHeight="1">
      <c r="A56" s="34" t="inlineStr">
        <is>
          <t>Scenarios base-case revenue ($000)</t>
        </is>
      </c>
      <c r="B56" s="58" t="n">
        <v>11102600</v>
      </c>
      <c r="C56" s="35">
        <f>Scenarios!G18</f>
        <v/>
      </c>
      <c r="D56" s="35">
        <f>Scenarios!G19</f>
        <v/>
      </c>
      <c r="E56" s="35">
        <f>Scenarios!G20</f>
        <v/>
      </c>
      <c r="F56" s="35">
        <f>Scenarios!G21</f>
        <v/>
      </c>
      <c r="G56" s="35">
        <f>Scenarios!G22</f>
        <v/>
      </c>
      <c r="I56" s="51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4" t="inlineStr">
        <is>
          <t>Variance (bottom-up − scenarios) ($000)</t>
        </is>
      </c>
      <c r="B57" s="35">
        <f>B55-B56</f>
        <v/>
      </c>
      <c r="C57" s="35">
        <f>C55-C56</f>
        <v/>
      </c>
      <c r="D57" s="35">
        <f>D55-D56</f>
        <v/>
      </c>
      <c r="E57" s="35">
        <f>E55-E56</f>
        <v/>
      </c>
      <c r="F57" s="35">
        <f>F55-F56</f>
        <v/>
      </c>
      <c r="G57" s="35">
        <f>G55-G56</f>
        <v/>
      </c>
      <c r="I57" s="51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52" t="inlineStr">
        <is>
          <t>Revenue Drivers: variance formula</t>
        </is>
      </c>
    </row>
    <row r="58" ht="28" customHeight="1">
      <c r="A58" s="34" t="inlineStr">
        <is>
          <t>Variance (%)</t>
        </is>
      </c>
      <c r="B58" s="36">
        <f>IF(B56=0,"",B57/B56)</f>
        <v/>
      </c>
      <c r="C58" s="36">
        <f>IF(C56=0,"",C57/C56)</f>
        <v/>
      </c>
      <c r="D58" s="36">
        <f>IF(D56=0,"",D57/D56)</f>
        <v/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I58" s="51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52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4" t="inlineStr">
        <is>
          <t>Justification (~20 words)</t>
        </is>
      </c>
      <c r="C2" s="64" t="inlineStr">
        <is>
          <t>Source (click)</t>
        </is>
      </c>
      <c r="D2" s="64" t="inlineStr">
        <is>
          <t>Ctrl+F (prove number)</t>
        </is>
      </c>
      <c r="E2" s="65" t="inlineStr">
        <is>
          <t>FY2025A</t>
        </is>
      </c>
      <c r="F2" s="66" t="inlineStr">
        <is>
          <t>FY2026E</t>
        </is>
      </c>
      <c r="G2" s="66" t="inlineStr">
        <is>
          <t>FY2027E</t>
        </is>
      </c>
      <c r="H2" s="66" t="inlineStr">
        <is>
          <t>FY2028E</t>
        </is>
      </c>
      <c r="I2" s="66" t="inlineStr">
        <is>
          <t>FY2029E</t>
        </is>
      </c>
      <c r="J2" s="66" t="inlineStr">
        <is>
          <t>FY2030E</t>
        </is>
      </c>
      <c r="K2" s="67" t="inlineStr">
        <is>
          <t>Δ vs Scenarios</t>
        </is>
      </c>
      <c r="L2" s="64" t="inlineStr">
        <is>
          <t>Alt. source</t>
        </is>
      </c>
      <c r="M2" s="64" t="inlineStr">
        <is>
          <t>Alt. Ctrl+F</t>
        </is>
      </c>
    </row>
    <row r="3" ht="28" customHeight="1">
      <c r="A3" s="68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9" t="inlineStr">
        <is>
          <t>10-K</t>
        </is>
      </c>
      <c r="K3" s="70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1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2" t="n">
        <v>11102600</v>
      </c>
      <c r="F5" s="73">
        <f>Scenarios!G18</f>
        <v/>
      </c>
      <c r="G5" s="73">
        <f>Scenarios!G19</f>
        <v/>
      </c>
      <c r="H5" s="73">
        <f>Scenarios!G20</f>
        <v/>
      </c>
      <c r="I5" s="73">
        <f>Scenarios!G21</f>
        <v/>
      </c>
      <c r="J5" s="73">
        <f>Scenarios!G22</f>
        <v/>
      </c>
      <c r="K5" s="74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5">
        <f>F5/E5-1</f>
        <v/>
      </c>
      <c r="G6" s="75">
        <f>G5/F5-1</f>
        <v/>
      </c>
      <c r="H6" s="75">
        <f>H5/G5-1</f>
        <v/>
      </c>
      <c r="I6" s="75">
        <f>I5/H5-1</f>
        <v/>
      </c>
      <c r="J6" s="75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5">
        <f>Scenarios!G23</f>
        <v/>
      </c>
      <c r="G7" s="75">
        <f>Scenarios!G24</f>
        <v/>
      </c>
      <c r="H7" s="75">
        <f>Scenarios!G25</f>
        <v/>
      </c>
      <c r="I7" s="75">
        <f>Scenarios!G26</f>
        <v/>
      </c>
      <c r="J7" s="75">
        <f>Scenarios!G27</f>
        <v/>
      </c>
      <c r="K7" s="74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2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6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7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8" t="n">
        <v>0.1991078666258354</v>
      </c>
      <c r="F10" s="75">
        <f>F9/F5</f>
        <v/>
      </c>
      <c r="G10" s="75">
        <f>G9/G5</f>
        <v/>
      </c>
      <c r="H10" s="75">
        <f>H9/H5</f>
        <v/>
      </c>
      <c r="I10" s="75">
        <f>I9/I5</f>
        <v/>
      </c>
      <c r="J10" s="75">
        <f>J9/J5</f>
        <v/>
      </c>
    </row>
    <row r="11">
      <c r="A11" s="16" t="inlineStr">
        <is>
          <t>Less: cash taxes on EBIT</t>
        </is>
      </c>
      <c r="F11" s="73">
        <f>-Scenarios!G28*Scenarios!$G$11</f>
        <v/>
      </c>
      <c r="G11" s="73">
        <f>-Scenarios!G29*Scenarios!$G$11</f>
        <v/>
      </c>
      <c r="H11" s="73">
        <f>-Scenarios!G30*Scenarios!$G$11</f>
        <v/>
      </c>
      <c r="I11" s="73">
        <f>-Scenarios!G31*Scenarios!$G$11</f>
        <v/>
      </c>
      <c r="J11" s="73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7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3">
        <f>Scenarios!G38</f>
        <v/>
      </c>
      <c r="G14" s="73">
        <f>Scenarios!G39</f>
        <v/>
      </c>
      <c r="H14" s="73">
        <f>Scenarios!G40</f>
        <v/>
      </c>
      <c r="I14" s="73">
        <f>Scenarios!G41</f>
        <v/>
      </c>
      <c r="J14" s="73">
        <f>Scenarios!G42</f>
        <v/>
      </c>
      <c r="K14" s="74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3">
        <f>-Scenarios!G43</f>
        <v/>
      </c>
      <c r="G16" s="73">
        <f>-Scenarios!G44</f>
        <v/>
      </c>
      <c r="H16" s="73">
        <f>-Scenarios!G45</f>
        <v/>
      </c>
      <c r="I16" s="73">
        <f>-Scenarios!G46</f>
        <v/>
      </c>
      <c r="J16" s="73">
        <f>-Scenarios!G47</f>
        <v/>
      </c>
      <c r="K16" s="74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2" t="n">
        <v>190657</v>
      </c>
      <c r="F19" s="73">
        <f>Scenarios!G48</f>
        <v/>
      </c>
      <c r="G19" s="73">
        <f>Scenarios!G49</f>
        <v/>
      </c>
      <c r="H19" s="73">
        <f>Scenarios!G50</f>
        <v/>
      </c>
      <c r="I19" s="73">
        <f>Scenarios!G51</f>
        <v/>
      </c>
      <c r="J19" s="73">
        <f>Scenarios!G52</f>
        <v/>
      </c>
      <c r="K19" s="74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3">
        <f>-Scenarios!G53</f>
        <v/>
      </c>
      <c r="G20" s="73">
        <f>-Scenarios!G54</f>
        <v/>
      </c>
      <c r="H20" s="73">
        <f>-Scenarios!G55</f>
        <v/>
      </c>
      <c r="I20" s="73">
        <f>-Scenarios!G56</f>
        <v/>
      </c>
      <c r="J20" s="73">
        <f>-Scenarios!G57</f>
        <v/>
      </c>
      <c r="K20" s="74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9">
        <f>Scenarios!G58</f>
        <v/>
      </c>
      <c r="G22" s="79">
        <f>Scenarios!G59</f>
        <v/>
      </c>
      <c r="H22" s="79">
        <f>Scenarios!G60</f>
        <v/>
      </c>
      <c r="I22" s="79">
        <f>Scenarios!G61</f>
        <v/>
      </c>
      <c r="J22" s="79">
        <f>Scenarios!G62</f>
        <v/>
      </c>
      <c r="K22" s="77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0" t="n">
        <v>1</v>
      </c>
      <c r="G23" s="80" t="n">
        <v>2</v>
      </c>
      <c r="H23" s="80" t="n">
        <v>3</v>
      </c>
      <c r="I23" s="80" t="n">
        <v>4</v>
      </c>
      <c r="J23" s="80" t="n">
        <v>5</v>
      </c>
    </row>
    <row r="24">
      <c r="A24" s="16" t="inlineStr">
        <is>
          <t>Discount factor @ WACC</t>
        </is>
      </c>
      <c r="F24" s="81">
        <f>1/(1+Scenarios!$G$9)^F23</f>
        <v/>
      </c>
      <c r="G24" s="81">
        <f>1/(1+Scenarios!$G$9)^G23</f>
        <v/>
      </c>
      <c r="H24" s="81">
        <f>1/(1+Scenarios!$G$9)^H23</f>
        <v/>
      </c>
      <c r="I24" s="81">
        <f>1/(1+Scenarios!$G$9)^I23</f>
        <v/>
      </c>
      <c r="J24" s="81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2">
        <f>IF(COUNTIF(K5:K22,"CHECK")=0,"ALL OK","REVIEW")</f>
        <v/>
      </c>
    </row>
    <row r="28">
      <c r="A28" s="83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3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5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3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4">
        <f>E32/E31</f>
        <v/>
      </c>
    </row>
    <row r="34">
      <c r="A34" s="16" t="inlineStr">
        <is>
          <t xml:space="preserve">  memo: (UFCF₃₀ / EBITDA₃₀) × (1+g) / (WACC−g)</t>
        </is>
      </c>
      <c r="E34" s="84">
        <f>J22/E31*(1+Scenarios!$G$10)/(Scenarios!$G$9-Scenarios!$G$10)</f>
        <v/>
      </c>
    </row>
    <row r="35">
      <c r="A35" s="24" t="inlineStr">
        <is>
          <t>PV of terminal value</t>
        </is>
      </c>
      <c r="E35" s="63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5" t="inlineStr">
        <is>
          <t>10-K</t>
        </is>
      </c>
      <c r="D37" s="19" t="inlineStr">
        <is>
          <t>Ctrl+F "Cash and cash equivalents" → 1,807,202 ($000) FY2025</t>
        </is>
      </c>
      <c r="E37" s="72" t="n">
        <v>1807202</v>
      </c>
    </row>
    <row r="38" ht="28" customHeight="1">
      <c r="A38" s="16" t="inlineStr">
        <is>
          <t>Less: total debt</t>
        </is>
      </c>
      <c r="C38" s="85" t="inlineStr">
        <is>
          <t>10-K</t>
        </is>
      </c>
      <c r="D38" s="19" t="inlineStr">
        <is>
          <t>Ctrl+F "no borrowings were outstanding under this facility" → no funded term debt</t>
        </is>
      </c>
      <c r="E38" s="72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5" t="inlineStr">
        <is>
          <t>10-K</t>
        </is>
      </c>
      <c r="D40" s="19" t="inlineStr">
        <is>
          <t>Ctrl+F "Diluted weighted-average number of shares outstanding" → 119,068 (000)</t>
        </is>
      </c>
      <c r="E40" s="72" t="n">
        <v>111380</v>
      </c>
    </row>
    <row r="41">
      <c r="A41" s="24" t="inlineStr">
        <is>
          <t>Implied value per share</t>
        </is>
      </c>
      <c r="E41" s="86">
        <f>E39/E40</f>
        <v/>
      </c>
      <c r="K41" s="77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5" t="inlineStr">
        <is>
          <t>NASDAQ</t>
        </is>
      </c>
      <c r="D42" s="19" t="inlineStr">
        <is>
          <t>Ctrl+F "LULU" → Last Sale or Previous Close on NASDAQ quote page</t>
        </is>
      </c>
      <c r="E42" s="87" t="n">
        <v>100</v>
      </c>
    </row>
    <row r="43">
      <c r="A43" s="24" t="inlineStr">
        <is>
          <t>Implied upside / (downside)</t>
        </is>
      </c>
      <c r="E43" s="88">
        <f>E41/E42-1</f>
        <v/>
      </c>
    </row>
    <row r="44">
      <c r="A44" s="16" t="inlineStr">
        <is>
          <t xml:space="preserve">  memo: % of EV from terminal value</t>
        </is>
      </c>
      <c r="E44" s="75">
        <f>E35/E36</f>
        <v/>
      </c>
    </row>
    <row r="46">
      <c r="A46" s="83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4">
        <f>E33</f>
        <v/>
      </c>
      <c r="M48" s="85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3">
        <f>E31*E48</f>
        <v/>
      </c>
    </row>
    <row r="50">
      <c r="A50" s="16" t="inlineStr">
        <is>
          <t>PV of terminal value</t>
        </is>
      </c>
      <c r="E50" s="73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9">
        <f>(E51+E37+E38)/E40</f>
        <v/>
      </c>
    </row>
    <row r="54">
      <c r="A54" s="83" t="inlineStr">
        <is>
          <t>TERMINAL VALUE RECONCILIATION (GORDON vs EXIT MULTIPLE)</t>
        </is>
      </c>
      <c r="B54" s="13" t="n"/>
      <c r="C54" s="13" t="n"/>
      <c r="D54" s="13" t="n"/>
    </row>
    <row r="55">
      <c r="A55" s="90" t="inlineStr"/>
      <c r="B55" s="46" t="inlineStr">
        <is>
          <t>Gordon Growth</t>
        </is>
      </c>
      <c r="C55" s="46" t="inlineStr">
        <is>
          <t>Exit Multiple</t>
        </is>
      </c>
      <c r="D55" s="46" t="inlineStr">
        <is>
          <t>Variance</t>
        </is>
      </c>
    </row>
    <row r="56">
      <c r="A56" s="24" t="inlineStr">
        <is>
          <t>Terminal value ($)</t>
        </is>
      </c>
      <c r="B56" s="63">
        <f>E32</f>
        <v/>
      </c>
      <c r="C56" s="63">
        <f>E49</f>
        <v/>
      </c>
      <c r="D56" s="63">
        <f>B56-C56</f>
        <v/>
      </c>
    </row>
    <row r="57">
      <c r="A57" s="24" t="inlineStr">
        <is>
          <t>Exit EV/EBITDA (implied vs selected)</t>
        </is>
      </c>
      <c r="B57" s="91">
        <f>E33</f>
        <v/>
      </c>
      <c r="C57" s="91">
        <f>E48</f>
        <v/>
      </c>
      <c r="D57" s="91">
        <f>B57-C57</f>
        <v/>
      </c>
    </row>
    <row r="58">
      <c r="A58" s="16" t="inlineStr">
        <is>
          <t>Terminal value variance (%)</t>
        </is>
      </c>
      <c r="B58" s="75" t="inlineStr"/>
      <c r="C58" s="75" t="inlineStr"/>
      <c r="D58" s="75">
        <f>(B56-C56)/B56</f>
        <v/>
      </c>
    </row>
    <row r="59">
      <c r="A59" s="24" t="inlineStr">
        <is>
          <t>Implied share price</t>
        </is>
      </c>
      <c r="B59" s="92">
        <f>E41</f>
        <v/>
      </c>
      <c r="C59" s="92">
        <f>E52</f>
        <v/>
      </c>
      <c r="D59" s="92">
        <f>B59-C59</f>
        <v/>
      </c>
    </row>
    <row r="60">
      <c r="A60" s="61" t="inlineStr">
        <is>
          <t>Sanity check: multiples within ±1.5 turns?</t>
        </is>
      </c>
      <c r="B60" s="93">
        <f>IF(ABS(D57)&lt;=1.5,"PASS","REVIEW")</f>
        <v/>
      </c>
      <c r="C60" s="94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3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5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6" t="n">
        <v>0.015</v>
      </c>
      <c r="G64" s="96" t="n">
        <v>0.02</v>
      </c>
      <c r="H64" s="96" t="n">
        <v>0.0225</v>
      </c>
      <c r="I64" s="96" t="n">
        <v>0.025</v>
      </c>
      <c r="J64" s="96" t="n">
        <v>0.03</v>
      </c>
      <c r="L64" s="85" t="inlineStr">
        <is>
          <t>Scenarios: terminal g</t>
        </is>
      </c>
    </row>
    <row r="65" ht="28" customHeight="1">
      <c r="A65" s="96" t="n">
        <v>0.095</v>
      </c>
      <c r="C65" s="85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7">
        <f>(NPV(0.095,F22:J22)+(J22*(1+0.015)/(0.095-0.015))/(1+0.095)^5+E37+E38)/E40</f>
        <v/>
      </c>
      <c r="G65" s="97">
        <f>(NPV(0.095,F22:J22)+(J22*(1+0.02)/(0.095-0.02))/(1+0.095)^5+E37+E38)/E40</f>
        <v/>
      </c>
      <c r="H65" s="97">
        <f>(NPV(0.095,F22:J22)+(J22*(1+0.0225)/(0.095-0.0225))/(1+0.095)^5+E37+E38)/E40</f>
        <v/>
      </c>
      <c r="I65" s="97">
        <f>(NPV(0.095,F22:J22)+(J22*(1+0.025)/(0.095-0.025))/(1+0.095)^5+E37+E38)/E40</f>
        <v/>
      </c>
      <c r="J65" s="97">
        <f>(NPV(0.095,F22:J22)+(J22*(1+0.03)/(0.095-0.03))/(1+0.095)^5+E37+E38)/E40</f>
        <v/>
      </c>
      <c r="L65" s="85" t="inlineStr">
        <is>
          <t>WACC tab</t>
        </is>
      </c>
    </row>
    <row r="66" ht="28" customHeight="1">
      <c r="A66" s="96" t="n">
        <v>0.1</v>
      </c>
      <c r="D66" s="19" t="inlineStr">
        <is>
          <t>Ctrl+F "4.23%" (2025 implied ERP). Sensitivity WACC axis brackets the 10.5% base.</t>
        </is>
      </c>
      <c r="F66" s="97">
        <f>(NPV(0.1,F22:J22)+(J22*(1+0.015)/(0.1-0.015))/(1+0.1)^5+E37+E38)/E40</f>
        <v/>
      </c>
      <c r="G66" s="97">
        <f>(NPV(0.1,F22:J22)+(J22*(1+0.02)/(0.1-0.02))/(1+0.1)^5+E37+E38)/E40</f>
        <v/>
      </c>
      <c r="H66" s="97">
        <f>(NPV(0.1,F22:J22)+(J22*(1+0.0225)/(0.1-0.0225))/(1+0.1)^5+E37+E38)/E40</f>
        <v/>
      </c>
      <c r="I66" s="97">
        <f>(NPV(0.1,F22:J22)+(J22*(1+0.025)/(0.1-0.025))/(1+0.1)^5+E37+E38)/E40</f>
        <v/>
      </c>
      <c r="J66" s="97">
        <f>(NPV(0.1,F22:J22)+(J22*(1+0.03)/(0.1-0.03))/(1+0.1)^5+E37+E38)/E40</f>
        <v/>
      </c>
      <c r="L66" s="85" t="inlineStr">
        <is>
          <t>WACC tab</t>
        </is>
      </c>
    </row>
    <row r="67" ht="28" customHeight="1">
      <c r="A67" s="96" t="n">
        <v>0.105</v>
      </c>
      <c r="D67" s="19" t="inlineStr">
        <is>
          <t>Ctrl+F "4.23%" (2025 implied ERP). Sensitivity WACC axis brackets the 10.5% base.</t>
        </is>
      </c>
      <c r="F67" s="97">
        <f>(NPV(0.105,F22:J22)+(J22*(1+0.015)/(0.105-0.015))/(1+0.105)^5+E37+E38)/E40</f>
        <v/>
      </c>
      <c r="G67" s="97">
        <f>(NPV(0.105,F22:J22)+(J22*(1+0.02)/(0.105-0.02))/(1+0.105)^5+E37+E38)/E40</f>
        <v/>
      </c>
      <c r="H67" s="98">
        <f>(NPV(0.105,F22:J22)+(J22*(1+0.0225)/(0.105-0.0225))/(1+0.105)^5+E37+E38)/E40</f>
        <v/>
      </c>
      <c r="I67" s="97">
        <f>(NPV(0.105,F22:J22)+(J22*(1+0.025)/(0.105-0.025))/(1+0.105)^5+E37+E38)/E40</f>
        <v/>
      </c>
      <c r="J67" s="97">
        <f>(NPV(0.105,F22:J22)+(J22*(1+0.03)/(0.105-0.03))/(1+0.105)^5+E37+E38)/E40</f>
        <v/>
      </c>
      <c r="L67" s="85" t="inlineStr">
        <is>
          <t>WACC tab</t>
        </is>
      </c>
    </row>
    <row r="68" ht="28" customHeight="1">
      <c r="A68" s="96" t="n">
        <v>0.11</v>
      </c>
      <c r="D68" s="19" t="inlineStr">
        <is>
          <t>Ctrl+F "4.23%" (2025 implied ERP). Sensitivity WACC axis brackets the 10.5% base.</t>
        </is>
      </c>
      <c r="F68" s="97">
        <f>(NPV(0.11,F22:J22)+(J22*(1+0.015)/(0.11-0.015))/(1+0.11)^5+E37+E38)/E40</f>
        <v/>
      </c>
      <c r="G68" s="97">
        <f>(NPV(0.11,F22:J22)+(J22*(1+0.02)/(0.11-0.02))/(1+0.11)^5+E37+E38)/E40</f>
        <v/>
      </c>
      <c r="H68" s="97">
        <f>(NPV(0.11,F22:J22)+(J22*(1+0.0225)/(0.11-0.0225))/(1+0.11)^5+E37+E38)/E40</f>
        <v/>
      </c>
      <c r="I68" s="97">
        <f>(NPV(0.11,F22:J22)+(J22*(1+0.025)/(0.11-0.025))/(1+0.11)^5+E37+E38)/E40</f>
        <v/>
      </c>
      <c r="J68" s="97">
        <f>(NPV(0.11,F22:J22)+(J22*(1+0.03)/(0.11-0.03))/(1+0.11)^5+E37+E38)/E40</f>
        <v/>
      </c>
      <c r="L68" s="85" t="inlineStr">
        <is>
          <t>WACC tab</t>
        </is>
      </c>
    </row>
    <row r="69" ht="28" customHeight="1">
      <c r="A69" s="96" t="n">
        <v>0.115</v>
      </c>
      <c r="D69" s="19" t="inlineStr">
        <is>
          <t>Ctrl+F "4.23%" (2025 implied ERP). Sensitivity WACC axis brackets the 10.5% base.</t>
        </is>
      </c>
      <c r="F69" s="97">
        <f>(NPV(0.115,F22:J22)+(J22*(1+0.015)/(0.115-0.015))/(1+0.115)^5+E37+E38)/E40</f>
        <v/>
      </c>
      <c r="G69" s="97">
        <f>(NPV(0.115,F22:J22)+(J22*(1+0.02)/(0.115-0.02))/(1+0.115)^5+E37+E38)/E40</f>
        <v/>
      </c>
      <c r="H69" s="97">
        <f>(NPV(0.115,F22:J22)+(J22*(1+0.0225)/(0.115-0.0225))/(1+0.115)^5+E37+E38)/E40</f>
        <v/>
      </c>
      <c r="I69" s="97">
        <f>(NPV(0.115,F22:J22)+(J22*(1+0.025)/(0.115-0.025))/(1+0.115)^5+E37+E38)/E40</f>
        <v/>
      </c>
      <c r="J69" s="97">
        <f>(NPV(0.115,F22:J22)+(J22*(1+0.03)/(0.115-0.03))/(1+0.115)^5+E37+E38)/E40</f>
        <v/>
      </c>
      <c r="L69" s="85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5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5" t="inlineStr">
        <is>
          <t>10-K</t>
        </is>
      </c>
      <c r="D4" s="19" t="inlineStr">
        <is>
          <t>Ctrl+F "Net revenue" → 11,102,600 ($000) in FY2025 column</t>
        </is>
      </c>
      <c r="E4" s="72" t="n">
        <v>11102600</v>
      </c>
    </row>
    <row r="5">
      <c r="A5" s="16" t="inlineStr">
        <is>
          <t>FY2025A EBITDA (EBIT + D&amp;A)</t>
        </is>
      </c>
      <c r="E5" s="73">
        <f>2210615+496228</f>
        <v/>
      </c>
    </row>
    <row r="6">
      <c r="A6" s="16" t="inlineStr">
        <is>
          <t>FY2030E terminal EBITDA (DCF EBIT + D&amp;A)</t>
        </is>
      </c>
      <c r="C6" s="85" t="inlineStr">
        <is>
          <t>↳ DCF base case</t>
        </is>
      </c>
      <c r="E6" s="73">
        <f>DCF!E31</f>
        <v/>
      </c>
    </row>
    <row r="7" ht="28" customHeight="1">
      <c r="A7" s="16" t="inlineStr">
        <is>
          <t>FY2026E diluted EPS (guidance midpoint)</t>
        </is>
      </c>
      <c r="C7" s="85" t="inlineStr">
        <is>
          <t>Release</t>
        </is>
      </c>
      <c r="D7" s="19" t="inlineStr">
        <is>
          <t>Ctrl+F "$9.48 to $9.73" → FY2026 diluted EPS guidance; model midpoint $9.61</t>
        </is>
      </c>
      <c r="E7" s="87" t="n">
        <v>9.609999999999999</v>
      </c>
    </row>
    <row r="8" ht="28" customHeight="1">
      <c r="A8" s="16" t="inlineStr">
        <is>
          <t>Cash &amp; equivalents</t>
        </is>
      </c>
      <c r="C8" s="85" t="inlineStr">
        <is>
          <t>10-K</t>
        </is>
      </c>
      <c r="D8" s="19" t="inlineStr">
        <is>
          <t>Ctrl+F "Cash and cash equivalents" → 1,807,202 ($000) FY2025</t>
        </is>
      </c>
      <c r="E8" s="72" t="n">
        <v>1807202</v>
      </c>
    </row>
    <row r="9" ht="28" customHeight="1">
      <c r="A9" s="16" t="inlineStr">
        <is>
          <t>Diluted shares (000)</t>
        </is>
      </c>
      <c r="C9" s="85" t="inlineStr">
        <is>
          <t>10-K</t>
        </is>
      </c>
      <c r="D9" s="19" t="inlineStr">
        <is>
          <t>Ctrl+F "Diluted weighted-average number of shares outstanding" → 119,068 (000)</t>
        </is>
      </c>
      <c r="E9" s="72" t="n">
        <v>111380</v>
      </c>
    </row>
    <row r="10" ht="28" customHeight="1">
      <c r="A10" s="16" t="inlineStr">
        <is>
          <t>Current share price</t>
        </is>
      </c>
      <c r="C10" s="85" t="inlineStr">
        <is>
          <t>NASDAQ</t>
        </is>
      </c>
      <c r="D10" s="19" t="inlineStr">
        <is>
          <t>Ctrl+F "LULU" → Last Sale or Previous Close on NASDAQ quote page</t>
        </is>
      </c>
      <c r="E10" s="87" t="n">
        <v>100</v>
      </c>
    </row>
    <row r="11">
      <c r="A11" s="94" t="inlineStr">
        <is>
          <t xml:space="preserve">  memo: current EV / EBITDA</t>
        </is>
      </c>
      <c r="E11" s="99">
        <f>(E10*E9-E8)/E5</f>
        <v/>
      </c>
    </row>
    <row r="12">
      <c r="A12" s="94" t="inlineStr">
        <is>
          <t xml:space="preserve">  memo: current P / E (FY2026E)</t>
        </is>
      </c>
      <c r="E12" s="99">
        <f>E10/E7</f>
        <v/>
      </c>
    </row>
    <row r="14">
      <c r="A14" s="14" t="inlineStr">
        <is>
          <t>EXIT MULTIPLE BUILD — FY2030E TERMINAL YEAR</t>
        </is>
      </c>
    </row>
    <row r="15">
      <c r="A15" s="94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0" t="inlineStr">
        <is>
          <t>Company</t>
        </is>
      </c>
      <c r="B18" s="100" t="inlineStr">
        <is>
          <t>Justification</t>
        </is>
      </c>
      <c r="C18" s="100" t="inlineStr">
        <is>
          <t>Source</t>
        </is>
      </c>
      <c r="D18" s="100" t="inlineStr">
        <is>
          <t>Ctrl+F / proof</t>
        </is>
      </c>
      <c r="E18" s="101" t="inlineStr">
        <is>
          <t>EV/EBITDA</t>
        </is>
      </c>
      <c r="I18" s="101" t="inlineStr">
        <is>
          <t>EV ($000)</t>
        </is>
      </c>
      <c r="J18" s="101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2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2">
        <f>IF(J19&lt;=0,"n.m.",I19/J19)</f>
        <v/>
      </c>
      <c r="I19" s="103" t="n">
        <v>11890440</v>
      </c>
      <c r="J19" s="103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2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2">
        <f>IF(J20&lt;=0,"n.m.",I20/J20)</f>
        <v/>
      </c>
      <c r="I20" s="103" t="n">
        <v>3208397</v>
      </c>
      <c r="J20" s="103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2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2">
        <f>IF(J21&lt;=0,"n.m.",I21/J21)</f>
        <v/>
      </c>
      <c r="I21" s="103" t="n">
        <v>35661944</v>
      </c>
      <c r="J21" s="103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2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2">
        <f>IF(J22&lt;=0,"n.m.",I22/J22)</f>
        <v/>
      </c>
      <c r="I22" s="103" t="n">
        <v>58972350</v>
      </c>
      <c r="J22" s="103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2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2">
        <f>IF(J23&lt;=0,"n.m.",I23/J23)</f>
        <v/>
      </c>
      <c r="I23" s="103" t="n">
        <v>10555510</v>
      </c>
      <c r="J23" s="103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2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2">
        <f>IF(J24&lt;=0,"n.m.",I24/J24)</f>
        <v/>
      </c>
      <c r="I24" s="103" t="n">
        <v>27284350</v>
      </c>
      <c r="J24" s="103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2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2">
        <f>IF(J25&lt;=0,"n.m.",I25/J25)</f>
        <v/>
      </c>
      <c r="I25" s="103" t="n">
        <v>7153911</v>
      </c>
      <c r="J25" s="103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2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2">
        <f>IF(J26&lt;=0,"n.m.",I26/J26)</f>
        <v/>
      </c>
      <c r="I26" s="103" t="n">
        <v>616045</v>
      </c>
      <c r="J26" s="103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2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2">
        <f>IF(J27&lt;=0,"n.m.",I27/J27)</f>
        <v/>
      </c>
      <c r="I27" s="103" t="n">
        <v>9422753</v>
      </c>
      <c r="J27" s="103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2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2">
        <f>IF(J28&lt;=0,"n.m.",I28/J28)</f>
        <v/>
      </c>
      <c r="I28" s="103" t="n">
        <v>1598873</v>
      </c>
      <c r="J28" s="103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2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2">
        <f>IF(J29&lt;=0,"n.m.",I29/J29)</f>
        <v/>
      </c>
      <c r="I29" s="103" t="n">
        <v>5236269</v>
      </c>
      <c r="J29" s="103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4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4" t="n">
        <v>2</v>
      </c>
    </row>
    <row r="35" ht="28" customHeight="1">
      <c r="A35" s="61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5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6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2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2">
        <f>AVERAGE(E19,E21,E22,E23,E24,E25,E26,E27,E28,E29)</f>
        <v/>
      </c>
    </row>
    <row r="41">
      <c r="A41" s="94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4">
        <f>DCF!E33</f>
        <v/>
      </c>
    </row>
    <row r="45">
      <c r="A45" s="61" t="inlineStr">
        <is>
          <t>Selected exit multiple (base case)</t>
        </is>
      </c>
      <c r="E45" s="91">
        <f>DCF!E48</f>
        <v/>
      </c>
    </row>
    <row r="46">
      <c r="A46" s="16" t="inlineStr">
        <is>
          <t>Spread (selected − Gordon implied)</t>
        </is>
      </c>
      <c r="E46" s="84">
        <f>E45-E44</f>
        <v/>
      </c>
    </row>
    <row r="47">
      <c r="A47" s="61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0" t="inlineStr">
        <is>
          <t>Method</t>
        </is>
      </c>
      <c r="B56" s="100" t="inlineStr">
        <is>
          <t>Justification</t>
        </is>
      </c>
      <c r="C56" s="100" t="inlineStr">
        <is>
          <t>Source</t>
        </is>
      </c>
      <c r="D56" s="100" t="inlineStr">
        <is>
          <t>Ctrl+F</t>
        </is>
      </c>
      <c r="E56" s="101" t="inlineStr">
        <is>
          <t>Low mult.</t>
        </is>
      </c>
      <c r="F56" s="101" t="inlineStr">
        <is>
          <t>High mult.</t>
        </is>
      </c>
      <c r="G56" s="101" t="inlineStr">
        <is>
          <t>Implied px (low)</t>
        </is>
      </c>
      <c r="H56" s="101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1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7" t="n">
        <v>5</v>
      </c>
      <c r="F57" s="107" t="n">
        <v>8</v>
      </c>
      <c r="G57" s="108">
        <f>(E6*E57+E8)/E9</f>
        <v/>
      </c>
      <c r="H57" s="108">
        <f>(E6*F57+E8)/E9</f>
        <v/>
      </c>
    </row>
    <row r="58" ht="28" customHeight="1">
      <c r="A58" s="61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5">
        <f>DCF!E48</f>
        <v/>
      </c>
      <c r="G58" s="109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1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7" t="n">
        <v>10</v>
      </c>
      <c r="F59" s="107" t="n">
        <v>18</v>
      </c>
      <c r="G59" s="108">
        <f>E7*E59</f>
        <v/>
      </c>
      <c r="H59" s="108">
        <f>E7*F59</f>
        <v/>
      </c>
    </row>
    <row r="60">
      <c r="A60" s="16" t="inlineStr">
        <is>
          <t>DCF (bear – bull)</t>
        </is>
      </c>
      <c r="E60" s="110" t="inlineStr">
        <is>
          <t>—</t>
        </is>
      </c>
      <c r="F60" s="110" t="inlineStr">
        <is>
          <t>—</t>
        </is>
      </c>
      <c r="G60" s="108">
        <f>Scenarios!F65</f>
        <v/>
      </c>
      <c r="H60" s="108">
        <f>Scenarios!H65</f>
        <v/>
      </c>
    </row>
    <row r="62" ht="28" customHeight="1">
      <c r="A62" s="111" t="inlineStr">
        <is>
          <t>Current price</t>
        </is>
      </c>
      <c r="C62" s="85" t="inlineStr">
        <is>
          <t>NASDAQ</t>
        </is>
      </c>
      <c r="D62" s="19" t="inlineStr">
        <is>
          <t>Ctrl+F "LULU" → Last Sale or Previous Close on NASDAQ quote page</t>
        </is>
      </c>
      <c r="E62" s="112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2026-09-07T22:00:44Z</dcterms:created>
  <dcterms:modified xmlns:dcterms="http://purl.org/dc/terms/" xmlns:xsi="http://www.w3.org/2001/XMLSchema-instance" xsi:type="dcterms:W3CDTF">2026-09-07T22:00:44Z</dcterms:modified>
</cp:coreProperties>
</file>
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fred.stlouisfed.org/series/GDPC1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www.nasdaq.com/market-activity/stocks/lulu" TargetMode="External" Id="rId45"/><Relationship Type="http://schemas.openxmlformats.org/officeDocument/2006/relationships/hyperlink" Target="https://fred.stlouisfed.org/series/GDPC1" TargetMode="External" Id="rId46"/><Relationship Type="http://schemas.openxmlformats.org/officeDocument/2006/relationships/hyperlink" Target="https://www.stern.nyu.edu/~adamodar/New_Home_Page/datafile/histimpl.html" TargetMode="External" Id="rId47"/><Relationship Type="http://schemas.openxmlformats.org/officeDocument/2006/relationships/hyperlink" Target="https://fred.stlouisfed.org/series/GDPC1" TargetMode="External" Id="rId4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NOPAT Bridge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$0;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500; not unlevered.</t>
        </is>
      </c>
      <c r="C17" s="18" t="inlineStr">
        <is>
          <t>Yahoo Finance: LULU Beta (5Y Monthly)</t>
        </is>
      </c>
      <c r="D17" s="19" t="inlineStr">
        <is>
          <t>Ctrl+F "Beta (5Y Monthly)" → 0.86. Levered βL (Yahoo Key Statistics).</t>
        </is>
      </c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inlineStr">
        <is>
          <t>Ctrl+F "Total Debt (mrq)" → 2.14B. Same page as beta.</t>
        </is>
      </c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inlineStr">
        <is>
          <t>Ctrl+F "Market Cap" → 11.14B. Same page as beta and debt.</t>
        </is>
      </c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page; shown for reference, not used in Hamada.</t>
        </is>
      </c>
      <c r="C21" s="18" t="inlineStr">
        <is>
          <t>Yahoo Finance: Total Debt/Equity (mrq)</t>
        </is>
      </c>
      <c r="D21" s="19" t="inlineStr">
        <is>
          <t>Ctrl+F "Total Debt/Equity (mrq)" → 44.69%. Book D/E; reference only, not in Hamada.</t>
        </is>
      </c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0.16;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used; we derive βu from Yahoo βL.</t>
        </is>
      </c>
      <c r="C24" s="18" t="inlineStr">
        <is>
          <t>Damodaran: US betas by sector (Jan 2026)</t>
        </is>
      </c>
      <c r="D24" s="19" t="inlineStr">
        <is>
          <t>Ctrl+F "Retail (Special Lines)" → 0.95 βu. Sector benchmark; not used in WACC.</t>
        </is>
      </c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YAHOO KEY STATISTICS; βL + debt + equity on ONE page
(No vendor publishes the D/E embedded inside the regression.)
Observed levered βL
  Ctrl+F "Beta (5Y Monthly)"  →  0.86
  ~60 monthly returns vs S&amp;P 500 (Yahoo label)
Paired inputs on same page (mrq = most recent quarter)
  Ctrl+F "Total Debt (mrq)"  →  2.14B
  Ctrl+F "Market Cap"  →  11.14B
  Ctrl+F "Total Debt/Equity (mrq)"  →  44.69%  (book; reference only)
STEP 1 — UNLEVER (market D/E from Yahoo page)
  D/E = Total Debt (mrq) ÷ Market Cap = 2.14 ÷ 11.14 ≈  0.19
  βu = 0.86 ÷ [1 + 0.70 × 0.19] = 0.86 ÷ 1.134  ≈  0.76
  (1−T) = 0.70 at 30% tax on this tab
STEP 2 — RELEVER (WACC: FY25 10-K lease debt / our market cap)
  Ctrl+F "Current lease liabilities"  →  298,724
  Ctrl+F "Non-current lease liabilities"  →  1,499,717
  D/E ≈ 0.16.  β used = 0.76 × 1.113  ≈  0.84
Benchmark (not used): Damodaran Retail βu 0.95</t>
        </is>
      </c>
      <c r="E25" s="29">
        <f>E22*(1+(1-E5)*E23)</f>
        <v/>
      </c>
    </row>
    <row r="26">
      <c r="A26" s="26" t="inlineStr">
        <is>
          <t xml:space="preserve">  β walkthrough (Hamada; Yahoo Key Statistics source):</t>
        </is>
      </c>
    </row>
    <row r="27">
      <c r="A27" s="26" t="inlineStr">
        <is>
          <t xml:space="preserve">  (0) Yahoo βL = 0.86 (Beta 5Y Monthly). No vendor publishes D/E inside the regression.</t>
        </is>
      </c>
    </row>
    <row r="28">
      <c r="A28" s="26" t="inlineStr">
        <is>
          <t xml:space="preserve">  (1) Unlever at Yahoo market D/E = $2.14B debt (mrq) ÷ $11.14B mkt cap ≈ 0.19 → βu ≈ 0.76.</t>
        </is>
      </c>
    </row>
    <row r="29">
      <c r="A29" s="26" t="inlineStr">
        <is>
          <t xml:space="preserve">  (2) Relever at WACC D/E = FY25 10-K leases ÷ our market cap ≈ 0.16 → β used ≈ 0.84.</t>
        </is>
      </c>
    </row>
    <row r="30">
      <c r="A30" s="26" t="inlineStr">
        <is>
          <t xml:space="preserve">  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inlineStr">
        <is>
          <t>Ctrl+F "Current lease liabilities" + "Non-current lease liabilities" → debt equiv. 5.0% illustrative lease borrowing cost.</t>
        </is>
      </c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~14%;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 [cols B–D: click + to expand]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only;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56.6% of revenue (gross margin). Isolates COGS for inventory/AP drivers; base case held near FY25 reported GM.</t>
        </is>
      </c>
      <c r="C14" s="18" t="inlineStr">
        <is>
          <t>LULU FY2025 10-K: Gross profit &amp; COGS</t>
        </is>
      </c>
      <c r="D14" s="19" t="inlineStr">
        <is>
          <t>56.6% of revenue (gross margin).
Ctrl+F "Gross profit"
→ 6,284,132 ($000)
Ctrl+F "Net revenue"
→ 11,102,600 ($000)
Ctrl+F "Cost of goods sold"
→ 4,818,468 ($000)</t>
        </is>
      </c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Not % of revenue; DSO (days), flat ~6.3. Mostly own stores/DTC (cash at register); AR is small wholesale residual; predictable ~6 days FY22–25.</t>
        </is>
      </c>
      <c r="C15" s="18" t="inlineStr">
        <is>
          <t>LULU FY2025 10-K: Accounts receivable, net</t>
        </is>
      </c>
      <c r="D15" s="19" t="inlineStr">
        <is>
          <t>Not % of revenue; DSO (days), flat ~6.3.
Why flat: ~90%+ revenue is company-operated stores + e-commerce (cash/card at sale);
AR is a small, stable wholesale/license residual;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Not % of revenue; DIO (days).
FY25 anchor: DIO = (Inventories ÷ COGS) × 365
  = (1,700,753 ÷ 4,818,468) × 365 ≈ 129 days (FY24 inv: 1,442,081).
Forecast path: DIO_t = FY25 DIO − (1 day × year t); flat across scenarios.</t>
        </is>
      </c>
      <c r="C16" s="18" t="inlineStr">
        <is>
          <t>LULU FY2025 10-K: Inventories &amp; COGS</t>
        </is>
      </c>
      <c r="D16" s="19" t="inlineStr">
        <is>
          <t>Not % of revenue; DIO (days).
FY25 anchor formula:
  DIO = (Inventories ÷ COGS) × 365
Ctrl+F "Inventories"
→ 1,700,753 ($000)  |  FY24: 1,442,081
Ctrl+F "Cost of goods sold"
→ 4,818,468 ($000)
  = (1,700,753 ÷ 4,818,468) × 365 ≈ 129 days
Forecast: DIO_t = FY25 DIO − (1 × year t)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Not % of revenue; subtract 1 DIO day per forecast year (−5 days FY26–30).
Feeds Inventories = (DIO_t ÷ 365) × COGS_t.
Ctrl+F "reduce the percentage of markdowns"
Ctrl+F "On a unit basis, we expect inventories to slightly decrease"</t>
        </is>
      </c>
      <c r="C17" s="18" t="inlineStr">
        <is>
          <t>LULU FY2025 10-K: inventory &amp; markdown outlook</t>
        </is>
      </c>
      <c r="D17" s="19" t="inlineStr">
        <is>
          <t>Not % of revenue; DIO −1 day/yr (−5 days FY26–30).
Feeds Inventories_t = (DIO_t ÷ 365) × COGS_t.
Ctrl+F "reduce the percentage of markdowns"
Ctrl+F "On a unit basis, we expect inventories to slightly decrease"</t>
        </is>
      </c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Not % of revenue; DPO (days), flat ~25.1. Implied AP ≈3.0% of sales / 6.9% of COGS.</t>
        </is>
      </c>
      <c r="C18" s="18" t="inlineStr">
        <is>
          <t>LULU FY2025 10-K: Accounts payable &amp; COGS</t>
        </is>
      </c>
      <c r="D18" s="19" t="inlineStr">
        <is>
          <t>Ctrl+F "Accounts payable"
→ 331,421 ($000)
Ctrl+F "Cost of goods sold"
→ 4,818,468 ($000)
Not % of revenue; DPO ≈ 25.1 days. Implied AP ≈ 3.0% of sales / 6.9% of COGS.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5.1% of revenue (flat). FY25 other current assets (prepaids + tax receivables) ÷ net revenue.</t>
        </is>
      </c>
      <c r="C19" s="18" t="inlineStr">
        <is>
          <t>LULU FY2025 10-K: other current assets (residual)</t>
        </is>
      </c>
      <c r="D19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6.0% of revenue (flat). FY25 accrued liabilities ÷ net revenue; comp/marketing accrual mix.</t>
        </is>
      </c>
      <c r="C20" s="18" t="inlineStr">
        <is>
          <t>LULU FY2025 10-K: Accrued liabilities and other</t>
        </is>
      </c>
      <c r="D20" s="19" t="inlineStr">
        <is>
          <t>Ctrl+F "Accrued liabilities and other"
→ 662,982 ($000)
Ctrl+F "Net revenue"
→ 11,102,600 ($000)
6.0% of revenue (flat). 662,982 ÷ 11,102,600.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 xml:space="preserve">  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 xml:space="preserve">  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 xml:space="preserve">  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 xml:space="preserve">  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 xml:space="preserve">  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 xml:space="preserve">  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 xml:space="preserve">  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 xml:space="preserve">  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 xml:space="preserve">  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 xml:space="preserve">  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 xml:space="preserve">  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 xml:space="preserve">  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 xml:space="preserve">  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 xml:space="preserve">  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 xml:space="preserve">  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 xml:space="preserve">  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 xml:space="preserve">  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 xml:space="preserve">  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 xml:space="preserve">  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 xml:space="preserve">  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 xml:space="preserve">  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 xml:space="preserve">  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 xml:space="preserve">  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 xml:space="preserve">  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 xml:space="preserve">  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 xml:space="preserve">  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 xml:space="preserve">  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 xml:space="preserve">  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 xml:space="preserve">  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 xml:space="preserve">  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 xml:space="preserve">  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 xml:space="preserve">  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 xml:space="preserve">  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 xml:space="preserve">  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 xml:space="preserve">  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 xml:space="preserve">  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 xml:space="preserve">  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 xml:space="preserve">  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 xml:space="preserve">  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 xml:space="preserve">  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 xml:space="preserve">  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 xml:space="preserve">  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 xml:space="preserve">  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 xml:space="preserve">  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 xml:space="preserve">  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 xml:space="preserve">  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 xml:space="preserve">  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 xml:space="preserve">  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 xml:space="preserve">  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 xml:space="preserve">  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 xml:space="preserve">  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 xml:space="preserve">  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 xml:space="preserve">  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 xml:space="preserve">  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 xml:space="preserve">  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 xml:space="preserve">  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 xml:space="preserve">  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 xml:space="preserve">  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 xml:space="preserve">  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 xml:space="preserve">  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 xml:space="preserve">  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 xml:space="preserve">  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 xml:space="preserve">  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 xml:space="preserve">  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 xml:space="preserve">  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 xml:space="preserve">  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 xml:space="preserve">  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 xml:space="preserve">  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 xml:space="preserve">  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 xml:space="preserve">  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 xml:space="preserve">  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 xml:space="preserve">  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 xml:space="preserve">  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 xml:space="preserve">  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 xml:space="preserve">  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 xml:space="preserve">  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 xml:space="preserve">  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 xml:space="preserve">  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 xml:space="preserve">  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 xml:space="preserve">  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 xml:space="preserve">  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 xml:space="preserve">  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 xml:space="preserve">  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 xml:space="preserve">  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 xml:space="preserve">  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 xml:space="preserve">  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 xml:space="preserve">  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 xml:space="preserve">  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 xml:space="preserve">  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 xml:space="preserve">  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 xml:space="preserve">  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 xml:space="preserve">  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 xml:space="preserve">  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 xml:space="preserve">  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 xml:space="preserve">  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 xml:space="preserve">  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 xml:space="preserve">  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 xml:space="preserve">  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 xml:space="preserve">  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 xml:space="preserve">  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 xml:space="preserve">  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 xml:space="preserve">  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 xml:space="preserve">  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 xml:space="preserve">  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 xml:space="preserve">  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 xml:space="preserve">  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 xml:space="preserve">  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 xml:space="preserve">  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 xml:space="preserve">  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 xml:space="preserve">  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 xml:space="preserve">  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 xml:space="preserve">  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 xml:space="preserve">  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 xml:space="preserve">  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 xml:space="preserve">  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 xml:space="preserve">  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 xml:space="preserve">  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 xml:space="preserve">  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 xml:space="preserve">  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 xml:space="preserve">  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 xml:space="preserve">  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 xml:space="preserve">  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 xml:space="preserve">  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 xml:space="preserve">  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 xml:space="preserve">  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 xml:space="preserve">  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 xml:space="preserve">  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 xml:space="preserve">  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 xml:space="preserve">  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 xml:space="preserve">  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 xml:space="preserve">  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 xml:space="preserve">  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 xml:space="preserve">  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 xml:space="preserve">  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 xml:space="preserve">  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 xml:space="preserve">  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 xml:space="preserve">  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 xml:space="preserve">  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 xml:space="preserve">  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 xml:space="preserve">  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 xml:space="preserve">  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 xml:space="preserve">  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 xml:space="preserve">  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 xml:space="preserve">  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 xml:space="preserve">  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 xml:space="preserve">  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 xml:space="preserve">  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 xml:space="preserve">  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 xml:space="preserve">  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 xml:space="preserve">  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 xml:space="preserve">  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 xml:space="preserve">  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 xml:space="preserve">  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 xml:space="preserve">  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 xml:space="preserve">  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 xml:space="preserve">  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 xml:space="preserve">  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 xml:space="preserve">  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 xml:space="preserve">  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 xml:space="preserve">  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 xml:space="preserve">  memo: pitch deck pulls cols G (base) &amp; H (bull) from this block via pitch_values.py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51" t="inlineStr">
        <is>
          <t>Equation (every formula row)</t>
        </is>
      </c>
      <c r="J3" s="51" t="inlineStr">
        <is>
          <t>Justification (~20 words)</t>
        </is>
      </c>
      <c r="K3" s="51" t="inlineStr">
        <is>
          <t>Source (click)</t>
        </is>
      </c>
      <c r="L3" s="51" t="inlineStr">
        <is>
          <t>Ctrl+F (prove number)</t>
        </is>
      </c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56" t="inlineStr">
        <is>
          <t>Justification  [cols I–L: click + to expand]</t>
        </is>
      </c>
      <c r="K5" s="56" t="inlineStr">
        <is>
          <t>Source</t>
        </is>
      </c>
      <c r="L5" s="56" t="inlineStr">
        <is>
          <t>Ctrl+F</t>
        </is>
      </c>
    </row>
    <row r="6" ht="28" customHeight="1">
      <c r="A6" s="41" t="inlineStr">
        <is>
          <t xml:space="preserve">  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 xml:space="preserve">  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41" t="inlineStr">
        <is>
          <t xml:space="preserve">  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fleet; immaterial closures vs expansion; 2–3 per mature region.</t>
        </is>
      </c>
    </row>
    <row r="9" ht="28" customHeight="1">
      <c r="A9" s="61" t="inlineStr">
        <is>
          <t xml:space="preserve">  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 xml:space="preserve">  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 xml:space="preserve">  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41" t="inlineStr">
        <is>
          <t xml:space="preserve">  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fleet; immaterial closures vs expansion; 2–3 per mature region.</t>
        </is>
      </c>
    </row>
    <row r="13" ht="28" customHeight="1">
      <c r="A13" s="61" t="inlineStr">
        <is>
          <t xml:space="preserve">  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 xml:space="preserve">  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 xml:space="preserve">  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41" t="inlineStr">
        <is>
          <t xml:space="preserve">  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fleet; immaterial closures vs expansion; 2–3 per mature region.</t>
        </is>
      </c>
    </row>
    <row r="17" ht="28" customHeight="1">
      <c r="A17" s="61" t="inlineStr">
        <is>
          <t xml:space="preserve">  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56" t="inlineStr">
        <is>
          <t>Justification  [cols I–L: click + to expand]</t>
        </is>
      </c>
      <c r="K23" s="56" t="inlineStr">
        <is>
          <t>Source</t>
        </is>
      </c>
      <c r="L23" s="56" t="inlineStr">
        <is>
          <t>Ctrl+F</t>
        </is>
      </c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41" t="inlineStr">
        <is>
          <t xml:space="preserve">  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41" t="inlineStr">
        <is>
          <t xml:space="preserve">  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41" t="inlineStr">
        <is>
          <t xml:space="preserve">  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7" t="inlineStr">
        <is>
          <t>Last year's total store-channel revenue;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7" t="inlineStr">
        <is>
          <t>Existing-store sales only;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 xml:space="preserve">  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7" t="inlineStr">
        <is>
          <t>Fleet traffic memo line;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41" t="inlineStr">
        <is>
          <t xml:space="preserve">  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7" t="inlineStr">
        <is>
          <t>In-store conversion memo;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41" t="inlineStr">
        <is>
          <t xml:space="preserve">  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56" t="inlineStr">
        <is>
          <t>Justification  [cols I–L: click + to expand]</t>
        </is>
      </c>
      <c r="K37" s="56" t="inlineStr">
        <is>
          <t>Source</t>
        </is>
      </c>
      <c r="L37" s="56" t="inlineStr">
        <is>
          <t>Ctrl+F</t>
        </is>
      </c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56" t="inlineStr">
        <is>
          <t>Justification  [cols I–L: click + to expand]</t>
        </is>
      </c>
      <c r="K44" s="56" t="inlineStr">
        <is>
          <t>Source</t>
        </is>
      </c>
      <c r="L44" s="56" t="inlineStr">
        <is>
          <t>Ctrl+F</t>
        </is>
      </c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41" t="inlineStr">
        <is>
          <t xml:space="preserve">  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41" t="inlineStr">
        <is>
          <t xml:space="preserve">  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growth;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41" t="inlineStr">
        <is>
          <t xml:space="preserve">  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56" t="inlineStr">
        <is>
          <t>Justification  [cols I–L: click + to expand]</t>
        </is>
      </c>
      <c r="K54" s="56" t="inlineStr">
        <is>
          <t>Source</t>
        </is>
      </c>
      <c r="L54" s="56" t="inlineStr">
        <is>
          <t>Ctrl+F</t>
        </is>
      </c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7" t="inlineStr">
        <is>
          <t>Pulls the Scenarios base-case revenue path;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5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inlineStr">
        <is>
          <t>Justification  [cols B–D: click + to expand]</t>
        </is>
      </c>
      <c r="C2" s="51" t="inlineStr">
        <is>
          <t>Source (click)</t>
        </is>
      </c>
      <c r="D2" s="51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inlineStr">
        <is>
          <t>Phases 1–4 clean and forecast operating profit; Phase 5 is the agent workflow summary below.</t>
        </is>
      </c>
    </row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Not % of revenue; SBC add-back flag. Set to 0 (Convention A).
SBC stays inside Scenarios EBIT/NOPAT as a real economic cost; DCF uses basic shares (111.4M).
FY25 reference: $62,203k (10-K). Flag = 1 would add back (Convention B + diluted shares); not used.</t>
        </is>
      </c>
      <c r="C7" s="18" t="inlineStr">
        <is>
          <t>LULU CF statement (10-K): stock-based compensation</t>
        </is>
      </c>
      <c r="D7" s="19" t="inlineStr">
        <is>
          <t>Ctrl+F "Stock-based compensation expense"
→ 62,203 ($000) FY25 reference. Flag = 0: SBC stays in EBIT (Convention A); DCF IV uses basic 111,380k shares.</t>
        </is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Not % of consolidated revenue; EBIT as % of store-channel revenue only (not the Scenarios 13.2%–15.5% consolidated margin).
18.6% margin assumption.
EBIT_store = Rev_store × Margin_store
FY25 check: 5,049,744 × 18.6% ≈ 939,252 ($000).
Calibrated so Σ channel EBIT ≈ consolidated EBIT 2,210,615 (10-K).</t>
        </is>
      </c>
      <c r="C9" s="18" t="inlineStr">
        <is>
          <t>FY2025 10-K: company-operated stores net revenue</t>
        </is>
      </c>
      <c r="D9" s="19" t="inlineStr">
        <is>
          <t>Not consolidated EBIT margin; EBIT ÷ store revenue only (cf. Scenarios 13.2%–15.5%).
Ctrl+F "Company-operated stores"
→ 5,049,744 ($000) net revenue
× 18.6% margin assumption → store EBIT ≈ 939,252 ($000)</t>
        </is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Not % of consolidated revenue; EBIT as % of e-commerce revenue only (not the Scenarios 13.2%–15.5% consolidated margin).
23.6% margin assumption.
EBIT_e-comm = Rev_e-comm × Margin_e-comm
FY25 check: 4,918,697 × 23.6% ≈ 1,160,812 ($000).
Higher than stores; no occupancy; fulfillment + digital marketing only.</t>
        </is>
      </c>
      <c r="C10" s="18" t="inlineStr">
        <is>
          <t>FY2025 10-K: e-commerce net revenue</t>
        </is>
      </c>
      <c r="D10" s="19" t="inlineStr">
        <is>
          <t>Not consolidated EBIT margin; EBIT ÷ e-commerce revenue only (cf. Scenarios 13.2%–15.5%).
Ctrl+F "E-commerce"
→ 4,918,697 ($000) net revenue
× 23.6% margin assumption → e-comm EBIT ≈ 1,160,812 ($000)</t>
        </is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Not % of consolidated revenue; EBIT as % of other-channel revenue only (not the Scenarios 13.2%–15.5% consolidated margin).
9.1% margin assumption.
EBIT_other = Rev_other × Margin_other
FY25 check: 1,134,159 × 9.1% ≈ 103,209 ($000).
Wholesale/license/outlets; lower-margin residual channel.</t>
        </is>
      </c>
      <c r="C11" s="18" t="inlineStr">
        <is>
          <t>FY2025 10-K: other channels (residual)</t>
        </is>
      </c>
      <c r="D11" s="19" t="inlineStr">
        <is>
          <t>Not consolidated EBIT margin; EBIT ÷ other-channel revenue only (cf. Scenarios 13.2%–15.5%).
Ctrl+F "Net revenue" → 11,102,600
Minus stores + e-comm → other channels ≈ 1,134,159 ($000)
× 9.1% margin assumption → other EBIT ≈ 103,209 ($000)</t>
        </is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30% statutory marginal rate. t_operating transitions here over the 5-year forecast.</t>
        </is>
      </c>
      <c r="C12" s="18" t="inlineStr">
        <is>
          <t>Q2 FY2026 outlook: tax rate ≈ 30%</t>
        </is>
      </c>
      <c r="D12" s="19" t="inlineStr">
        <is>
          <t>Ctrl+F "a tax rate of approximately 30%" → terminal marginal rate for t_operating glide path.</t>
        </is>
      </c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Not % of revenue; amortization period (years) if R&amp;D/software is capitalized. LULU: no separate R&amp;D cap.</t>
        </is>
      </c>
      <c r="C13" s="24" t="inlineStr">
        <is>
          <t>NOPAT Bridge: capitalization convention</t>
        </is>
      </c>
      <c r="D13" s="19" t="inlineStr">
        <is>
          <t>Amortization period if R&amp;D capitalized (3–5 yr convention). LULU: no separate R&amp;D capitalization.</t>
        </is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FY25: reported operating income from 10-K. Forecast: Scenarios base-case EBIT (margin path).</t>
        </is>
      </c>
      <c r="C16" s="18" t="inlineStr">
        <is>
          <t>LULU FY2025 10-K: Income from operations</t>
        </is>
      </c>
      <c r="D16" s="19" t="inlineStr">
        <is>
          <t>Ctrl+F "Income from operations" → 2,210,615 ($000). Forecast links to Scenarios EBIT.</t>
        </is>
      </c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Add back intangible amortization / impairments. FY25 = other operating expense amortization run-rate.</t>
        </is>
      </c>
      <c r="C17" s="18" t="inlineStr">
        <is>
          <t>LULU FY2025 10-K: amortization of intangible assets</t>
        </is>
      </c>
      <c r="D17" s="19" t="inlineStr">
        <is>
          <t>Ctrl+F "Amortization of intangible assets" → other operating expense run-rate (add-back).</t>
        </is>
      </c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Add back restructuring (severance, store closures). LULU FY25: none identified.</t>
        </is>
      </c>
      <c r="C18" s="18" t="inlineStr">
        <is>
          <t>LULU FY2025 10-K: restructuring charges</t>
        </is>
      </c>
      <c r="D18" s="19" t="inlineStr">
        <is>
          <t>Ctrl+F "restructuring" → none material in FY25 10-K.</t>
        </is>
      </c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Strip one-off legal / M&amp;A advisory fees. LULU FY25: none identified.</t>
        </is>
      </c>
      <c r="C19" s="18" t="inlineStr">
        <is>
          <t>LULU FY2025 10-K: SG&amp;A one-offs</t>
        </is>
      </c>
      <c r="D19" s="19" t="inlineStr">
        <is>
          <t>One-off legal/M&amp;A fees in SG&amp;A; none identified FY25.</t>
        </is>
      </c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Not % of revenue; SBC add-back flag. Set to 0 (Convention A).
SBC stays inside Scenarios EBIT/NOPAT as a real economic cost; DCF uses basic shares (111.4M).
FY25 reference: $62,203k (10-K). Flag = 1 would add back (Convention B + diluted shares); not used.</t>
        </is>
      </c>
      <c r="C20" s="18" t="inlineStr">
        <is>
          <t>LULU CF statement (10-K): stock-based compensation</t>
        </is>
      </c>
      <c r="D20" s="19" t="inlineStr">
        <is>
          <t>Ctrl+F "Stock-based compensation expense"
→ 62,203 ($000) FY25 reference. Flag = 0: SBC stays in EBIT (Convention A); DCF IV uses basic 111,380k shares.</t>
        </is>
      </c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>
        <f> Adjusted EBIT (Phase 1)</f>
        <v/>
      </c>
      <c r="B21" s="17" t="inlineStr">
        <is>
          <t>Phase 1 adjusted EBIT = reported + non-recurring add-backs. SBC add-back = 0 when flag = 0.</t>
        </is>
      </c>
      <c r="C21" s="24" t="inlineStr">
        <is>
          <t>NOPAT Bridge tab: Phase 1 subtotal</t>
        </is>
      </c>
      <c r="D21" s="19" t="inlineStr">
        <is>
          <t>Sum of reported EBIT + Phase 1 add-backs on this tab.</t>
        </is>
      </c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Not % of revenue; implied lease interest ($1,028k FY25). Reclass from rent to unlevered EBIT; scales with revenue in forecast.</t>
        </is>
      </c>
      <c r="C23" s="18" t="inlineStr">
        <is>
          <t>LULU FY2025 10-K: interest on lease liabilities (supplemental)</t>
        </is>
      </c>
      <c r="D23" s="19" t="inlineStr">
        <is>
          <t>Ctrl+F "Interest paid on lease liabilities"
→ 1,028 ($000) supplemental cash-flow disclosure. Reclass to unlevered EBIT.</t>
        </is>
      </c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Capitalize multi-year software/R&amp;D. LULU: immaterial separate R&amp;D line; held at $0.</t>
        </is>
      </c>
      <c r="C24" s="18" t="inlineStr">
        <is>
          <t>LULU FY2025 10-K: R&amp;D / software expense</t>
        </is>
      </c>
      <c r="D24" s="19" t="inlineStr">
        <is>
          <t>R&amp;D / software capitalization; LULU immaterial; held at $0.</t>
        </is>
      </c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Amortization of prior capitalized intangibles. LULU: flows through existing D&amp;A.</t>
        </is>
      </c>
      <c r="C25" s="18" t="inlineStr">
        <is>
          <t>LULU FY2025 10-K: intangible amortization</t>
        </is>
      </c>
      <c r="D25" s="19" t="inlineStr">
        <is>
          <t>Amortization of prior capitalized intangibles; netted in D&amp;A line.</t>
        </is>
      </c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2 EBIT = Phase 1 + lease interest reclass + R&amp;D cap − amortization.</t>
        </is>
      </c>
      <c r="C26" s="24" t="inlineStr">
        <is>
          <t>NOPAT Bridge tab: Phase 2 subtotal</t>
        </is>
      </c>
      <c r="D26" s="19" t="inlineStr">
        <is>
          <t>Phase 1 + lease interest + R&amp;D cap − amortization.</t>
        </is>
      </c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 xml:space="preserve">  Store-channel revenue</t>
        </is>
      </c>
      <c r="B28" s="17" t="inlineStr">
        <is>
          <t>Not % of revenue; store-channel revenue from Revenue Drivers tab.</t>
        </is>
      </c>
      <c r="C28" s="18" t="inlineStr">
        <is>
          <t>Revenue Drivers tab: store-channel revenue</t>
        </is>
      </c>
      <c r="D28" s="19" t="inlineStr">
        <is>
          <t>Revenue Drivers tab → store-channel revenue row.</t>
        </is>
      </c>
      <c r="E28" s="74" t="n">
        <v>5049744</v>
      </c>
      <c r="F28" s="75">
        <f>'Revenue Drivers'!F31</f>
        <v/>
      </c>
      <c r="G28" s="75">
        <f>'Revenue Drivers'!G31</f>
        <v/>
      </c>
      <c r="H28" s="75">
        <f>'Revenue Drivers'!H31</f>
        <v/>
      </c>
      <c r="I28" s="75">
        <f>'Revenue Drivers'!I31</f>
        <v/>
      </c>
      <c r="J28" s="75">
        <f>'Revenue Drivers'!J31</f>
        <v/>
      </c>
    </row>
    <row r="29" hidden="1" outlineLevel="1" ht="28" customHeight="1">
      <c r="A29" s="16" t="inlineStr">
        <is>
          <t xml:space="preserve">  E-commerce revenue</t>
        </is>
      </c>
      <c r="B29" s="17" t="inlineStr">
        <is>
          <t>Not % of revenue; e-commerce revenue from Revenue Drivers tab.</t>
        </is>
      </c>
      <c r="C29" s="18" t="inlineStr">
        <is>
          <t>Revenue Drivers tab: e-commerce revenue</t>
        </is>
      </c>
      <c r="D29" s="19" t="inlineStr">
        <is>
          <t>Revenue Drivers tab → e-commerce revenue row.</t>
        </is>
      </c>
      <c r="E29" s="74" t="n">
        <v>4918697</v>
      </c>
      <c r="F29" s="75">
        <f>'Revenue Drivers'!F41</f>
        <v/>
      </c>
      <c r="G29" s="75">
        <f>'Revenue Drivers'!G41</f>
        <v/>
      </c>
      <c r="H29" s="75">
        <f>'Revenue Drivers'!H41</f>
        <v/>
      </c>
      <c r="I29" s="75">
        <f>'Revenue Drivers'!I41</f>
        <v/>
      </c>
      <c r="J29" s="75">
        <f>'Revenue Drivers'!J41</f>
        <v/>
      </c>
    </row>
    <row r="30" hidden="1" outlineLevel="1" ht="28" customHeight="1">
      <c r="A30" s="16" t="inlineStr">
        <is>
          <t xml:space="preserve">  Other channels revenue</t>
        </is>
      </c>
      <c r="B30" s="17" t="inlineStr">
        <is>
          <t>Not % of revenue; wholesale/license/outlet revenue from Revenue Drivers tab.</t>
        </is>
      </c>
      <c r="C30" s="18" t="inlineStr">
        <is>
          <t>Revenue Drivers tab: other channels revenue</t>
        </is>
      </c>
      <c r="D30" s="19" t="inlineStr">
        <is>
          <t>Revenue Drivers tab → other channels revenue row.</t>
        </is>
      </c>
      <c r="E30" s="74" t="n">
        <v>1134159</v>
      </c>
      <c r="F30" s="75">
        <f>'Revenue Drivers'!F45</f>
        <v/>
      </c>
      <c r="G30" s="75">
        <f>'Revenue Drivers'!G45</f>
        <v/>
      </c>
      <c r="H30" s="75">
        <f>'Revenue Drivers'!H45</f>
        <v/>
      </c>
      <c r="I30" s="75">
        <f>'Revenue Drivers'!I45</f>
        <v/>
      </c>
      <c r="J30" s="75">
        <f>'Revenue Drivers'!J45</f>
        <v/>
      </c>
    </row>
    <row r="31" hidden="1" outlineLevel="1" ht="70" customHeight="1">
      <c r="A31" s="16" t="inlineStr">
        <is>
          <t xml:space="preserve">  Store-channel EBIT (= Rev × store margin)</t>
        </is>
      </c>
      <c r="B31" s="17" t="inlineStr">
        <is>
          <t>Not % of consolidated revenue; store EBIT ÷ store revenue only (not Scenarios consolidated EBIT margin).
EBIT_store,t = Rev_store,t × 18.6%
FY25: 5,049,744 × 18.6% ≈ 939,252 ($000).
Margin from driver assumptions row above; ties to 10-K store revenue.</t>
        </is>
      </c>
      <c r="C31" s="18" t="inlineStr">
        <is>
          <t>FY2025 10-K: company-operated stores net revenue</t>
        </is>
      </c>
      <c r="D31" s="19" t="inlineStr">
        <is>
          <t>Not consolidated EBIT margin; store EBIT ÷ store revenue only.
Ctrl+F "Company-operated stores"
→ 5,049,744 ($000)
EBIT = Rev × 18.6% → ≈ 939,252 ($000)</t>
        </is>
      </c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 xml:space="preserve">  E-commerce EBIT (= Rev × e-comm margin)</t>
        </is>
      </c>
      <c r="B32" s="17" t="inlineStr">
        <is>
          <t>Not % of consolidated revenue; e-commerce EBIT ÷ e-commerce revenue only (not Scenarios consolidated EBIT margin).
EBIT_e-comm,t = Rev_e-comm,t × 23.6%
FY25: 4,918,697 × 23.6% ≈ 1,160,812 ($000).
Higher than stores; no brick-and-mortar occupancy drag.</t>
        </is>
      </c>
      <c r="C32" s="18" t="inlineStr">
        <is>
          <t>FY2025 10-K: e-commerce net revenue</t>
        </is>
      </c>
      <c r="D32" s="19" t="inlineStr">
        <is>
          <t>Not consolidated EBIT margin; e-commerce EBIT ÷ e-commerce revenue only.
Ctrl+F "E-commerce"
→ 4,918,697 ($000)
EBIT = Rev × 23.6% → ≈ 1,160,812 ($000)</t>
        </is>
      </c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 xml:space="preserve">  Other-channels EBIT (= Rev × other margin)</t>
        </is>
      </c>
      <c r="B33" s="17" t="inlineStr">
        <is>
          <t>Not % of consolidated revenue; other-channel EBIT ÷ other revenue only (not Scenarios consolidated EBIT margin).
EBIT_other,t = Rev_other,t × 9.1%
FY25: 1,134,159 × 9.1% ≈ 103,209 ($000).
Wholesale/license/outlets; lowest channel margin.</t>
        </is>
      </c>
      <c r="C33" s="18" t="inlineStr">
        <is>
          <t>FY2025 10-K: other channels (residual)</t>
        </is>
      </c>
      <c r="D33" s="19" t="inlineStr">
        <is>
          <t>Not consolidated EBIT margin; other-channel EBIT ÷ other revenue only.
Other rev = 11,102,600 − 5,049,744 − 4,918,697 ≈ 1,134,159 ($000)
EBIT = Rev × 9.1% → ≈ 103,209 ($000)</t>
        </is>
      </c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 xml:space="preserve">  Channel EBIT (sum of sector EBIT)</t>
        </is>
      </c>
      <c r="B34" s="17" t="inlineStr">
        <is>
          <t>Phase 3 channel EBIT = Σ sector EBIT_i. FY26 adds Scenarios tariff refund.</t>
        </is>
      </c>
      <c r="C34" s="24" t="inlineStr">
        <is>
          <t>NOPAT Bridge tab: sector EBIT subtotal</t>
        </is>
      </c>
      <c r="D34" s="19" t="inlineStr">
        <is>
          <t>Sum of sector EBIT rows. FY26 adds Scenarios tariff refund cell.</t>
        </is>
      </c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3). Check row vs Scenarios shows channel vs margin-path gap.</t>
        </is>
      </c>
      <c r="C35" s="24" t="inlineStr">
        <is>
          <t>NOPAT Bridge tab: Phase 3 subtotal</t>
        </is>
      </c>
      <c r="D35" s="19" t="inlineStr">
        <is>
          <t>Channel EBIT subtotal (Phase 3). Compare Check row vs Scenarios.</t>
        </is>
      </c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FY25: Phases 1–2 walk-through (SBC not added back; flag = 0). Forecast: Scenarios base EBIT; tax base for NOPAT.</t>
        </is>
      </c>
      <c r="C36" s="24" t="inlineStr">
        <is>
          <t>Scenarios tab: base-case EBIT (forecast)</t>
        </is>
      </c>
      <c r="D36" s="19" t="inlineStr">
        <is>
          <t>FY25: Phase 1–2 formula. Forecast: Scenarios base EBIT (tax base).</t>
        </is>
      </c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 xml:space="preserve">  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effective tax rate: (tax + interest shield) ÷ (EBT + interest). Transitions from FY25 t_operating toward 30% marginal over 5 years.</t>
        </is>
      </c>
      <c r="C39" s="18" t="inlineStr">
        <is>
          <t>LULU FY2025 10-K: income tax &amp; interest expense</t>
        </is>
      </c>
      <c r="D39" s="19" t="inlineStr">
        <is>
          <t>t_operating = (tax + interest×30%) ÷ (EBT + interest).
Ctrl+F "Income tax expense" → 659,784
Ctrl+F "Income before income tax expense" → 2,238,967
Ctrl+F "Interest paid on lease liabilities" → 1,028</t>
        </is>
      </c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Unlevered tax = normalized EBIT × t_operating. Strips debt-interest tax shield from GAAP rate.</t>
        </is>
      </c>
      <c r="C40" s="24" t="inlineStr">
        <is>
          <t>NOPAT Bridge tab: unlevered tax expense</t>
        </is>
      </c>
      <c r="D40" s="19" t="inlineStr">
        <is>
          <t>Normalized EBIT × t_operating; unlevered tax (no debt shield).</t>
        </is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hidden="1" outlineLevel="1" ht="28" customHeight="1">
      <c r="A41" s="23" t="inlineStr">
        <is>
          <t>NORMALIZED NOPAT</t>
        </is>
      </c>
      <c r="B41" s="17" t="inlineStr">
        <is>
          <t>NORMALIZED NOPAT = EBIT_norm × (1 − t_operating). Scenarios base case links here.</t>
        </is>
      </c>
      <c r="C41" s="24" t="inlineStr">
        <is>
          <t>NOPAT Bridge tab: normalized NOPAT</t>
        </is>
      </c>
      <c r="D41" s="19" t="inlineStr">
        <is>
          <t>EBIT_norm − unlevered tax. Scenarios base-case NOPAT links to this row.</t>
        </is>
      </c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3">
      <c r="A43" s="73" t="inlineStr">
        <is>
          <t>Phase 5 — Agent workflow (execution steps)</t>
        </is>
      </c>
    </row>
    <row r="44">
      <c r="B44" s="78" t="inlineStr">
        <is>
          <t>Source</t>
        </is>
      </c>
      <c r="C44" s="78" t="inlineStr">
        <is>
          <t>Without applied (FY26 DCF)</t>
        </is>
      </c>
      <c r="D44" s="78" t="inlineStr">
        <is>
          <t>With applied (FY26 DCF)</t>
        </is>
      </c>
      <c r="F44" s="78" t="inlineStr">
        <is>
          <t>Output</t>
        </is>
      </c>
    </row>
    <row r="45">
      <c r="A45" s="61" t="inlineStr">
        <is>
          <t>1. Clean base</t>
        </is>
      </c>
      <c r="B45" s="79" t="inlineStr">
        <is>
          <t>SEC 10-K income statement</t>
        </is>
      </c>
      <c r="C45" s="79" t="inlineStr">
        <is>
          <t>EBIT = 13.2% × rev + tariff; SBC stays expensed (flag = 0).</t>
        </is>
      </c>
      <c r="D45" s="79" t="inlineStr">
        <is>
          <t>DCF unchanged.</t>
        </is>
      </c>
      <c r="F45" s="80" t="inlineStr">
        <is>
          <t>EBIT_adj (Phase 1)</t>
        </is>
      </c>
    </row>
    <row r="46">
      <c r="A46" s="61" t="inlineStr">
        <is>
          <t>2. Capitalize R&amp;D</t>
        </is>
      </c>
      <c r="B46" s="79" t="inlineStr">
        <is>
          <t>SG&amp;A footnotes</t>
        </is>
      </c>
      <c r="C46" s="79" t="inlineStr">
        <is>
          <t>R&amp;D/software expensed in full each year ($0 for LULU).</t>
        </is>
      </c>
      <c r="D46" s="79" t="inlineStr">
        <is>
          <t>DCF unchanged.</t>
        </is>
      </c>
      <c r="F46" s="80" t="inlineStr">
        <is>
          <t>EBIT_capitalized (Phase 2)</t>
        </is>
      </c>
    </row>
    <row r="47">
      <c r="A47" s="61" t="inlineStr">
        <is>
          <t>3. Lease shift</t>
        </is>
      </c>
      <c r="B47" s="79" t="inlineStr">
        <is>
          <t>ASC 842 lease footnote</t>
        </is>
      </c>
      <c r="C47" s="79" t="inlineStr">
        <is>
          <t>Rent in opex; no implied lease-interest add-back.</t>
        </is>
      </c>
      <c r="D47" s="79" t="inlineStr">
        <is>
          <t>DCF unchanged.</t>
        </is>
      </c>
      <c r="F47" s="80" t="inlineStr">
        <is>
          <t>EBIT_lease-adj (Phase 2)</t>
        </is>
      </c>
    </row>
    <row r="48">
      <c r="A48" s="61" t="inlineStr">
        <is>
          <t>4. Segment mix</t>
        </is>
      </c>
      <c r="B48" s="79" t="inlineStr">
        <is>
          <t>Revenue Drivers tab</t>
        </is>
      </c>
      <c r="C48" s="79" t="inlineStr">
        <is>
          <t>DCF uses consolidated 13.2% on total revenue (+ tariff).</t>
        </is>
      </c>
      <c r="D48" s="79" t="inlineStr">
        <is>
          <t>DCF unchanged.</t>
        </is>
      </c>
      <c r="F48" s="80" t="inlineStr">
        <is>
          <t>Forecast EBIT (Phase 3)</t>
        </is>
      </c>
    </row>
    <row r="49">
      <c r="A49" s="61" t="inlineStr">
        <is>
          <t>5. NOPAT bridge</t>
        </is>
      </c>
      <c r="B49" s="79" t="inlineStr">
        <is>
          <t>Normalized EBIT &amp; t_operating</t>
        </is>
      </c>
      <c r="C49" s="79" t="inlineStr">
        <is>
          <t>NOPAT = EBIT × (1 − 30%) flat sc_tax.</t>
        </is>
      </c>
      <c r="D49" s="79" t="inlineStr">
        <is>
          <t>NOPAT = EBIT × (1 − t_operating) — same EBIT, slightly higher NOPAT.</t>
        </is>
      </c>
      <c r="F49" s="80" t="inlineStr">
        <is>
          <t>Normalized NOPAT</t>
        </is>
      </c>
    </row>
    <row r="50">
      <c r="A50" s="61" t="inlineStr">
        <is>
          <t>6. Tariff refund (Scenarios)</t>
        </is>
      </c>
      <c r="B50" s="79" t="inlineStr">
        <is>
          <t>Q2 FY2026 earnings release</t>
        </is>
      </c>
      <c r="C50" s="79" t="inlineStr">
        <is>
          <t>EBIT = Rev × 13.2% only (no refund).</t>
        </is>
      </c>
      <c r="D50" s="79" t="inlineStr">
        <is>
          <t>+ $134,500k in FY26 — DCF uses this.</t>
        </is>
      </c>
      <c r="F50" s="80" t="inlineStr">
        <is>
          <t>Scenarios EBIT (FY26)</t>
        </is>
      </c>
    </row>
    <row r="51">
      <c r="A51" s="26" t="inlineStr">
        <is>
          <t>Steps 1–4: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10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inlineStr">
        <is>
          <t>Justification (~20 words)  [cols B–D: click + to expand]</t>
        </is>
      </c>
      <c r="C2" s="78" t="inlineStr">
        <is>
          <t>Source (click)</t>
        </is>
      </c>
      <c r="D2" s="78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inlineStr">
        <is>
          <t>Alt. Ctrl+F</t>
        </is>
      </c>
    </row>
    <row r="3" ht="28" customHeight="1">
      <c r="A3" s="82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85" t="inlineStr">
        <is>
          <t>NOPAT Bridge tab
Ctrl+F: 5-phase EBIT normalization → normalized NOPAT (base case).</t>
        </is>
      </c>
      <c r="D4" s="85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inlineStr">
        <is>
          <t>56.6% of revenue (gross margin). Isolates COGS for inventory/AP drivers; base case held near FY25 reported GM.</t>
        </is>
      </c>
      <c r="C7" s="18" t="inlineStr">
        <is>
          <t>LULU FY2025 10-K: Gross profit &amp; COGS</t>
        </is>
      </c>
      <c r="D7" s="19" t="inlineStr">
        <is>
          <t>56.6% of revenue (gross margin).
Ctrl+F "Gross profit"
→ 6,284,132 ($000)
Ctrl+F "Net revenue"
→ 11,102,600 ($000)
Ctrl+F "Cost of goods sold"
→ 4,818,468 ($000)</t>
        </is>
      </c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38" t="inlineStr">
        <is>
          <t>Q2 FY2026 release: 18.8% OM minus 560bps tariffs
Also: FY2025 10-K: Operating margin 19.9% (one hit)</t>
        </is>
      </c>
      <c r="D9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only;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inlineStr">
        <is>
          <t>Ctrl+F "134.5 million" → IEEPA tariff refunds reduced COGS. Add this dollar amount to FY26 EBIT only. Full-year boost = 134.5 / FY26 sales ≈ 1.3ppt, not 5.6ppt.</t>
        </is>
      </c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 xml:space="preserve">  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inlineStr">
        <is>
          <t>Ctrl+F "Depreciation and amortization" → 496,228 on this 10-K HTML (not the SEC viewer). ÷ "Net revenue" 11,102,600 = 4.5%.</t>
        </is>
      </c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 xml:space="preserve">  Capex % of revenue</t>
        </is>
      </c>
      <c r="B17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7" s="38" t="inlineStr">
        <is>
          <t>LULU 10-K: 2026 capex guide $725–745M
Also: Q2 FY2026 outlook: $10.350B–$10.500B sales</t>
        </is>
      </c>
      <c r="D17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>
      <c r="A19" s="52" t="inlineStr">
        <is>
          <t>Working capital schedule (driver-based)  [click − to collapse detail]</t>
        </is>
      </c>
    </row>
    <row r="20" hidden="1" outlineLevel="1" ht="150" customHeight="1">
      <c r="A20" s="16" t="inlineStr">
        <is>
          <t xml:space="preserve">  DSO (days) — flat vs FY25</t>
        </is>
      </c>
      <c r="B20" s="17" t="inlineStr">
        <is>
          <t>Not % of revenue; DSO (days), flat ~6.3. Mostly own stores/DTC (cash at register); AR is small wholesale residual; predictable ~6 days FY22–25.</t>
        </is>
      </c>
      <c r="C20" s="18" t="inlineStr">
        <is>
          <t>LULU FY2025 10-K: Accounts receivable, net</t>
        </is>
      </c>
      <c r="D20" s="19" t="inlineStr">
        <is>
          <t>Not % of revenue; DSO (days), flat ~6.3.
Why flat: ~90%+ revenue is company-operated stores + e-commerce (cash/card at sale);
AR is a small, stable wholesale/license residual;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hidden="1" outlineLevel="1" ht="98" customHeight="1">
      <c r="A21" s="16" t="inlineStr">
        <is>
          <t xml:space="preserve">  Accounts receivable, net</t>
        </is>
      </c>
      <c r="B21" s="17" t="inlineStr">
        <is>
          <t>Implied ~1.7% of revenue (not a direct % plug). AR = (DSO÷365)×revenue; flat DSO because sales are mostly own-store/DTC, not credit wholesale.</t>
        </is>
      </c>
      <c r="C21" s="18" t="inlineStr">
        <is>
          <t>LULU FY2025 10-K: Accounts receivable, net</t>
        </is>
      </c>
      <c r="D21" s="19" t="inlineStr">
        <is>
          <t>Implied ~1.7% of revenue (= 190,657 ÷ 11,102,600); not a direct % plug.
AR_t = (DSO ÷ 365) × Revenue_t. DSO flat because own-store/DTC dominates; AR scales predictably with sales.
Ctrl+F "Accounts receivable, net"
→ 190,657 ($000)
Ctrl+F "Net revenue"
→ 11,102,600 ($000)</t>
        </is>
      </c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hidden="1" outlineLevel="1" ht="150" customHeight="1">
      <c r="A22" s="16" t="inlineStr">
        <is>
          <t xml:space="preserve">  DIO (days) — FY25 anchor, −1 day/yr</t>
        </is>
      </c>
      <c r="B22" s="19" t="inlineStr">
        <is>
          <t>Not % of revenue; DIO (days).
FY25 anchor: DIO = (Inventories ÷ COGS) × 365
  = (1,700,753 ÷ 4,818,468) × 365 ≈ 129 days (FY24 inv: 1,442,081).
Forecast path: DIO_t = FY25 DIO − (1 day × year t); flat across scenarios.
Also: Not % of revenue; subtract 1 DIO day per forecast year (−5 days FY26–30).
Feeds Inventories = (DIO_t ÷ 365) × COGS_t.
Ctrl+F "reduce the percentage of markdowns"
Ctrl+F "On a unit basis, we expect inventories to slightly decrease"</t>
        </is>
      </c>
      <c r="C22" s="38" t="inlineStr">
        <is>
          <t>LULU FY2025 10-K: Inventories &amp; COGS
Also: LULU FY2025 10-K: inventory &amp; markdown outlook</t>
        </is>
      </c>
      <c r="D22" s="19" t="inlineStr">
        <is>
          <t>Not % of revenue; DIO (days).
FY25 anchor formula:
  DIO = (Inventories ÷ COGS) × 365
Ctrl+F "Inventories"
→ 1,700,753 ($000)  |  FY24: 1,442,081
Ctrl+F "Cost of goods sold"
→ 4,818,468 ($000)
  = (1,700,753 ÷ 4,818,468) × 365 ≈ 129 days
Forecast: DIO_t = FY25 DIO − (1 × year t)
Also: Not % of revenue; DIO −1 day/yr (−5 days FY26–30).
Feeds Inventories_t = (DIO_t ÷ 365) × COGS_t.
Ctrl+F "reduce the percentage of markdowns"
Ctrl+F "On a unit basis, we expect inventories to slightly decrease"</t>
        </is>
      </c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hidden="1" outlineLevel="1" ht="112" customHeight="1">
      <c r="A23" s="16" t="inlineStr">
        <is>
          <t xml:space="preserve">  Inventories</t>
        </is>
      </c>
      <c r="B23" s="17" t="inlineStr">
        <is>
          <t>Not % of revenue; $ balance (not a direct % plug).
Inventories_t = (DIO_t ÷ 365) × COGS_t
COGS_t = Revenue_t × (1 − GM%). FY25 check: (129 ÷ 365) × 4,818,468 ≈ 1,700,753.
Ctrl+F "Inventories"
→ 1,700,753 ($000)
Ctrl+F "Cost of goods sold"
→ 4,818,468 ($000)</t>
        </is>
      </c>
      <c r="C23" s="18" t="inlineStr">
        <is>
          <t>LULU FY2025 10-K: Inventories</t>
        </is>
      </c>
      <c r="D23" s="19" t="inlineStr">
        <is>
          <t>Not % of revenue; Inventories_t = (DIO_t ÷ 365) × COGS_t.
COGS_t = Revenue_t × (1 − GM%).
Ctrl+F "Inventories"
→ 1,700,753 ($000)
Ctrl+F "Cost of goods sold"
→ 4,818,468 ($000)
FY25 proof: (129 ÷ 365) × 4,818,468 ≈ 1,700,753</t>
        </is>
      </c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hidden="1" outlineLevel="1" ht="84" customHeight="1">
      <c r="A24" s="16" t="inlineStr">
        <is>
          <t xml:space="preserve">  DPO (days) — flat vs FY25</t>
        </is>
      </c>
      <c r="B24" s="17" t="inlineStr">
        <is>
          <t>Not % of revenue; DPO (days), flat ~25.1. Implied AP ≈3.0% of sales / 6.9% of COGS.</t>
        </is>
      </c>
      <c r="C24" s="18" t="inlineStr">
        <is>
          <t>LULU FY2025 10-K: Accounts payable &amp; COGS</t>
        </is>
      </c>
      <c r="D24" s="19" t="inlineStr">
        <is>
          <t>Ctrl+F "Accounts payable"
→ 331,421 ($000)
Ctrl+F "Cost of goods sold"
→ 4,818,468 ($000)
Not % of revenue; DPO ≈ 25.1 days. Implied AP ≈ 3.0% of sales / 6.9% of COGS.</t>
        </is>
      </c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hidden="1" outlineLevel="1" ht="84" customHeight="1">
      <c r="A25" s="16" t="inlineStr">
        <is>
          <t xml:space="preserve">  Accounts payable</t>
        </is>
      </c>
      <c r="B25" s="17" t="inlineStr">
        <is>
          <t>Implied ~3.0% of revenue (not a direct % plug). Balance = (DPO÷365)×COGS; DPO flat at FY25.</t>
        </is>
      </c>
      <c r="C25" s="18" t="inlineStr">
        <is>
          <t>LULU FY2025 10-K: Accounts payable</t>
        </is>
      </c>
      <c r="D25" s="19" t="inlineStr">
        <is>
          <t>Ctrl+F "Accounts payable"
→ 331,421 ($000)
Ctrl+F "Net revenue"
→ 11,102,600 ($000)
Implied ~3.0% of revenue (= 331,421 ÷ 11,102,600); forecast via DPO×COGS.</t>
        </is>
      </c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hidden="1" outlineLevel="1" ht="84" customHeight="1">
      <c r="A26" s="16" t="inlineStr">
        <is>
          <t xml:space="preserve">  Prepaid expenses (% of revenue)</t>
        </is>
      </c>
      <c r="B26" s="17" t="inlineStr">
        <is>
          <t>5.1% of revenue (flat). FY25 other current assets (prepaids + tax receivables) ÷ net revenue.</t>
        </is>
      </c>
      <c r="C26" s="18" t="inlineStr">
        <is>
          <t>LULU FY2025 10-K: other current assets (residual)</t>
        </is>
      </c>
      <c r="D26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 xml:space="preserve">  Prepaid expenses (other current assets)</t>
        </is>
      </c>
      <c r="B27" s="17" t="inlineStr">
        <is>
          <t>5.1% of revenue (flat). FY25 other current assets (prepaids + tax receivables) ÷ net revenue.</t>
        </is>
      </c>
      <c r="C27" s="18" t="inlineStr">
        <is>
          <t>LULU FY2025 10-K: other current assets (residual)</t>
        </is>
      </c>
      <c r="D27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hidden="1" outlineLevel="1" ht="84" customHeight="1">
      <c r="A28" s="16" t="inlineStr">
        <is>
          <t xml:space="preserve">  Accrued liabilities (% of revenue)</t>
        </is>
      </c>
      <c r="B28" s="17" t="inlineStr">
        <is>
          <t>6.0% of revenue (flat). FY25 accrued liabilities ÷ net revenue; comp/marketing accrual mix.</t>
        </is>
      </c>
      <c r="C28" s="18" t="inlineStr">
        <is>
          <t>LULU FY2025 10-K: Accrued liabilities and other</t>
        </is>
      </c>
      <c r="D28" s="19" t="inlineStr">
        <is>
          <t>Ctrl+F "Accrued liabilities and other"
→ 662,982 ($000)
Ctrl+F "Net revenue"
→ 11,102,600 ($000)
6.0% of revenue (flat). 662,982 ÷ 11,102,600.</t>
        </is>
      </c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 xml:space="preserve">  Accrued liabilities and other</t>
        </is>
      </c>
      <c r="B29" s="17" t="inlineStr">
        <is>
          <t>6.0% of revenue (flat). FY25 accrued liabilities ÷ net revenue; comp/marketing accrual mix.</t>
        </is>
      </c>
      <c r="C29" s="18" t="inlineStr">
        <is>
          <t>LULU FY2025 10-K: Accrued liabilities and other</t>
        </is>
      </c>
      <c r="D29" s="19" t="inlineStr">
        <is>
          <t>Ctrl+F "Accrued liabilities and other"
→ 662,982 ($000)
Ctrl+F "Net revenue"
→ 11,102,600 ($000)
6.0% of revenue (flat). 662,982 ÷ 11,102,600.</t>
        </is>
      </c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inlineStr">
        <is>
          <t>Not one %; sum ≈22.1% of FY25 sales (AR ~1.7% + inventory ~15.3% + prepaids 5.1%).</t>
        </is>
      </c>
      <c r="C30" s="18" t="inlineStr">
        <is>
          <t>Scenarios tab: AR + inventory + prepaids</t>
        </is>
      </c>
      <c r="D30" s="19" t="inlineStr">
        <is>
          <t>Not one % of revenue; sum of line items.
FY25: AR ~1.7% + inventory ~15.3% + prepaids 5.1% ≈ 22.1% of sales.</t>
        </is>
      </c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inlineStr">
        <is>
          <t>Not one %; sum ≈9.0% of FY25 sales (AP ~3.0% + accrued liabilities 6.0%).</t>
        </is>
      </c>
      <c r="C31" s="18" t="inlineStr">
        <is>
          <t>Scenarios tab: AP + accrued liabilities</t>
        </is>
      </c>
      <c r="D31" s="19" t="inlineStr">
        <is>
          <t>Not one % of revenue; sum of line items.
FY25: AP ~3.0% + accrued liabilities 6.0% ≈ 9.0% of sales.</t>
        </is>
      </c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hidden="1" outlineLevel="1" ht="42" customHeight="1">
      <c r="A32" s="23" t="inlineStr">
        <is>
          <t>Net working capital</t>
        </is>
      </c>
      <c r="B32" s="17" t="inlineStr">
        <is>
          <t>Not one %; net ≈13.2% of FY25 sales ($1,461,096k). COA minus COL; rolls forward each year.</t>
        </is>
      </c>
      <c r="C32" s="18" t="inlineStr">
        <is>
          <t>LULU FY2025 10-K: working-capital components</t>
        </is>
      </c>
      <c r="D32" s="19" t="inlineStr">
        <is>
          <t>Not one % of revenue; net balance.
FY25 NWC ≈ 13.2% of sales ($1,461,096k = COA − COL).</t>
        </is>
      </c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inlineStr">
        <is>
          <t>Not % of revenue; $ change in NWC year-over-year. Prior-year NWC minus current-year NWC for the FCF bridge.</t>
        </is>
      </c>
      <c r="C33" s="18" t="inlineStr">
        <is>
          <t>Scenarios tab: NWC roll-forward (driver schedule)</t>
        </is>
      </c>
      <c r="D33" s="19" t="inlineStr">
        <is>
          <t>Not % of revenue; $ change year-over-year.
FY26: revenue −6.1% + DIO −1 day → NWC falls → ΔNWC positive (WC release).
FY27–30: revenue +2.3%/yr → AR &amp; inventory rebuild → ΔNWC negative (WC build).</t>
        </is>
      </c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 xml:space="preserve">  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inlineStr">
        <is>
          <t>Ctrl+F "Q2 2026" → 24,269.613 and "Q2 2025" → 23,770.976. YoY = 2.1%. Model terminal g 2.25%.</t>
        </is>
      </c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 xml:space="preserve">  Implied exit EV/EBITDA = Gordon TV / FY30 EBITDA</t>
        </is>
      </c>
      <c r="E46" s="94">
        <f>E45/E44</f>
        <v/>
      </c>
    </row>
    <row r="47">
      <c r="A47" s="16" t="inlineStr">
        <is>
          <t xml:space="preserve">  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inlineStr">
        <is>
          <t>Ctrl+F "Cash and cash equivalents" → 1,807,202 ($000) FY2025</t>
        </is>
      </c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inlineStr">
        <is>
          <t>Ctrl+F "Current lease liabilities" → 298,724 | "Non-current lease liabilities" → 1,499,717 | sum 1,798,441 ($000). Funded debt: "no borrowings were outstanding"</t>
        </is>
      </c>
      <c r="E51" s="74" t="n">
        <v>-1798441</v>
      </c>
    </row>
    <row r="52">
      <c r="A52" s="26" t="inlineStr">
        <is>
          <t xml:space="preserve">  memo: funded term debt $0. Operating leases $298,724k current + $1,499,717k non-current = $1,798,441k (ASC 842 debt equivalent).</t>
        </is>
      </c>
    </row>
    <row r="53">
      <c r="A53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inlineStr">
        <is>
          <t>Ctrl+F "111,380 and 116,166 issued and outstanding" → 111,380k class A (FY25 10-K cover)</t>
        </is>
      </c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inlineStr">
        <is>
          <t>Ctrl+F "closed at $100.61" → Last Sale on NASDAQ quote page</t>
        </is>
      </c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 xml:space="preserve">  memo: % of EV from terminal value</t>
        </is>
      </c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inlineStr">
        <is>
          <t>Selected exit is Gordon TV / FY30 EBITDA. Identity: (UFCF/EBITDA)×(1+g)/(WACC−g). Not Deckers and not a peer average.</t>
        </is>
      </c>
      <c r="C82" s="18" t="inlineStr">
        <is>
          <t>DCF: Gordon implied exit (TV / FY30 EBITDA)</t>
        </is>
      </c>
      <c r="D82" s="19" t="inlineStr">
        <is>
          <t>No peer Ctrl+F. This cell = Gordon TV / FY30 EBITDA = (UFCF/EBITDA)×(1+g)/(WACC−g). WACC and g are sourced on those rows.</t>
        </is>
      </c>
      <c r="E82" s="94">
        <f>E46</f>
        <v/>
      </c>
      <c r="M82" s="95" t="inlineStr">
        <is>
          <t>Comps: Exit Multiple Build</t>
        </is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inlineStr">
        <is>
          <t>Gordon Growth</t>
        </is>
      </c>
      <c r="C89" s="54" t="inlineStr">
        <is>
          <t>Exit Multiple</t>
        </is>
      </c>
      <c r="D89" s="54" t="inlineStr">
        <is>
          <t>Variance</t>
        </is>
      </c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inlineStr">
        <is>
          <t>Selected exit is the Gordon identity, so spread should be 0</t>
        </is>
      </c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inlineStr">
        <is>
          <t>Terminal-g axis 1.5–3.0% brackets 2.25% base; bounded by long-run real GDP and inflation benchmarks.</t>
        </is>
      </c>
      <c r="C98" s="18" t="inlineStr">
        <is>
          <t>FRED: Real GDP (GDPC1)</t>
        </is>
      </c>
      <c r="D98" s="19" t="inlineStr">
        <is>
          <t>Ctrl+F "GDPC1" → bounds terminal-g sensitivity grid 1.5%–3.0%</t>
        </is>
      </c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inlineStr">
        <is>
          <t>WACC tab → green WACC cell ~9.0%. Sensitivity WACC axis brackets base ±100bps.</t>
        </is>
      </c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inlineStr">
        <is>
          <t>WACC tab → green WACC cell ~9.0%. Sensitivity WACC axis brackets base ±100bps.</t>
        </is>
      </c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inlineStr">
        <is>
          <t>WACC tab → green WACC cell ~9.0%. Sensitivity WACC axis brackets base ±100bps.</t>
        </is>
      </c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inlineStr">
        <is>
          <t>WACC tab → green WACC cell ~9.0%. Sensitivity WACC axis brackets base ±100bps.</t>
        </is>
      </c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inlineStr">
        <is>
          <t>WACC tab → green WACC cell ~9.0%. Sensitivity WACC axis brackets base ±100bps.</t>
        </is>
      </c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inlineStr">
        <is>
          <t>Red WACC and g grid values bracket base case ±100bps discount rate and ±75bps terminal growth for sensitivity.</t>
        </is>
      </c>
      <c r="C104" s="18" t="inlineStr">
        <is>
          <t>Scenarios: WACC &amp; terminal g</t>
        </is>
      </c>
      <c r="D104" s="19" t="inlineStr">
        <is>
          <t>Scenarios tab → Ctrl+F "WACC" and "Terminal growth" rows (base-case inputs)</t>
        </is>
      </c>
      <c r="L104" s="95" t="inlineStr">
        <is>
          <t>FRED: Real GDP (GDPC1)</t>
        </is>
      </c>
      <c r="M104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inlineStr">
        <is>
          <t>Ctrl+F "Net revenue" → 11,102,600 ($000) in FY2025 column</t>
        </is>
      </c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inlineStr">
        <is>
          <t>Ctrl+F "$9.48 to $9.73" → FY2026 diluted EPS guidance; model midpoint $9.61</t>
        </is>
      </c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inlineStr">
        <is>
          <t>Ctrl+F "Cash and cash equivalents" → 1,807,202 ($000) FY2025</t>
        </is>
      </c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inlineStr">
        <is>
          <t>Ctrl+F "closed at $100.61" → Last Sale on NASDAQ quote page</t>
        </is>
      </c>
      <c r="E10" s="97" t="n">
        <v>100</v>
      </c>
    </row>
    <row r="11">
      <c r="A11" s="107" t="inlineStr">
        <is>
          <t xml:space="preserve">  memo: current EV / EBITDA</t>
        </is>
      </c>
      <c r="E11" s="112">
        <f>(E10*E9-E8)/E5</f>
        <v/>
      </c>
    </row>
    <row r="12">
      <c r="A12" s="107" t="inlineStr">
        <is>
          <t xml:space="preserve">  memo: current P / E (FY2026E)</t>
        </is>
      </c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inlineStr">
        <is>
          <t>Justification</t>
        </is>
      </c>
      <c r="C18" s="113" t="inlineStr">
        <is>
          <t>Source</t>
        </is>
      </c>
      <c r="D18" s="113" t="inlineStr">
        <is>
          <t>Ctrl+F / proof</t>
        </is>
      </c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process;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17" t="n">
        <v>2</v>
      </c>
    </row>
    <row r="35" ht="28" customHeight="1">
      <c r="A35" s="68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5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18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 Selected exit = Gordon TV / FY30 EBITDA. Identity: (UFCF/EBITDA)×(1+g)/(WACC−g). Live formula, not a typed 8.0x</t>
        </is>
      </c>
    </row>
    <row r="49">
      <c r="A49" s="41" t="inlineStr">
        <is>
          <t>•  At base WACC ~9.0% and g 2.25% that identity is ~7.4x FY30 EBITDA — not a peer average</t>
        </is>
      </c>
    </row>
    <row r="50">
      <c r="A50" s="41" t="inlineStr">
        <is>
          <t>•  PitchBook pubcomps (04-Sep-2026) are the current tape: each multiple is daily EV / TTM EBITDA</t>
        </is>
      </c>
    </row>
    <row r="51">
      <c r="A51" s="41" t="inlineStr">
        <is>
          <t>•  That tape is a check, not the exit. A 2.25% g / 15.5% OM year is not today’s NKE/WSM multiple</t>
        </is>
      </c>
    </row>
    <row r="52">
      <c r="A52" s="41" t="inlineStr">
        <is>
          <t>•  Alo has no EV/EBITDA print. Implied 5.0x is EV/Sales (unclosed $10bn ask / ~$2bn parent sales) — not the FY30 exit</t>
        </is>
      </c>
    </row>
    <row r="53">
      <c r="A53" s="41" t="inlineStr">
        <is>
          <t>• 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inlineStr">
        <is>
          <t>Justification</t>
        </is>
      </c>
      <c r="C56" s="113" t="inlineStr">
        <is>
          <t>Source</t>
        </is>
      </c>
      <c r="D56" s="113" t="inlineStr">
        <is>
          <t>Ctrl+F</t>
        </is>
      </c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85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85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inlineStr">
        <is>
          <t>Ctrl+F "closed at $100.61" → Last Sale on NASDAQ quote page</t>
        </is>
      </c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2026-09-09T15:33:49Z</dcterms:created>
  <dcterms:modified xmlns:dcterms="http://purl.org/dc/terms/" xmlns:xsi="http://www.w3.org/2001/XMLSchema-instance" xsi:type="dcterms:W3CDTF">2026-09-09T15:33:49Z</dcterms:modified>
</cp:coreProperties>
</file>
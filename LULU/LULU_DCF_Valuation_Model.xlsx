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53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(Gordon Growth)</t>
        </is>
      </c>
      <c r="E33" s="62">
        <f>E32/E31</f>
        <v/>
      </c>
    </row>
    <row r="34">
      <c r="A34" s="24" t="inlineStr">
        <is>
          <t>PV of terminal value</t>
        </is>
      </c>
      <c r="E34" s="61">
        <f>E32/(1+Scenarios!$G$9)^J23</f>
        <v/>
      </c>
    </row>
    <row r="35">
      <c r="A35" s="24" t="inlineStr">
        <is>
          <t>Enterprise value</t>
        </is>
      </c>
      <c r="E35" s="37">
        <f>E29+E34</f>
        <v/>
      </c>
    </row>
    <row r="36" ht="28" customHeight="1">
      <c r="A36" s="16" t="inlineStr">
        <is>
          <t>Plus: cash &amp; equivalents (FY2025)</t>
        </is>
      </c>
      <c r="C36" s="63" t="inlineStr">
        <is>
          <t>10-K</t>
        </is>
      </c>
      <c r="D36" s="19" t="inlineStr">
        <is>
          <t>Ctrl+F "Cash and cash equivalents" → 1,807,202 ($000) FY2025</t>
        </is>
      </c>
      <c r="E36" s="49" t="n">
        <v>1807202</v>
      </c>
    </row>
    <row r="37" ht="28" customHeight="1">
      <c r="A37" s="16" t="inlineStr">
        <is>
          <t>Less: total debt</t>
        </is>
      </c>
      <c r="C37" s="63" t="inlineStr">
        <is>
          <t>10-K</t>
        </is>
      </c>
      <c r="D37" s="19" t="inlineStr">
        <is>
          <t>Ctrl+F "no borrowings were outstanding under this facility" → no funded term debt</t>
        </is>
      </c>
      <c r="E37" s="49" t="n">
        <v>0</v>
      </c>
    </row>
    <row r="38">
      <c r="A38" s="24" t="inlineStr">
        <is>
          <t>Equity value</t>
        </is>
      </c>
      <c r="E38" s="37">
        <f>E35+E36+E37</f>
        <v/>
      </c>
    </row>
    <row r="39" ht="28" customHeight="1">
      <c r="A39" s="16" t="inlineStr">
        <is>
          <t>Diluted shares outstanding (000)</t>
        </is>
      </c>
      <c r="C39" s="63" t="inlineStr">
        <is>
          <t>10-K</t>
        </is>
      </c>
      <c r="D39" s="19" t="inlineStr">
        <is>
          <t>Ctrl+F "Diluted weighted-average number of shares outstanding" → 119,068 (000)</t>
        </is>
      </c>
      <c r="E39" s="49" t="n">
        <v>111380</v>
      </c>
    </row>
    <row r="40">
      <c r="A40" s="24" t="inlineStr">
        <is>
          <t>Implied value per share</t>
        </is>
      </c>
      <c r="E40" s="64">
        <f>E38/E39</f>
        <v/>
      </c>
      <c r="K40" s="54">
        <f>IF(ABS(E40-Scenarios!$G$65)&lt;0.05,"OK","CHECK")</f>
        <v/>
      </c>
    </row>
    <row r="41" ht="28" customHeight="1">
      <c r="A41" s="16" t="inlineStr">
        <is>
          <t>Current share price</t>
        </is>
      </c>
      <c r="C41" s="63" t="inlineStr">
        <is>
          <t>NASDAQ</t>
        </is>
      </c>
      <c r="D41" s="19" t="inlineStr">
        <is>
          <t>Ctrl+F "LULU" → Last Sale or Previous Close on NASDAQ quote page</t>
        </is>
      </c>
      <c r="E41" s="65" t="n">
        <v>100</v>
      </c>
    </row>
    <row r="42">
      <c r="A42" s="24" t="inlineStr">
        <is>
          <t>Implied upside / (downside)</t>
        </is>
      </c>
      <c r="E42" s="66">
        <f>E40/E41-1</f>
        <v/>
      </c>
    </row>
    <row r="43">
      <c r="A43" s="16" t="inlineStr">
        <is>
          <t xml:space="preserve">  memo: % of EV from terminal value</t>
        </is>
      </c>
      <c r="E43" s="52">
        <f>E34/E35</f>
        <v/>
      </c>
    </row>
    <row r="45">
      <c r="A45" s="60" t="inlineStr">
        <is>
          <t>CROSS-CHECK — EXIT MULTIPLE METHOD</t>
        </is>
      </c>
      <c r="B45" s="13" t="n"/>
      <c r="C45" s="13" t="n"/>
    </row>
    <row r="46">
      <c r="A46" s="15" t="inlineStr">
        <is>
          <t>Exit multiple selection (see Comps tab for peer build)</t>
        </is>
      </c>
    </row>
    <row r="47" ht="28" customHeight="1">
      <c r="A47" s="16" t="inlineStr">
        <is>
          <t>Selected exit EV/EBITDA multiple (FY2030E)</t>
        </is>
      </c>
      <c r="B47" s="17" t="inlineStr">
        <is>
          <t>8.0x FY2030E exit EV/EBITDA; mid-point of terminal football field (6.5–9.5x); ~1 turn above Gordon-implied ~7x.</t>
        </is>
      </c>
      <c r="C47" s="18" t="inlineStr">
        <is>
          <t>StockAnalysis: LULU EV/EBITDA</t>
        </is>
      </c>
      <c r="D47" s="19" t="inlineStr">
        <is>
          <t>Ctrl+F "EV / EBITDA" → LULU ~4.99x on page; model terminal exit 8.0x (assumption)</t>
        </is>
      </c>
      <c r="E47" s="67" t="n">
        <v>8</v>
      </c>
      <c r="M47" s="63" t="inlineStr">
        <is>
          <t>Comps: Exit Multiple Build</t>
        </is>
      </c>
    </row>
    <row r="48">
      <c r="A48" s="16" t="inlineStr">
        <is>
          <t>Terminal value = Terminal EBITDA × exit multiple</t>
        </is>
      </c>
      <c r="E48" s="50">
        <f>E31*E47</f>
        <v/>
      </c>
    </row>
    <row r="49">
      <c r="A49" s="16" t="inlineStr">
        <is>
          <t>PV of terminal value</t>
        </is>
      </c>
      <c r="E49" s="50">
        <f>E48/(1+Scenarios!$G$9)^J23</f>
        <v/>
      </c>
    </row>
    <row r="50">
      <c r="A50" s="24" t="inlineStr">
        <is>
          <t>Enterprise value (exit method)</t>
        </is>
      </c>
      <c r="E50" s="37">
        <f>E29+E49</f>
        <v/>
      </c>
    </row>
    <row r="51">
      <c r="A51" s="24" t="inlineStr">
        <is>
          <t>Implied value per share (exit method)</t>
        </is>
      </c>
      <c r="E51" s="68">
        <f>(E50+E36+E37)/E39</f>
        <v/>
      </c>
    </row>
    <row r="53">
      <c r="A53" s="60" t="inlineStr">
        <is>
          <t>TERMINAL VALUE RECONCILIATION (GORDON vs EXIT MULTIPLE)</t>
        </is>
      </c>
      <c r="B53" s="13" t="n"/>
      <c r="C53" s="13" t="n"/>
      <c r="D53" s="13" t="n"/>
    </row>
    <row r="54">
      <c r="A54" s="69" t="inlineStr"/>
      <c r="B54" s="70" t="inlineStr">
        <is>
          <t>Gordon Growth</t>
        </is>
      </c>
      <c r="C54" s="70" t="inlineStr">
        <is>
          <t>Exit Multiple</t>
        </is>
      </c>
      <c r="D54" s="70" t="inlineStr">
        <is>
          <t>Variance</t>
        </is>
      </c>
    </row>
    <row r="55">
      <c r="A55" s="24" t="inlineStr">
        <is>
          <t>Terminal value ($)</t>
        </is>
      </c>
      <c r="B55" s="61">
        <f>E32</f>
        <v/>
      </c>
      <c r="C55" s="61">
        <f>E48</f>
        <v/>
      </c>
      <c r="D55" s="61">
        <f>B55-C55</f>
        <v/>
      </c>
    </row>
    <row r="56">
      <c r="A56" s="24" t="inlineStr">
        <is>
          <t>Exit EV/EBITDA (implied vs selected)</t>
        </is>
      </c>
      <c r="B56" s="71">
        <f>E33</f>
        <v/>
      </c>
      <c r="C56" s="71">
        <f>E47</f>
        <v/>
      </c>
      <c r="D56" s="71">
        <f>B56-C56</f>
        <v/>
      </c>
    </row>
    <row r="57">
      <c r="A57" s="16" t="inlineStr">
        <is>
          <t>Terminal value variance (%)</t>
        </is>
      </c>
      <c r="B57" s="52" t="inlineStr"/>
      <c r="C57" s="52" t="inlineStr"/>
      <c r="D57" s="52">
        <f>(B55-C55)/B55</f>
        <v/>
      </c>
    </row>
    <row r="58">
      <c r="A58" s="24" t="inlineStr">
        <is>
          <t>Implied share price</t>
        </is>
      </c>
      <c r="B58" s="72">
        <f>E40</f>
        <v/>
      </c>
      <c r="C58" s="72">
        <f>E51</f>
        <v/>
      </c>
      <c r="D58" s="72">
        <f>B58-C58</f>
        <v/>
      </c>
    </row>
    <row r="59">
      <c r="A59" s="73" t="inlineStr">
        <is>
          <t>Sanity check: multiples within ±1.5 turns?</t>
        </is>
      </c>
      <c r="B59" s="74">
        <f>IF(ABS(D56)&lt;=1.5,"PASS","REVIEW")</f>
        <v/>
      </c>
      <c r="C59" s="75">
        <f>TEXT(D56,"0.0")&amp;"x spread vs 8.0x exit multiple"</f>
        <v/>
      </c>
      <c r="D59" s="26" t="inlineStr">
        <is>
          <t>Gordon implied should bracket exit assumption</t>
        </is>
      </c>
    </row>
    <row r="62">
      <c r="A62" s="60" t="inlineStr">
        <is>
          <t>SENSITIVITY — IMPLIED SHARE PRICE (WACC vs terminal growth)</t>
        </is>
      </c>
      <c r="B62" s="13" t="n"/>
      <c r="C62" s="13" t="n"/>
      <c r="D62" s="13" t="n"/>
      <c r="E62" s="13" t="n"/>
      <c r="F62" s="13" t="n"/>
      <c r="G62" s="13" t="n"/>
      <c r="H62" s="13" t="n"/>
    </row>
    <row r="63" ht="28" customHeight="1">
      <c r="A63" s="76" t="inlineStr">
        <is>
          <t>WACC \ g</t>
        </is>
      </c>
      <c r="B63" s="17" t="inlineStr">
        <is>
          <t>Terminal-g axis 1.5–3.0% brackets 2.25% base; bounded by long-run real GDP and inflation benchmarks.</t>
        </is>
      </c>
      <c r="C63" s="18" t="inlineStr">
        <is>
          <t>FRED: Real GDP (GDPC1)</t>
        </is>
      </c>
      <c r="D63" s="19" t="inlineStr">
        <is>
          <t>Ctrl+F "GDPC1" → bounds terminal-g sensitivity grid 1.5%–3.0%</t>
        </is>
      </c>
      <c r="F63" s="77" t="n">
        <v>0.015</v>
      </c>
      <c r="G63" s="77" t="n">
        <v>0.02</v>
      </c>
      <c r="H63" s="77" t="n">
        <v>0.0225</v>
      </c>
      <c r="I63" s="77" t="n">
        <v>0.025</v>
      </c>
      <c r="J63" s="77" t="n">
        <v>0.03</v>
      </c>
      <c r="L63" s="63" t="inlineStr">
        <is>
          <t>Scenarios: terminal g</t>
        </is>
      </c>
    </row>
    <row r="64" ht="28" customHeight="1">
      <c r="A64" s="77" t="n">
        <v>0.095</v>
      </c>
      <c r="C64" s="63" t="inlineStr">
        <is>
          <t>Damodaran: Historical Implied ERP</t>
        </is>
      </c>
      <c r="D64" s="19" t="inlineStr">
        <is>
          <t>Ctrl+F "4.23%" (2025 implied ERP). Sensitivity WACC axis brackets the 10.5% base.</t>
        </is>
      </c>
      <c r="F64" s="78">
        <f>(NPV(0.095,F22:J22)+(J22*(1+0.015)/(0.095-0.015))/(1+0.095)^5+E36+E37)/E39</f>
        <v/>
      </c>
      <c r="G64" s="78">
        <f>(NPV(0.095,F22:J22)+(J22*(1+0.02)/(0.095-0.02))/(1+0.095)^5+E36+E37)/E39</f>
        <v/>
      </c>
      <c r="H64" s="78">
        <f>(NPV(0.095,F22:J22)+(J22*(1+0.0225)/(0.095-0.0225))/(1+0.095)^5+E36+E37)/E39</f>
        <v/>
      </c>
      <c r="I64" s="78">
        <f>(NPV(0.095,F22:J22)+(J22*(1+0.025)/(0.095-0.025))/(1+0.095)^5+E36+E37)/E39</f>
        <v/>
      </c>
      <c r="J64" s="78">
        <f>(NPV(0.095,F22:J22)+(J22*(1+0.03)/(0.095-0.03))/(1+0.095)^5+E36+E37)/E39</f>
        <v/>
      </c>
      <c r="L64" s="63" t="inlineStr">
        <is>
          <t>WACC tab</t>
        </is>
      </c>
    </row>
    <row r="65" ht="28" customHeight="1">
      <c r="A65" s="77" t="n">
        <v>0.1</v>
      </c>
      <c r="D65" s="19" t="inlineStr">
        <is>
          <t>Ctrl+F "4.23%" (2025 implied ERP). Sensitivity WACC axis brackets the 10.5% base.</t>
        </is>
      </c>
      <c r="F65" s="78">
        <f>(NPV(0.1,F22:J22)+(J22*(1+0.015)/(0.1-0.015))/(1+0.1)^5+E36+E37)/E39</f>
        <v/>
      </c>
      <c r="G65" s="78">
        <f>(NPV(0.1,F22:J22)+(J22*(1+0.02)/(0.1-0.02))/(1+0.1)^5+E36+E37)/E39</f>
        <v/>
      </c>
      <c r="H65" s="78">
        <f>(NPV(0.1,F22:J22)+(J22*(1+0.0225)/(0.1-0.0225))/(1+0.1)^5+E36+E37)/E39</f>
        <v/>
      </c>
      <c r="I65" s="78">
        <f>(NPV(0.1,F22:J22)+(J22*(1+0.025)/(0.1-0.025))/(1+0.1)^5+E36+E37)/E39</f>
        <v/>
      </c>
      <c r="J65" s="78">
        <f>(NPV(0.1,F22:J22)+(J22*(1+0.03)/(0.1-0.03))/(1+0.1)^5+E36+E37)/E39</f>
        <v/>
      </c>
      <c r="L65" s="63" t="inlineStr">
        <is>
          <t>WACC tab</t>
        </is>
      </c>
    </row>
    <row r="66" ht="28" customHeight="1">
      <c r="A66" s="77" t="n">
        <v>0.105</v>
      </c>
      <c r="D66" s="19" t="inlineStr">
        <is>
          <t>Ctrl+F "4.23%" (2025 implied ERP). Sensitivity WACC axis brackets the 10.5% base.</t>
        </is>
      </c>
      <c r="F66" s="78">
        <f>(NPV(0.105,F22:J22)+(J22*(1+0.015)/(0.105-0.015))/(1+0.105)^5+E36+E37)/E39</f>
        <v/>
      </c>
      <c r="G66" s="78">
        <f>(NPV(0.105,F22:J22)+(J22*(1+0.02)/(0.105-0.02))/(1+0.105)^5+E36+E37)/E39</f>
        <v/>
      </c>
      <c r="H66" s="79">
        <f>(NPV(0.105,F22:J22)+(J22*(1+0.0225)/(0.105-0.0225))/(1+0.105)^5+E36+E37)/E39</f>
        <v/>
      </c>
      <c r="I66" s="78">
        <f>(NPV(0.105,F22:J22)+(J22*(1+0.025)/(0.105-0.025))/(1+0.105)^5+E36+E37)/E39</f>
        <v/>
      </c>
      <c r="J66" s="78">
        <f>(NPV(0.105,F22:J22)+(J22*(1+0.03)/(0.105-0.03))/(1+0.105)^5+E36+E37)/E39</f>
        <v/>
      </c>
      <c r="L66" s="63" t="inlineStr">
        <is>
          <t>WACC tab</t>
        </is>
      </c>
    </row>
    <row r="67" ht="28" customHeight="1">
      <c r="A67" s="77" t="n">
        <v>0.11</v>
      </c>
      <c r="D67" s="19" t="inlineStr">
        <is>
          <t>Ctrl+F "4.23%" (2025 implied ERP). Sensitivity WACC axis brackets the 10.5% base.</t>
        </is>
      </c>
      <c r="F67" s="78">
        <f>(NPV(0.11,F22:J22)+(J22*(1+0.015)/(0.11-0.015))/(1+0.11)^5+E36+E37)/E39</f>
        <v/>
      </c>
      <c r="G67" s="78">
        <f>(NPV(0.11,F22:J22)+(J22*(1+0.02)/(0.11-0.02))/(1+0.11)^5+E36+E37)/E39</f>
        <v/>
      </c>
      <c r="H67" s="78">
        <f>(NPV(0.11,F22:J22)+(J22*(1+0.0225)/(0.11-0.0225))/(1+0.11)^5+E36+E37)/E39</f>
        <v/>
      </c>
      <c r="I67" s="78">
        <f>(NPV(0.11,F22:J22)+(J22*(1+0.025)/(0.11-0.025))/(1+0.11)^5+E36+E37)/E39</f>
        <v/>
      </c>
      <c r="J67" s="78">
        <f>(NPV(0.11,F22:J22)+(J22*(1+0.03)/(0.11-0.03))/(1+0.11)^5+E36+E37)/E39</f>
        <v/>
      </c>
      <c r="L67" s="63" t="inlineStr">
        <is>
          <t>WACC tab</t>
        </is>
      </c>
    </row>
    <row r="68" ht="28" customHeight="1">
      <c r="A68" s="77" t="n">
        <v>0.115</v>
      </c>
      <c r="D68" s="19" t="inlineStr">
        <is>
          <t>Ctrl+F "4.23%" (2025 implied ERP). Sensitivity WACC axis brackets the 10.5% base.</t>
        </is>
      </c>
      <c r="F68" s="78">
        <f>(NPV(0.115,F22:J22)+(J22*(1+0.015)/(0.115-0.015))/(1+0.115)^5+E36+E37)/E39</f>
        <v/>
      </c>
      <c r="G68" s="78">
        <f>(NPV(0.115,F22:J22)+(J22*(1+0.02)/(0.115-0.02))/(1+0.115)^5+E36+E37)/E39</f>
        <v/>
      </c>
      <c r="H68" s="78">
        <f>(NPV(0.115,F22:J22)+(J22*(1+0.0225)/(0.115-0.0225))/(1+0.115)^5+E36+E37)/E39</f>
        <v/>
      </c>
      <c r="I68" s="78">
        <f>(NPV(0.115,F22:J22)+(J22*(1+0.025)/(0.115-0.025))/(1+0.115)^5+E36+E37)/E39</f>
        <v/>
      </c>
      <c r="J68" s="78">
        <f>(NPV(0.115,F22:J22)+(J22*(1+0.03)/(0.115-0.03))/(1+0.115)^5+E36+E37)/E39</f>
        <v/>
      </c>
      <c r="L68" s="63" t="inlineStr">
        <is>
          <t>WACC tab</t>
        </is>
      </c>
    </row>
    <row r="69" ht="28" customHeight="1">
      <c r="B69" s="17" t="inlineStr">
        <is>
          <t>Red WACC and g grid values bracket base case ±100bps discount rate and ±75bps terminal growth for sensitivity.</t>
        </is>
      </c>
      <c r="C69" s="18" t="inlineStr">
        <is>
          <t>Scenarios: WACC &amp; terminal g</t>
        </is>
      </c>
      <c r="D69" s="19" t="inlineStr">
        <is>
          <t>Scenarios tab → Ctrl+F "WACC" and "Terminal growth" rows (base-case inputs)</t>
        </is>
      </c>
      <c r="L69" s="63" t="inlineStr">
        <is>
          <t>FRED: Real GDP (GDPC1)</t>
        </is>
      </c>
      <c r="M69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6" r:id="rId16"/>
    <hyperlink xmlns:r="http://schemas.openxmlformats.org/officeDocument/2006/relationships" ref="E36" r:id="rId17"/>
    <hyperlink xmlns:r="http://schemas.openxmlformats.org/officeDocument/2006/relationships" ref="C37" r:id="rId18"/>
    <hyperlink xmlns:r="http://schemas.openxmlformats.org/officeDocument/2006/relationships" ref="E37" r:id="rId19"/>
    <hyperlink xmlns:r="http://schemas.openxmlformats.org/officeDocument/2006/relationships" ref="C39" r:id="rId20"/>
    <hyperlink xmlns:r="http://schemas.openxmlformats.org/officeDocument/2006/relationships" ref="E39" r:id="rId21"/>
    <hyperlink xmlns:r="http://schemas.openxmlformats.org/officeDocument/2006/relationships" ref="C41" r:id="rId22"/>
    <hyperlink xmlns:r="http://schemas.openxmlformats.org/officeDocument/2006/relationships" ref="E41" r:id="rId23"/>
    <hyperlink xmlns:r="http://schemas.openxmlformats.org/officeDocument/2006/relationships" ref="C47" r:id="rId24"/>
    <hyperlink ref="M47" location="'Comps'!A26"/>
    <hyperlink xmlns:r="http://schemas.openxmlformats.org/officeDocument/2006/relationships" ref="C63" r:id="rId25"/>
    <hyperlink ref="L63" location="'Scenarios'!G10"/>
    <hyperlink xmlns:r="http://schemas.openxmlformats.org/officeDocument/2006/relationships" ref="C64" r:id="rId26"/>
    <hyperlink ref="L64" location="'WACC'!E19"/>
    <hyperlink ref="L65" location="'WACC'!E19"/>
    <hyperlink ref="L66" location="'WACC'!E19"/>
    <hyperlink ref="L67" location="'WACC'!E19"/>
    <hyperlink ref="L68" location="'WACC'!E19"/>
    <hyperlink ref="C69" location="'Scenarios'!G9"/>
    <hyperlink xmlns:r="http://schemas.openxmlformats.org/officeDocument/2006/relationships" ref="L69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5" t="inlineStr">
        <is>
          <t xml:space="preserve">  memo: current EV / EBITDA</t>
        </is>
      </c>
      <c r="E11" s="80">
        <f>(E10*E9-E8)/E5</f>
        <v/>
      </c>
    </row>
    <row r="12">
      <c r="A12" s="75" t="inlineStr">
        <is>
          <t xml:space="preserve">  memo: current P / E (FY2026E)</t>
        </is>
      </c>
      <c r="E12" s="80">
        <f>E10/E7</f>
        <v/>
      </c>
    </row>
    <row r="14">
      <c r="A14" s="14" t="inlineStr">
        <is>
          <t>EXIT MULTIPLE BUILD — FY2030E TERMINAL YEAR</t>
        </is>
      </c>
    </row>
    <row r="15">
      <c r="A15" s="75" t="inlineStr">
        <is>
          <t>Peer / reference EV/EBITDA (forward / illustrative)</t>
        </is>
      </c>
    </row>
    <row r="16">
      <c r="A16" s="81" t="inlineStr">
        <is>
          <t>Company</t>
        </is>
      </c>
      <c r="B16" s="81" t="inlineStr">
        <is>
          <t>Justification</t>
        </is>
      </c>
      <c r="C16" s="81" t="inlineStr">
        <is>
          <t>Source (click)</t>
        </is>
      </c>
      <c r="D16" s="81" t="inlineStr">
        <is>
          <t>Ctrl+F (prove number)</t>
        </is>
      </c>
      <c r="E16" s="82" t="inlineStr">
        <is>
          <t>EV/EBITDA</t>
        </is>
      </c>
    </row>
    <row r="17" ht="28" customHeight="1">
      <c r="A17" s="16" t="inlineStr">
        <is>
          <t>lululemon (LULU) — current</t>
        </is>
      </c>
      <c r="B17" s="26" t="inlineStr">
        <is>
          <t>Distressed trough multiple on FY2025A EBITDA</t>
        </is>
      </c>
      <c r="C17" s="63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3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4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4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4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4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4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2">
        <f>DCF!E33</f>
        <v/>
      </c>
    </row>
    <row r="26">
      <c r="A26" s="73" t="inlineStr">
        <is>
          <t>Selected exit multiple (base case)</t>
        </is>
      </c>
      <c r="E26" s="71">
        <f>DCF!E47</f>
        <v/>
      </c>
    </row>
    <row r="27">
      <c r="A27" s="16" t="inlineStr">
        <is>
          <t>Spread (selected − Gordon implied)</t>
        </is>
      </c>
      <c r="E27" s="62">
        <f>E26-E25</f>
        <v/>
      </c>
    </row>
    <row r="28">
      <c r="A28" s="73" t="inlineStr">
        <is>
          <t>Rationale for 8.0x</t>
        </is>
      </c>
    </row>
    <row r="29">
      <c r="A29" s="34" t="inlineStr">
        <is>
          <t>•  Mid-point of terminal football field (6.5–9.5x on FY2030E EBITDA) — 8.0x sits between bear and bull exit</t>
        </is>
      </c>
    </row>
    <row r="30">
      <c r="A30" s="34" t="inlineStr">
        <is>
          <t>•  Above Gordon-implied exit (~7x) — ~1 turn buffer vs perpetuity math on terminal FCF</t>
        </is>
      </c>
    </row>
    <row r="31">
      <c r="A31" s="34" t="inlineStr">
        <is>
          <t>•  Below premium-growth peers (ONON ~25x, DECK ~15x) — reflects Americas maturity at terminal</t>
        </is>
      </c>
    </row>
    <row r="32">
      <c r="A32" s="34" t="inlineStr">
        <is>
          <t>•  Above current LULU (~3.5x on FY2025A) — assumes partial recovery, not full re-rating to historical peaks</t>
        </is>
      </c>
    </row>
    <row r="33">
      <c r="A33" s="34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81" t="inlineStr">
        <is>
          <t>Method</t>
        </is>
      </c>
      <c r="B36" s="81" t="inlineStr">
        <is>
          <t>Justification</t>
        </is>
      </c>
      <c r="C36" s="81" t="inlineStr">
        <is>
          <t>Source</t>
        </is>
      </c>
      <c r="D36" s="81" t="inlineStr">
        <is>
          <t>Ctrl+F</t>
        </is>
      </c>
      <c r="E36" s="82" t="inlineStr">
        <is>
          <t>Low mult.</t>
        </is>
      </c>
      <c r="F36" s="82" t="inlineStr">
        <is>
          <t>High mult.</t>
        </is>
      </c>
      <c r="G36" s="82" t="inlineStr">
        <is>
          <t>Implied px (low)</t>
        </is>
      </c>
      <c r="H36" s="82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5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4" t="n">
        <v>6.5</v>
      </c>
      <c r="F37" s="84" t="n">
        <v>9.5</v>
      </c>
      <c r="G37" s="86">
        <f>(E6*E37+E8)/E9</f>
        <v/>
      </c>
      <c r="H37" s="86">
        <f>(E6*F37+E8)/E9</f>
        <v/>
      </c>
    </row>
    <row r="38" ht="28" customHeight="1">
      <c r="A38" s="73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7">
        <f>DCF!E47</f>
        <v/>
      </c>
      <c r="G38" s="88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5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4" t="n">
        <v>10</v>
      </c>
      <c r="F39" s="84" t="n">
        <v>18</v>
      </c>
      <c r="G39" s="86">
        <f>E7*E39</f>
        <v/>
      </c>
      <c r="H39" s="86">
        <f>E7*F39</f>
        <v/>
      </c>
    </row>
    <row r="40">
      <c r="A40" s="16" t="inlineStr">
        <is>
          <t>DCF (bear – bull)</t>
        </is>
      </c>
      <c r="E40" s="89" t="inlineStr">
        <is>
          <t>—</t>
        </is>
      </c>
      <c r="F40" s="89" t="inlineStr">
        <is>
          <t>—</t>
        </is>
      </c>
      <c r="G40" s="86">
        <f>Scenarios!F65</f>
        <v/>
      </c>
      <c r="H40" s="86">
        <f>Scenarios!H65</f>
        <v/>
      </c>
    </row>
    <row r="42" ht="28" customHeight="1">
      <c r="A42" s="90" t="inlineStr">
        <is>
          <t>Current price</t>
        </is>
      </c>
      <c r="C42" s="63" t="inlineStr">
        <is>
          <t>NASDAQ</t>
        </is>
      </c>
      <c r="D42" s="19" t="inlineStr">
        <is>
          <t>Ctrl+F "LULU" → Last Sale or Previous Close on NASDAQ quote page</t>
        </is>
      </c>
      <c r="E42" s="91" t="n">
        <v>100</v>
      </c>
    </row>
    <row r="43">
      <c r="A43" s="2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7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2026-09-06T22:20:36Z</dcterms:created>
  <dcterms:modified xmlns:dcterms="http://purl.org/dc/terms/" xmlns:xsi="http://www.w3.org/2001/XMLSchema-instance" xsi:type="dcterms:W3CDTF">2026-09-06T22:20:36Z</dcterms:modified>
</cp:coreProperties>
</file>
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28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28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28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28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AR % of revenue (NWC)</t>
        </is>
      </c>
      <c r="B14" s="17" t="inlineStr">
        <is>
          <t>AR 1.7% of sales = FY25 Accounts receivable, net 190,657 / 11,102,600. Own DCF NWC line; wholesale / marketplace mix.</t>
        </is>
      </c>
      <c r="C14" s="18" t="inlineStr">
        <is>
          <t>LULU FY2025 10-K: Accounts receivable, net</t>
        </is>
      </c>
      <c r="D14" s="19" t="inlineStr">
        <is>
          <t>Ctrl+F "Accounts receivable, net" (one hit on the BS) → 190,657. 190,657 / 11,102,600 = 1.7% of sales. This is the DCF AR / NWC line.</t>
        </is>
      </c>
      <c r="F14" s="20" t="n">
        <v>0.015</v>
      </c>
      <c r="G14" s="20" t="n">
        <v>0.017</v>
      </c>
      <c r="H14" s="20" t="n">
        <v>0.02</v>
      </c>
    </row>
    <row r="15" ht="28" customHeight="1">
      <c r="A15" s="16" t="inlineStr">
        <is>
          <t>Other NWC (ex-AR) % of Δrevenue</t>
        </is>
      </c>
      <c r="B15" s="17" t="inlineStr">
        <is>
          <t>5.8% of Δsales is other NWC (Inv + OCA − AP − accrued). AR is the 1.7% line above, not inside this residual. 1.7+5.8=7.5%.</t>
        </is>
      </c>
      <c r="C15" s="18" t="inlineStr">
        <is>
          <t>LULU BS/IS historical (10-K)</t>
        </is>
      </c>
      <c r="D15" s="19" t="inlineStr">
        <is>
          <t>Other NWC ex-AR. Ctrl+F "Inventories" → 1,700,753 | "Accounts payable" → 331,421 | "Accrued liabilities and other" → 662,982. 5.8% of Δsales; AR is the 1.7% line, not in this residual.</t>
        </is>
      </c>
      <c r="F15" s="20" t="n">
        <v>0.065</v>
      </c>
      <c r="G15" s="20" t="n">
        <v>0.058</v>
      </c>
      <c r="H15" s="20" t="n">
        <v>0.05</v>
      </c>
    </row>
    <row r="17">
      <c r="A17" s="14" t="inlineStr">
        <is>
          <t>5-year forecast paths (by scenario)</t>
        </is>
      </c>
    </row>
    <row r="18">
      <c r="A18" s="31" t="inlineStr">
        <is>
          <t xml:space="preserve">  Revenue – year 1</t>
        </is>
      </c>
      <c r="F18" s="32">
        <f>11102600*(1+F4)</f>
        <v/>
      </c>
      <c r="G18" s="32">
        <f>11102600*(1+G4)</f>
        <v/>
      </c>
      <c r="H18" s="32">
        <f>11102600*(1+H4)</f>
        <v/>
      </c>
    </row>
    <row r="19">
      <c r="A19" s="31" t="inlineStr">
        <is>
          <t xml:space="preserve">  Revenue – year 2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3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4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Revenue – year 5</t>
        </is>
      </c>
      <c r="F22" s="32">
        <f>F21*(1+F5)</f>
        <v/>
      </c>
      <c r="G22" s="32">
        <f>G21*(1+G5)</f>
        <v/>
      </c>
      <c r="H22" s="32">
        <f>H21*(1+H5)</f>
        <v/>
      </c>
    </row>
    <row r="23">
      <c r="A23" s="31" t="inlineStr">
        <is>
          <t xml:space="preserve">  Clean EBIT margin – year 1</t>
        </is>
      </c>
      <c r="F23" s="33">
        <f>F6+(F8-F6)*0/4</f>
        <v/>
      </c>
      <c r="G23" s="33">
        <f>G6+(G8-G6)*0/4</f>
        <v/>
      </c>
      <c r="H23" s="33">
        <f>H6+(H8-H6)*0/4</f>
        <v/>
      </c>
    </row>
    <row r="24">
      <c r="A24" s="31" t="inlineStr">
        <is>
          <t xml:space="preserve">  Clean EBIT margin – year 2</t>
        </is>
      </c>
      <c r="F24" s="33">
        <f>F6+(F8-F6)*1/4</f>
        <v/>
      </c>
      <c r="G24" s="33">
        <f>G6+(G8-G6)*1/4</f>
        <v/>
      </c>
      <c r="H24" s="33">
        <f>H6+(H8-H6)*1/4</f>
        <v/>
      </c>
    </row>
    <row r="25">
      <c r="A25" s="31" t="inlineStr">
        <is>
          <t xml:space="preserve">  Clean EBIT margin – year 3</t>
        </is>
      </c>
      <c r="F25" s="33">
        <f>F6+(F8-F6)*2/4</f>
        <v/>
      </c>
      <c r="G25" s="33">
        <f>G6+(G8-G6)*2/4</f>
        <v/>
      </c>
      <c r="H25" s="33">
        <f>H6+(H8-H6)*2/4</f>
        <v/>
      </c>
    </row>
    <row r="26">
      <c r="A26" s="31" t="inlineStr">
        <is>
          <t xml:space="preserve">  Clean EBIT margin – year 4</t>
        </is>
      </c>
      <c r="F26" s="33">
        <f>F6+(F8-F6)*3/4</f>
        <v/>
      </c>
      <c r="G26" s="33">
        <f>G6+(G8-G6)*3/4</f>
        <v/>
      </c>
      <c r="H26" s="33">
        <f>H6+(H8-H6)*3/4</f>
        <v/>
      </c>
    </row>
    <row r="27">
      <c r="A27" s="31" t="inlineStr">
        <is>
          <t xml:space="preserve">  Clean EBIT margin – year 5</t>
        </is>
      </c>
      <c r="F27" s="33">
        <f>F6+(F8-F6)*4/4</f>
        <v/>
      </c>
      <c r="G27" s="33">
        <f>G6+(G8-G6)*4/4</f>
        <v/>
      </c>
      <c r="H27" s="33">
        <f>H6+(H8-H6)*4/4</f>
        <v/>
      </c>
    </row>
    <row r="28">
      <c r="A28" s="31" t="inlineStr">
        <is>
          <t xml:space="preserve">  EBIT – year 1</t>
        </is>
      </c>
      <c r="F28" s="32">
        <f>F18*F23+F7</f>
        <v/>
      </c>
      <c r="G28" s="32">
        <f>G18*G23+G7</f>
        <v/>
      </c>
      <c r="H28" s="32">
        <f>H18*H23+H7</f>
        <v/>
      </c>
    </row>
    <row r="29">
      <c r="A29" s="31" t="inlineStr">
        <is>
          <t xml:space="preserve">  EBIT – year 2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3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4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EBIT – year 5</t>
        </is>
      </c>
      <c r="F32" s="32">
        <f>F22*F27</f>
        <v/>
      </c>
      <c r="G32" s="32">
        <f>G22*G27</f>
        <v/>
      </c>
      <c r="H32" s="32">
        <f>H22*H27</f>
        <v/>
      </c>
    </row>
    <row r="33">
      <c r="A33" s="31" t="inlineStr">
        <is>
          <t xml:space="preserve">  NOPAT – year 1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2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3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4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NOPAT – year 5</t>
        </is>
      </c>
      <c r="F37" s="32">
        <f>F32*(1-F11)</f>
        <v/>
      </c>
      <c r="G37" s="32">
        <f>G32*(1-G11)</f>
        <v/>
      </c>
      <c r="H37" s="32">
        <f>H32*(1-H11)</f>
        <v/>
      </c>
    </row>
    <row r="38">
      <c r="A38" s="31" t="inlineStr">
        <is>
          <t xml:space="preserve">  D&amp;A – year 1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2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3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4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D&amp;A – year 5</t>
        </is>
      </c>
      <c r="F42" s="32">
        <f>F22*F12</f>
        <v/>
      </c>
      <c r="G42" s="32">
        <f>G22*G12</f>
        <v/>
      </c>
      <c r="H42" s="32">
        <f>H22*H12</f>
        <v/>
      </c>
    </row>
    <row r="43">
      <c r="A43" s="31" t="inlineStr">
        <is>
          <t xml:space="preserve">  Capex – year 1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2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3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4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Capex – year 5</t>
        </is>
      </c>
      <c r="F47" s="32">
        <f>F22*F13</f>
        <v/>
      </c>
      <c r="G47" s="32">
        <f>G22*G13</f>
        <v/>
      </c>
      <c r="H47" s="32">
        <f>H22*H13</f>
        <v/>
      </c>
    </row>
    <row r="48">
      <c r="A48" s="31" t="inlineStr">
        <is>
          <t xml:space="preserve">  Accounts receivable – year 1</t>
        </is>
      </c>
      <c r="F48" s="32">
        <f>F18*F14</f>
        <v/>
      </c>
      <c r="G48" s="32">
        <f>G18*G14</f>
        <v/>
      </c>
      <c r="H48" s="32">
        <f>H18*H14</f>
        <v/>
      </c>
    </row>
    <row r="49">
      <c r="A49" s="31" t="inlineStr">
        <is>
          <t xml:space="preserve">  Accounts receivable – year 2</t>
        </is>
      </c>
      <c r="F49" s="32">
        <f>F19*F14</f>
        <v/>
      </c>
      <c r="G49" s="32">
        <f>G19*G14</f>
        <v/>
      </c>
      <c r="H49" s="32">
        <f>H19*H14</f>
        <v/>
      </c>
    </row>
    <row r="50">
      <c r="A50" s="31" t="inlineStr">
        <is>
          <t xml:space="preserve">  Accounts receivable – year 3</t>
        </is>
      </c>
      <c r="F50" s="32">
        <f>F20*F14</f>
        <v/>
      </c>
      <c r="G50" s="32">
        <f>G20*G14</f>
        <v/>
      </c>
      <c r="H50" s="32">
        <f>H20*H14</f>
        <v/>
      </c>
    </row>
    <row r="51">
      <c r="A51" s="31" t="inlineStr">
        <is>
          <t xml:space="preserve">  Accounts receivable – year 4</t>
        </is>
      </c>
      <c r="F51" s="32">
        <f>F21*F14</f>
        <v/>
      </c>
      <c r="G51" s="32">
        <f>G21*G14</f>
        <v/>
      </c>
      <c r="H51" s="32">
        <f>H21*H14</f>
        <v/>
      </c>
    </row>
    <row r="52">
      <c r="A52" s="31" t="inlineStr">
        <is>
          <t xml:space="preserve">  Accounts receivable – year 5</t>
        </is>
      </c>
      <c r="F52" s="32">
        <f>F22*F14</f>
        <v/>
      </c>
      <c r="G52" s="32">
        <f>G22*G14</f>
        <v/>
      </c>
      <c r="H52" s="32">
        <f>H22*H14</f>
        <v/>
      </c>
    </row>
    <row r="53">
      <c r="A53" s="31" t="inlineStr">
        <is>
          <t xml:space="preserve">  ΔAR – year 1</t>
        </is>
      </c>
      <c r="F53" s="32">
        <f>F48-190657</f>
        <v/>
      </c>
      <c r="G53" s="32">
        <f>G48-190657</f>
        <v/>
      </c>
      <c r="H53" s="32">
        <f>H48-190657</f>
        <v/>
      </c>
    </row>
    <row r="54">
      <c r="A54" s="31" t="inlineStr">
        <is>
          <t xml:space="preserve">  ΔAR – year 2</t>
        </is>
      </c>
      <c r="F54" s="32">
        <f>F49-F48</f>
        <v/>
      </c>
      <c r="G54" s="32">
        <f>G49-G48</f>
        <v/>
      </c>
      <c r="H54" s="32">
        <f>H49-H48</f>
        <v/>
      </c>
    </row>
    <row r="55">
      <c r="A55" s="31" t="inlineStr">
        <is>
          <t xml:space="preserve">  ΔAR – year 3</t>
        </is>
      </c>
      <c r="F55" s="32">
        <f>F50-F49</f>
        <v/>
      </c>
      <c r="G55" s="32">
        <f>G50-G49</f>
        <v/>
      </c>
      <c r="H55" s="32">
        <f>H50-H49</f>
        <v/>
      </c>
    </row>
    <row r="56">
      <c r="A56" s="31" t="inlineStr">
        <is>
          <t xml:space="preserve">  ΔAR – year 4</t>
        </is>
      </c>
      <c r="F56" s="32">
        <f>F51-F50</f>
        <v/>
      </c>
      <c r="G56" s="32">
        <f>G51-G50</f>
        <v/>
      </c>
      <c r="H56" s="32">
        <f>H51-H50</f>
        <v/>
      </c>
    </row>
    <row r="57">
      <c r="A57" s="31" t="inlineStr">
        <is>
          <t xml:space="preserve">  ΔAR – year 5</t>
        </is>
      </c>
      <c r="F57" s="32">
        <f>F52-F51</f>
        <v/>
      </c>
      <c r="G57" s="32">
        <f>G52-G51</f>
        <v/>
      </c>
      <c r="H57" s="32">
        <f>H52-H51</f>
        <v/>
      </c>
    </row>
    <row r="58">
      <c r="A58" s="31" t="inlineStr">
        <is>
          <t xml:space="preserve">  Other ΔNWC (ex-AR) – year 1</t>
        </is>
      </c>
      <c r="F58" s="32">
        <f>F15*(F18-11102600)</f>
        <v/>
      </c>
      <c r="G58" s="32">
        <f>G15*(G18-11102600)</f>
        <v/>
      </c>
      <c r="H58" s="32">
        <f>H15*(H18-11102600)</f>
        <v/>
      </c>
    </row>
    <row r="59">
      <c r="A59" s="31" t="inlineStr">
        <is>
          <t xml:space="preserve">  Other ΔNWC (ex-AR) – year 2</t>
        </is>
      </c>
      <c r="F59" s="32">
        <f>F15*(F19-F18)</f>
        <v/>
      </c>
      <c r="G59" s="32">
        <f>G15*(G19-G18)</f>
        <v/>
      </c>
      <c r="H59" s="32">
        <f>H15*(H19-H18)</f>
        <v/>
      </c>
    </row>
    <row r="60">
      <c r="A60" s="31" t="inlineStr">
        <is>
          <t xml:space="preserve">  Other ΔNWC (ex-AR) – year 3</t>
        </is>
      </c>
      <c r="F60" s="32">
        <f>F15*(F20-F19)</f>
        <v/>
      </c>
      <c r="G60" s="32">
        <f>G15*(G20-G19)</f>
        <v/>
      </c>
      <c r="H60" s="32">
        <f>H15*(H20-H19)</f>
        <v/>
      </c>
    </row>
    <row r="61">
      <c r="A61" s="31" t="inlineStr">
        <is>
          <t xml:space="preserve">  Other ΔNWC (ex-AR) – year 4</t>
        </is>
      </c>
      <c r="F61" s="32">
        <f>F15*(F21-F20)</f>
        <v/>
      </c>
      <c r="G61" s="32">
        <f>G15*(G21-G20)</f>
        <v/>
      </c>
      <c r="H61" s="32">
        <f>H15*(H21-H20)</f>
        <v/>
      </c>
    </row>
    <row r="62">
      <c r="A62" s="31" t="inlineStr">
        <is>
          <t xml:space="preserve">  Other ΔNWC (ex-AR) – year 5</t>
        </is>
      </c>
      <c r="F62" s="32">
        <f>F15*(F22-F21)</f>
        <v/>
      </c>
      <c r="G62" s="32">
        <f>G15*(G22-G21)</f>
        <v/>
      </c>
      <c r="H62" s="32">
        <f>H15*(H22-H21)</f>
        <v/>
      </c>
    </row>
    <row r="63">
      <c r="A63" s="31" t="inlineStr">
        <is>
          <t xml:space="preserve">  ΔNWC – year 1</t>
        </is>
      </c>
      <c r="F63" s="32">
        <f>F53+F58</f>
        <v/>
      </c>
      <c r="G63" s="32">
        <f>G53+G58</f>
        <v/>
      </c>
      <c r="H63" s="32">
        <f>H53+H58</f>
        <v/>
      </c>
    </row>
    <row r="64">
      <c r="A64" s="31" t="inlineStr">
        <is>
          <t xml:space="preserve">  ΔNWC – year 2</t>
        </is>
      </c>
      <c r="F64" s="32">
        <f>F54+F59</f>
        <v/>
      </c>
      <c r="G64" s="32">
        <f>G54+G59</f>
        <v/>
      </c>
      <c r="H64" s="32">
        <f>H54+H59</f>
        <v/>
      </c>
    </row>
    <row r="65">
      <c r="A65" s="31" t="inlineStr">
        <is>
          <t xml:space="preserve">  ΔNWC – year 3</t>
        </is>
      </c>
      <c r="F65" s="32">
        <f>F55+F60</f>
        <v/>
      </c>
      <c r="G65" s="32">
        <f>G55+G60</f>
        <v/>
      </c>
      <c r="H65" s="32">
        <f>H55+H60</f>
        <v/>
      </c>
    </row>
    <row r="66">
      <c r="A66" s="31" t="inlineStr">
        <is>
          <t xml:space="preserve">  ΔNWC – year 4</t>
        </is>
      </c>
      <c r="F66" s="32">
        <f>F56+F61</f>
        <v/>
      </c>
      <c r="G66" s="32">
        <f>G56+G61</f>
        <v/>
      </c>
      <c r="H66" s="32">
        <f>H56+H61</f>
        <v/>
      </c>
    </row>
    <row r="67">
      <c r="A67" s="31" t="inlineStr">
        <is>
          <t xml:space="preserve">  ΔNWC – year 5</t>
        </is>
      </c>
      <c r="F67" s="32">
        <f>F57+F62</f>
        <v/>
      </c>
      <c r="G67" s="32">
        <f>G57+G62</f>
        <v/>
      </c>
      <c r="H67" s="32">
        <f>H57+H62</f>
        <v/>
      </c>
    </row>
    <row r="68">
      <c r="A68" s="31" t="inlineStr">
        <is>
          <t xml:space="preserve">  Unlevered FCF – year 1</t>
        </is>
      </c>
      <c r="F68" s="32">
        <f>F33+F38-F43-F63</f>
        <v/>
      </c>
      <c r="G68" s="32">
        <f>G33+G38-G43-G63</f>
        <v/>
      </c>
      <c r="H68" s="32">
        <f>H33+H38-H43-H63</f>
        <v/>
      </c>
    </row>
    <row r="69">
      <c r="A69" s="31" t="inlineStr">
        <is>
          <t xml:space="preserve">  Unlevered FCF – year 2</t>
        </is>
      </c>
      <c r="F69" s="32">
        <f>F34+F39-F44-F64</f>
        <v/>
      </c>
      <c r="G69" s="32">
        <f>G34+G39-G44-G64</f>
        <v/>
      </c>
      <c r="H69" s="32">
        <f>H34+H39-H44-H64</f>
        <v/>
      </c>
    </row>
    <row r="70">
      <c r="A70" s="31" t="inlineStr">
        <is>
          <t xml:space="preserve">  Unlevered FCF – year 3</t>
        </is>
      </c>
      <c r="F70" s="32">
        <f>F35+F40-F45-F65</f>
        <v/>
      </c>
      <c r="G70" s="32">
        <f>G35+G40-G45-G65</f>
        <v/>
      </c>
      <c r="H70" s="32">
        <f>H35+H40-H45-H65</f>
        <v/>
      </c>
    </row>
    <row r="71">
      <c r="A71" s="31" t="inlineStr">
        <is>
          <t xml:space="preserve">  Unlevered FCF – year 4</t>
        </is>
      </c>
      <c r="F71" s="32">
        <f>F36+F41-F46-F66</f>
        <v/>
      </c>
      <c r="G71" s="32">
        <f>G36+G41-G46-G66</f>
        <v/>
      </c>
      <c r="H71" s="32">
        <f>H36+H41-H46-H66</f>
        <v/>
      </c>
    </row>
    <row r="72">
      <c r="A72" s="31" t="inlineStr">
        <is>
          <t xml:space="preserve">  Unlevered FCF – year 5</t>
        </is>
      </c>
      <c r="F72" s="32">
        <f>F37+F42-F47-F67</f>
        <v/>
      </c>
      <c r="G72" s="32">
        <f>G37+G42-G47-G67</f>
        <v/>
      </c>
      <c r="H72" s="32">
        <f>H37+H42-H47-H67</f>
        <v/>
      </c>
    </row>
    <row r="74">
      <c r="A74" s="22" t="inlineStr">
        <is>
          <t>Enterprise value (DCF)</t>
        </is>
      </c>
      <c r="F74" s="34">
        <f>NPV(F9,F68,F69,F70,F71,F72)+(F72*(1+F10)/(F9-F10))/(1+F9)^5</f>
        <v/>
      </c>
      <c r="G74" s="34">
        <f>NPV(G9,G68,G69,G70,G71,G72)+(G72*(1+G10)/(G9-G10))/(1+G9)^5</f>
        <v/>
      </c>
      <c r="H74" s="34">
        <f>NPV(H9,H68,H69,H70,H71,H72)+(H72*(1+H10)/(H9-H10))/(1+H9)^5</f>
        <v/>
      </c>
    </row>
    <row r="75">
      <c r="A75" s="35" t="inlineStr">
        <is>
          <t>Implied share price</t>
        </is>
      </c>
      <c r="F75" s="36">
        <f>(F74+1807202-0)/111380</f>
        <v/>
      </c>
      <c r="G75" s="37">
        <f>(G74+1807202-0)/111380</f>
        <v/>
      </c>
      <c r="H75" s="36">
        <f>(H74+1807202-0)/111380</f>
        <v/>
      </c>
    </row>
    <row r="76">
      <c r="A76" s="22" t="inlineStr">
        <is>
          <t>Upside / (downside) vs current</t>
        </is>
      </c>
      <c r="F76" s="38">
        <f>F75/100.0-1</f>
        <v/>
      </c>
      <c r="G76" s="38">
        <f>G75/100.0-1</f>
        <v/>
      </c>
      <c r="H76" s="38">
        <f>H75/100.0-1</f>
        <v/>
      </c>
    </row>
    <row r="78">
      <c r="A78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28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Scenarios!G18</f>
        <v/>
      </c>
      <c r="G5" s="48">
        <f>Scenarios!G19</f>
        <v/>
      </c>
      <c r="H5" s="48">
        <f>Scenarios!G20</f>
        <v/>
      </c>
      <c r="I5" s="48">
        <f>Scenarios!G21</f>
        <v/>
      </c>
      <c r="J5" s="48">
        <f>Scenarios!G22</f>
        <v/>
      </c>
      <c r="K5" s="49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Scenarios!G23</f>
        <v/>
      </c>
      <c r="G7" s="50">
        <f>Scenarios!G24</f>
        <v/>
      </c>
      <c r="H7" s="50">
        <f>Scenarios!G25</f>
        <v/>
      </c>
      <c r="I7" s="50">
        <f>Scenarios!G26</f>
        <v/>
      </c>
      <c r="J7" s="50">
        <f>Scenarios!G27</f>
        <v/>
      </c>
      <c r="K7" s="49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Scenarios!G28</f>
        <v/>
      </c>
      <c r="G9" s="34">
        <f>Scenarios!G29</f>
        <v/>
      </c>
      <c r="H9" s="34">
        <f>Scenarios!G30</f>
        <v/>
      </c>
      <c r="I9" s="34">
        <f>Scenarios!G31</f>
        <v/>
      </c>
      <c r="J9" s="34">
        <f>Scenarios!G32</f>
        <v/>
      </c>
      <c r="K9" s="52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-Scenarios!G28*Scenarios!$G$11</f>
        <v/>
      </c>
      <c r="G11" s="48">
        <f>-Scenarios!G29*Scenarios!$G$11</f>
        <v/>
      </c>
      <c r="H11" s="48">
        <f>-Scenarios!G30*Scenarios!$G$11</f>
        <v/>
      </c>
      <c r="I11" s="48">
        <f>-Scenarios!G31*Scenarios!$G$11</f>
        <v/>
      </c>
      <c r="J11" s="48">
        <f>-Scenarios!G32*Scenarios!$G$11</f>
        <v/>
      </c>
    </row>
    <row r="12">
      <c r="A12" s="22" t="inlineStr">
        <is>
          <t>NOPAT</t>
        </is>
      </c>
      <c r="F12" s="34">
        <f>Scenarios!G33</f>
        <v/>
      </c>
      <c r="G12" s="34">
        <f>Scenarios!G34</f>
        <v/>
      </c>
      <c r="H12" s="34">
        <f>Scenarios!G35</f>
        <v/>
      </c>
      <c r="I12" s="34">
        <f>Scenarios!G36</f>
        <v/>
      </c>
      <c r="J12" s="34">
        <f>Scenarios!G37</f>
        <v/>
      </c>
      <c r="K12" s="52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Scenarios!G38</f>
        <v/>
      </c>
      <c r="G14" s="48">
        <f>Scenarios!G39</f>
        <v/>
      </c>
      <c r="H14" s="48">
        <f>Scenarios!G40</f>
        <v/>
      </c>
      <c r="I14" s="48">
        <f>Scenarios!G41</f>
        <v/>
      </c>
      <c r="J14" s="48">
        <f>Scenarios!G42</f>
        <v/>
      </c>
      <c r="K14" s="49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-Scenarios!G43</f>
        <v/>
      </c>
      <c r="G16" s="48">
        <f>-Scenarios!G44</f>
        <v/>
      </c>
      <c r="H16" s="48">
        <f>-Scenarios!G45</f>
        <v/>
      </c>
      <c r="I16" s="48">
        <f>-Scenarios!G46</f>
        <v/>
      </c>
      <c r="J16" s="48">
        <f>-Scenarios!G47</f>
        <v/>
      </c>
      <c r="K16" s="49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 xml:space="preserve">  AR % of revenue</t>
        </is>
      </c>
      <c r="B17" s="17" t="inlineStr">
        <is>
          <t>AR 1.7% of sales = FY25 Accounts receivable, net 190,657 / 11,102,600. Own DCF NWC line; wholesale / marketplace mix.</t>
        </is>
      </c>
      <c r="C17" s="18" t="inlineStr">
        <is>
          <t>LULU FY2025 10-K: Accounts receivable, net</t>
        </is>
      </c>
      <c r="D17" s="19" t="inlineStr">
        <is>
          <t>Ctrl+F "Accounts receivable, net" (one hit on the BS) → 190,657. 190,657 / 11,102,600 = 1.7% of sales. This is the DCF AR / NWC line.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>Accounts receivable, net</t>
        </is>
      </c>
      <c r="B18" s="17" t="inlineStr">
        <is>
          <t>AR 1.7% of sales = FY25 Accounts receivable, net 190,657 / 11,102,600. Own DCF NWC line; wholesale / marketplace mix.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This is the DCF AR / NWC line.</t>
        </is>
      </c>
      <c r="E18" s="47" t="n">
        <v>190657</v>
      </c>
      <c r="F18" s="48">
        <f>Scenarios!G48</f>
        <v/>
      </c>
      <c r="G18" s="48">
        <f>Scenarios!G49</f>
        <v/>
      </c>
      <c r="H18" s="48">
        <f>Scenarios!G50</f>
        <v/>
      </c>
      <c r="I18" s="48">
        <f>Scenarios!G51</f>
        <v/>
      </c>
      <c r="J18" s="48">
        <f>Scenarios!G52</f>
        <v/>
      </c>
      <c r="K18" s="49">
        <f>IF(MAX(ABS(F18-Scenarios!$G$48),ABS(G18-Scenarios!$G$49),ABS(H18-Scenarios!$G$50),ABS(I18-Scenarios!$G$51),ABS(J18-Scenarios!$G$52))&lt;0.5,"OK","CHECK")</f>
        <v/>
      </c>
    </row>
    <row r="19">
      <c r="A19" s="16" t="inlineStr">
        <is>
          <t xml:space="preserve">  ΔAR (increase)/decrease — part of NWC</t>
        </is>
      </c>
      <c r="F19" s="48">
        <f>-Scenarios!G53</f>
        <v/>
      </c>
      <c r="G19" s="48">
        <f>-Scenarios!G54</f>
        <v/>
      </c>
      <c r="H19" s="48">
        <f>-Scenarios!G55</f>
        <v/>
      </c>
      <c r="I19" s="48">
        <f>-Scenarios!G56</f>
        <v/>
      </c>
      <c r="J19" s="48">
        <f>-Scenarios!G57</f>
        <v/>
      </c>
      <c r="K19" s="49">
        <f>IF(MAX(ABS(F19+Scenarios!$G$53),ABS(G19+Scenarios!$G$54),ABS(H19+Scenarios!$G$55),ABS(I19+Scenarios!$G$56),ABS(J19+Scenarios!$G$57))&lt;0.5,"OK","CHECK")</f>
        <v/>
      </c>
    </row>
    <row r="20" ht="28" customHeight="1">
      <c r="A20" s="16" t="inlineStr">
        <is>
          <t xml:space="preserve">  Other NWC (ex-AR) % of Δrevenue</t>
        </is>
      </c>
      <c r="B20" s="17" t="inlineStr">
        <is>
          <t>5.8% of Δsales is other NWC (Inv + OCA − AP − accrued). AR is the 1.7% line above, not inside this residual. 1.7+5.8=7.5%.</t>
        </is>
      </c>
      <c r="C20" s="18" t="inlineStr">
        <is>
          <t>LULU BS/IS historical (10-K)</t>
        </is>
      </c>
      <c r="D20" s="19" t="inlineStr">
        <is>
          <t>Other NWC ex-AR. Ctrl+F "Inventories" → 1,700,753 | "Accounts payable" → 331,421 | "Accrued liabilities and other" → 662,982. 5.8% of Δsales; AR is the 1.7% line, not in this residual.</t>
        </is>
      </c>
      <c r="F20" s="20">
        <f>Scenarios!$G$15</f>
        <v/>
      </c>
      <c r="G20" s="20">
        <f>Scenarios!$G$15</f>
        <v/>
      </c>
      <c r="H20" s="20">
        <f>Scenarios!$G$15</f>
        <v/>
      </c>
      <c r="I20" s="20">
        <f>Scenarios!$G$15</f>
        <v/>
      </c>
      <c r="J20" s="20">
        <f>Scenarios!$G$15</f>
        <v/>
      </c>
    </row>
    <row r="21">
      <c r="A21" s="16" t="inlineStr">
        <is>
          <t xml:space="preserve">  Other ΔNWC (ex-AR) (increase)/decrease</t>
        </is>
      </c>
      <c r="F21" s="48">
        <f>-Scenarios!G58</f>
        <v/>
      </c>
      <c r="G21" s="48">
        <f>-Scenarios!G59</f>
        <v/>
      </c>
      <c r="H21" s="48">
        <f>-Scenarios!G60</f>
        <v/>
      </c>
      <c r="I21" s="48">
        <f>-Scenarios!G61</f>
        <v/>
      </c>
      <c r="J21" s="48">
        <f>-Scenarios!G62</f>
        <v/>
      </c>
      <c r="K21" s="49">
        <f>IF(MAX(ABS(F21+Scenarios!$G$58),ABS(G21+Scenarios!$G$59),ABS(H21+Scenarios!$G$60),ABS(I21+Scenarios!$G$61),ABS(J21+Scenarios!$G$62))&lt;0.5,"OK","CHECK")</f>
        <v/>
      </c>
    </row>
    <row r="22">
      <c r="A22" s="16" t="inlineStr">
        <is>
          <t>Total (increase)/decrease in net working capital</t>
        </is>
      </c>
      <c r="F22" s="48">
        <f>-Scenarios!G63</f>
        <v/>
      </c>
      <c r="G22" s="48">
        <f>-Scenarios!G64</f>
        <v/>
      </c>
      <c r="H22" s="48">
        <f>-Scenarios!G65</f>
        <v/>
      </c>
      <c r="I22" s="48">
        <f>-Scenarios!G66</f>
        <v/>
      </c>
      <c r="J22" s="48">
        <f>-Scenarios!G67</f>
        <v/>
      </c>
      <c r="K22" s="49">
        <f>IF(MAX(ABS(F22+Scenarios!$G$63),ABS(G22+Scenarios!$G$64),ABS(H22+Scenarios!$G$65),ABS(I22+Scenarios!$G$66),ABS(J22+Scenarios!$G$67))&lt;0.5,"OK","CHECK")</f>
        <v/>
      </c>
    </row>
    <row r="23">
      <c r="A23" s="39" t="inlineStr">
        <is>
          <t xml:space="preserve">  memo: ΔNWC = ΔAR + other ΔNWC. AR is 1.7% of sales (own line); other is 5.8% of Δsales.</t>
        </is>
      </c>
    </row>
    <row r="24">
      <c r="A24" s="22" t="inlineStr">
        <is>
          <t>Unlevered free cash flow</t>
        </is>
      </c>
      <c r="F24" s="54">
        <f>Scenarios!G68</f>
        <v/>
      </c>
      <c r="G24" s="54">
        <f>Scenarios!G69</f>
        <v/>
      </c>
      <c r="H24" s="54">
        <f>Scenarios!G70</f>
        <v/>
      </c>
      <c r="I24" s="54">
        <f>Scenarios!G71</f>
        <v/>
      </c>
      <c r="J24" s="54">
        <f>Scenarios!G72</f>
        <v/>
      </c>
      <c r="K24" s="52">
        <f>IF(MAX(ABS(F24-Scenarios!$G$68),ABS(G24-Scenarios!$G$69),ABS(H24-Scenarios!$G$70),ABS(I24-Scenarios!$G$71),ABS(J24-Scenarios!$G$72))&lt;0.5,"OK","CHECK")</f>
        <v/>
      </c>
    </row>
    <row r="25">
      <c r="A25" s="16" t="inlineStr">
        <is>
          <t>Discount period (years)</t>
        </is>
      </c>
      <c r="F25" s="55" t="n">
        <v>1</v>
      </c>
      <c r="G25" s="55" t="n">
        <v>2</v>
      </c>
      <c r="H25" s="55" t="n">
        <v>3</v>
      </c>
      <c r="I25" s="55" t="n">
        <v>4</v>
      </c>
      <c r="J25" s="55" t="n">
        <v>5</v>
      </c>
    </row>
    <row r="26">
      <c r="A26" s="16" t="inlineStr">
        <is>
          <t>Discount factor @ WACC</t>
        </is>
      </c>
      <c r="F26" s="56">
        <f>1/(1+Scenarios!$G$9)^F25</f>
        <v/>
      </c>
      <c r="G26" s="56">
        <f>1/(1+Scenarios!$G$9)^G25</f>
        <v/>
      </c>
      <c r="H26" s="56">
        <f>1/(1+Scenarios!$G$9)^H25</f>
        <v/>
      </c>
      <c r="I26" s="56">
        <f>1/(1+Scenarios!$G$9)^I25</f>
        <v/>
      </c>
      <c r="J26" s="56">
        <f>1/(1+Scenarios!$G$9)^J25</f>
        <v/>
      </c>
    </row>
    <row r="27">
      <c r="A27" s="22" t="inlineStr">
        <is>
          <t>PV of unlevered FCF</t>
        </is>
      </c>
      <c r="F27" s="34">
        <f>F24*F26</f>
        <v/>
      </c>
      <c r="G27" s="34">
        <f>G24*G26</f>
        <v/>
      </c>
      <c r="H27" s="34">
        <f>H24*H26</f>
        <v/>
      </c>
      <c r="I27" s="34">
        <f>I24*I26</f>
        <v/>
      </c>
      <c r="J27" s="34">
        <f>J24*J26</f>
        <v/>
      </c>
    </row>
    <row r="29">
      <c r="A29" s="15" t="inlineStr">
        <is>
          <t>Scenarios linkage summary (column K should all read OK)</t>
        </is>
      </c>
      <c r="K29" s="57">
        <f>IF(COUNTIF(K5:K24,"CHECK")=0,"ALL OK","REVIEW")</f>
        <v/>
      </c>
    </row>
    <row r="30">
      <c r="A30" s="58" t="inlineStr">
        <is>
          <t>VALUATION — GORDON GROWTH (PERPETUITY) METHOD</t>
        </is>
      </c>
      <c r="B30" s="13" t="n"/>
      <c r="C30" s="13" t="n"/>
    </row>
    <row r="31">
      <c r="A31" s="22" t="inlineStr">
        <is>
          <t>Sum of PV of explicit FCF (FY26–FY30)</t>
        </is>
      </c>
      <c r="E31" s="59">
        <f>SUM(F27:J27)</f>
        <v/>
      </c>
    </row>
    <row r="32" ht="28" customHeight="1">
      <c r="A32" s="16" t="inlineStr">
        <is>
          <t>Terminal growth rate (g)</t>
        </is>
      </c>
      <c r="B32" s="17" t="inlineStr">
        <is>
          <t>2.25% terminal g sits next to FRED GDPC1 Q2/Q2 real GDP ≈ 2.1% (24,269.613 / 23,770.976 − 1).</t>
        </is>
      </c>
      <c r="C32" s="18" t="inlineStr">
        <is>
          <t>FRED: Real GDP (GDPC1)</t>
        </is>
      </c>
      <c r="D32" s="19" t="inlineStr">
        <is>
          <t>Ctrl+F "Q2 2026" → 24,269.613 and "Q2 2025" → 23,770.976. YoY = 2.1%. Model terminal g 2.25%.</t>
        </is>
      </c>
      <c r="E32" s="50">
        <f>Scenarios!$G$10</f>
        <v/>
      </c>
    </row>
    <row r="33">
      <c r="A33" s="22" t="inlineStr">
        <is>
          <t>Terminal EBITDA (FY2030E EBIT + D&amp;A)</t>
        </is>
      </c>
      <c r="E33" s="34">
        <f>J9+J14</f>
        <v/>
      </c>
    </row>
    <row r="34">
      <c r="A34" s="16" t="inlineStr">
        <is>
          <t>Terminal value = FCF₅×(1+g)/(WACC−g)</t>
        </is>
      </c>
      <c r="E34" s="48">
        <f>J24*(1+Scenarios!$G$10)/(Scenarios!$G$9-Scenarios!$G$10)</f>
        <v/>
      </c>
    </row>
    <row r="35">
      <c r="A35" s="16" t="inlineStr">
        <is>
          <t xml:space="preserve">  Implied exit EV/EBITDA (Gordon Growth)</t>
        </is>
      </c>
      <c r="E35" s="60">
        <f>E34/E33</f>
        <v/>
      </c>
    </row>
    <row r="36">
      <c r="A36" s="22" t="inlineStr">
        <is>
          <t>PV of terminal value</t>
        </is>
      </c>
      <c r="E36" s="59">
        <f>E34/(1+Scenarios!$G$9)^J25</f>
        <v/>
      </c>
    </row>
    <row r="37">
      <c r="A37" s="22" t="inlineStr">
        <is>
          <t>Enterprise value</t>
        </is>
      </c>
      <c r="E37" s="34">
        <f>E31+E36</f>
        <v/>
      </c>
    </row>
    <row r="38" ht="28" customHeight="1">
      <c r="A38" s="16" t="inlineStr">
        <is>
          <t>Plus: cash &amp; equivalents (FY2025)</t>
        </is>
      </c>
      <c r="C38" s="61" t="inlineStr">
        <is>
          <t>10-K</t>
        </is>
      </c>
      <c r="D38" s="19" t="inlineStr">
        <is>
          <t>Ctrl+F "Cash and cash equivalents" → 1,807,202 ($000) FY2025</t>
        </is>
      </c>
      <c r="E38" s="47" t="n">
        <v>1807202</v>
      </c>
    </row>
    <row r="39" ht="28" customHeight="1">
      <c r="A39" s="16" t="inlineStr">
        <is>
          <t>Less: total debt</t>
        </is>
      </c>
      <c r="C39" s="61" t="inlineStr">
        <is>
          <t>10-K</t>
        </is>
      </c>
      <c r="D39" s="19" t="inlineStr">
        <is>
          <t>Ctrl+F "no borrowings were outstanding under this facility" → no funded term debt</t>
        </is>
      </c>
      <c r="E39" s="47" t="n">
        <v>0</v>
      </c>
    </row>
    <row r="40">
      <c r="A40" s="22" t="inlineStr">
        <is>
          <t>Equity value</t>
        </is>
      </c>
      <c r="E40" s="34">
        <f>E37+E38+E39</f>
        <v/>
      </c>
    </row>
    <row r="41" ht="28" customHeight="1">
      <c r="A41" s="16" t="inlineStr">
        <is>
          <t>Diluted shares outstanding (000)</t>
        </is>
      </c>
      <c r="C41" s="61" t="inlineStr">
        <is>
          <t>10-K</t>
        </is>
      </c>
      <c r="D41" s="19" t="inlineStr">
        <is>
          <t>Ctrl+F "Diluted weighted-average number of shares outstanding" → 119,068 (000)</t>
        </is>
      </c>
      <c r="E41" s="47" t="n">
        <v>111380</v>
      </c>
    </row>
    <row r="42">
      <c r="A42" s="22" t="inlineStr">
        <is>
          <t>Implied value per share</t>
        </is>
      </c>
      <c r="E42" s="62">
        <f>E40/E41</f>
        <v/>
      </c>
      <c r="K42" s="52">
        <f>IF(ABS(E42-Scenarios!$G$75)&lt;0.05,"OK","CHECK")</f>
        <v/>
      </c>
    </row>
    <row r="43" ht="28" customHeight="1">
      <c r="A43" s="16" t="inlineStr">
        <is>
          <t>Current share price</t>
        </is>
      </c>
      <c r="C43" s="61" t="inlineStr">
        <is>
          <t>NASDAQ</t>
        </is>
      </c>
      <c r="D43" s="19" t="inlineStr">
        <is>
          <t>Ctrl+F "LULU" → Last Sale or Previous Close on NASDAQ quote page</t>
        </is>
      </c>
      <c r="E43" s="63" t="n">
        <v>100</v>
      </c>
    </row>
    <row r="44">
      <c r="A44" s="22" t="inlineStr">
        <is>
          <t>Implied upside / (downside)</t>
        </is>
      </c>
      <c r="E44" s="64">
        <f>E42/E43-1</f>
        <v/>
      </c>
    </row>
    <row r="45">
      <c r="A45" s="16" t="inlineStr">
        <is>
          <t xml:space="preserve">  memo: % of EV from terminal value</t>
        </is>
      </c>
      <c r="E45" s="50">
        <f>E36/E37</f>
        <v/>
      </c>
    </row>
    <row r="47">
      <c r="A47" s="58" t="inlineStr">
        <is>
          <t>CROSS-CHECK — EXIT MULTIPLE METHOD</t>
        </is>
      </c>
      <c r="B47" s="13" t="n"/>
      <c r="C47" s="13" t="n"/>
    </row>
    <row r="48">
      <c r="A48" s="15" t="inlineStr">
        <is>
          <t>Exit multiple selection (see Comps tab for peer build)</t>
        </is>
      </c>
    </row>
    <row r="49" ht="28" customHeight="1">
      <c r="A49" s="16" t="inlineStr">
        <is>
          <t>Selected exit EV/EBITDA multiple (FY2030E)</t>
        </is>
      </c>
      <c r="B49" s="17" t="inlineStr">
        <is>
          <t>8.0x FY2030E exit EV/EBITDA; mid-point of terminal football field (6.5–9.5x); ~1 turn above Gordon-implied ~7x.</t>
        </is>
      </c>
      <c r="C49" s="18" t="inlineStr">
        <is>
          <t>StockAnalysis: LULU EV/EBITDA</t>
        </is>
      </c>
      <c r="D49" s="19" t="inlineStr">
        <is>
          <t>Ctrl+F "EV / EBITDA" → LULU ~4.99x on page; model terminal exit 8.0x (assumption)</t>
        </is>
      </c>
      <c r="E49" s="65" t="n">
        <v>8</v>
      </c>
      <c r="M49" s="61" t="inlineStr">
        <is>
          <t>Comps: Exit Multiple Build</t>
        </is>
      </c>
    </row>
    <row r="50">
      <c r="A50" s="16" t="inlineStr">
        <is>
          <t>Terminal value = Terminal EBITDA × exit multiple</t>
        </is>
      </c>
      <c r="E50" s="48">
        <f>E33*E49</f>
        <v/>
      </c>
    </row>
    <row r="51">
      <c r="A51" s="16" t="inlineStr">
        <is>
          <t>PV of terminal value</t>
        </is>
      </c>
      <c r="E51" s="48">
        <f>E50/(1+Scenarios!$G$9)^J25</f>
        <v/>
      </c>
    </row>
    <row r="52">
      <c r="A52" s="22" t="inlineStr">
        <is>
          <t>Enterprise value (exit method)</t>
        </is>
      </c>
      <c r="E52" s="34">
        <f>E31+E51</f>
        <v/>
      </c>
    </row>
    <row r="53">
      <c r="A53" s="22" t="inlineStr">
        <is>
          <t>Implied value per share (exit method)</t>
        </is>
      </c>
      <c r="E53" s="66">
        <f>(E52+E38+E39)/E41</f>
        <v/>
      </c>
    </row>
    <row r="55">
      <c r="A55" s="58" t="inlineStr">
        <is>
          <t>TERMINAL VALUE RECONCILIATION (GORDON vs EXIT MULTIPLE)</t>
        </is>
      </c>
      <c r="B55" s="13" t="n"/>
      <c r="C55" s="13" t="n"/>
      <c r="D55" s="13" t="n"/>
    </row>
    <row r="56">
      <c r="A56" s="67" t="inlineStr"/>
      <c r="B56" s="68" t="inlineStr">
        <is>
          <t>Gordon Growth</t>
        </is>
      </c>
      <c r="C56" s="68" t="inlineStr">
        <is>
          <t>Exit Multiple</t>
        </is>
      </c>
      <c r="D56" s="68" t="inlineStr">
        <is>
          <t>Variance</t>
        </is>
      </c>
    </row>
    <row r="57">
      <c r="A57" s="22" t="inlineStr">
        <is>
          <t>Terminal value ($)</t>
        </is>
      </c>
      <c r="B57" s="59">
        <f>E34</f>
        <v/>
      </c>
      <c r="C57" s="59">
        <f>E50</f>
        <v/>
      </c>
      <c r="D57" s="59">
        <f>B57-C57</f>
        <v/>
      </c>
    </row>
    <row r="58">
      <c r="A58" s="22" t="inlineStr">
        <is>
          <t>Exit EV/EBITDA (implied vs selected)</t>
        </is>
      </c>
      <c r="B58" s="69">
        <f>E35</f>
        <v/>
      </c>
      <c r="C58" s="69">
        <f>E49</f>
        <v/>
      </c>
      <c r="D58" s="69">
        <f>B58-C58</f>
        <v/>
      </c>
    </row>
    <row r="59">
      <c r="A59" s="16" t="inlineStr">
        <is>
          <t>Terminal value variance (%)</t>
        </is>
      </c>
      <c r="B59" s="50" t="inlineStr"/>
      <c r="C59" s="50" t="inlineStr"/>
      <c r="D59" s="50">
        <f>(B57-C57)/B57</f>
        <v/>
      </c>
    </row>
    <row r="60">
      <c r="A60" s="22" t="inlineStr">
        <is>
          <t>Implied share price</t>
        </is>
      </c>
      <c r="B60" s="70">
        <f>E42</f>
        <v/>
      </c>
      <c r="C60" s="70">
        <f>E53</f>
        <v/>
      </c>
      <c r="D60" s="70">
        <f>B60-C60</f>
        <v/>
      </c>
    </row>
    <row r="61">
      <c r="A61" s="71" t="inlineStr">
        <is>
          <t>Sanity check: multiples within ±1.5 turns?</t>
        </is>
      </c>
      <c r="B61" s="72">
        <f>IF(ABS(D58)&lt;=1.5,"PASS","REVIEW")</f>
        <v/>
      </c>
      <c r="C61" s="73">
        <f>TEXT(D58,"0.0")&amp;"x spread vs 8.0x exit multiple"</f>
        <v/>
      </c>
      <c r="D61" s="39" t="inlineStr">
        <is>
          <t>Gordon implied should bracket exit assumption</t>
        </is>
      </c>
    </row>
    <row r="64">
      <c r="A64" s="58" t="inlineStr">
        <is>
          <t>SENSITIVITY — IMPLIED SHARE PRICE (WACC vs terminal growth)</t>
        </is>
      </c>
      <c r="B64" s="13" t="n"/>
      <c r="C64" s="13" t="n"/>
      <c r="D64" s="13" t="n"/>
      <c r="E64" s="13" t="n"/>
      <c r="F64" s="13" t="n"/>
      <c r="G64" s="13" t="n"/>
      <c r="H64" s="13" t="n"/>
    </row>
    <row r="65" ht="28" customHeight="1">
      <c r="A65" s="74" t="inlineStr">
        <is>
          <t>WACC \ g</t>
        </is>
      </c>
      <c r="B65" s="17" t="inlineStr">
        <is>
          <t>Terminal-g axis 1.5–3.0% brackets 2.25% base; bounded by long-run real GDP and inflation benchmarks.</t>
        </is>
      </c>
      <c r="C65" s="18" t="inlineStr">
        <is>
          <t>FRED: Real GDP (GDPC1)</t>
        </is>
      </c>
      <c r="D65" s="19" t="inlineStr">
        <is>
          <t>Ctrl+F "GDPC1" → bounds terminal-g sensitivity grid 1.5%–3.0%</t>
        </is>
      </c>
      <c r="F65" s="75" t="n">
        <v>0.015</v>
      </c>
      <c r="G65" s="75" t="n">
        <v>0.02</v>
      </c>
      <c r="H65" s="75" t="n">
        <v>0.0225</v>
      </c>
      <c r="I65" s="75" t="n">
        <v>0.025</v>
      </c>
      <c r="J65" s="75" t="n">
        <v>0.03</v>
      </c>
      <c r="L65" s="61" t="inlineStr">
        <is>
          <t>Scenarios: terminal g</t>
        </is>
      </c>
    </row>
    <row r="66" ht="28" customHeight="1">
      <c r="A66" s="75" t="n">
        <v>0.095</v>
      </c>
      <c r="C66" s="61" t="inlineStr">
        <is>
          <t>Damodaran: Historical Implied ERP</t>
        </is>
      </c>
      <c r="D66" s="19" t="inlineStr">
        <is>
          <t>Ctrl+F "4.23%" (2025 implied ERP). Sensitivity WACC axis brackets the 10.5% base.</t>
        </is>
      </c>
      <c r="F66" s="76">
        <f>(NPV(0.095,F24:J24)+(J24*(1+0.015)/(0.095-0.015))/(1+0.095)^5+E38+E39)/E41</f>
        <v/>
      </c>
      <c r="G66" s="76">
        <f>(NPV(0.095,F24:J24)+(J24*(1+0.02)/(0.095-0.02))/(1+0.095)^5+E38+E39)/E41</f>
        <v/>
      </c>
      <c r="H66" s="76">
        <f>(NPV(0.095,F24:J24)+(J24*(1+0.0225)/(0.095-0.0225))/(1+0.095)^5+E38+E39)/E41</f>
        <v/>
      </c>
      <c r="I66" s="76">
        <f>(NPV(0.095,F24:J24)+(J24*(1+0.025)/(0.095-0.025))/(1+0.095)^5+E38+E39)/E41</f>
        <v/>
      </c>
      <c r="J66" s="76">
        <f>(NPV(0.095,F24:J24)+(J24*(1+0.03)/(0.095-0.03))/(1+0.095)^5+E38+E39)/E41</f>
        <v/>
      </c>
      <c r="L66" s="61" t="inlineStr">
        <is>
          <t>WACC tab</t>
        </is>
      </c>
    </row>
    <row r="67" ht="28" customHeight="1">
      <c r="A67" s="75" t="n">
        <v>0.1</v>
      </c>
      <c r="D67" s="19" t="inlineStr">
        <is>
          <t>Ctrl+F "4.23%" (2025 implied ERP). Sensitivity WACC axis brackets the 10.5% base.</t>
        </is>
      </c>
      <c r="F67" s="76">
        <f>(NPV(0.1,F24:J24)+(J24*(1+0.015)/(0.1-0.015))/(1+0.1)^5+E38+E39)/E41</f>
        <v/>
      </c>
      <c r="G67" s="76">
        <f>(NPV(0.1,F24:J24)+(J24*(1+0.02)/(0.1-0.02))/(1+0.1)^5+E38+E39)/E41</f>
        <v/>
      </c>
      <c r="H67" s="76">
        <f>(NPV(0.1,F24:J24)+(J24*(1+0.0225)/(0.1-0.0225))/(1+0.1)^5+E38+E39)/E41</f>
        <v/>
      </c>
      <c r="I67" s="76">
        <f>(NPV(0.1,F24:J24)+(J24*(1+0.025)/(0.1-0.025))/(1+0.1)^5+E38+E39)/E41</f>
        <v/>
      </c>
      <c r="J67" s="76">
        <f>(NPV(0.1,F24:J24)+(J24*(1+0.03)/(0.1-0.03))/(1+0.1)^5+E38+E39)/E41</f>
        <v/>
      </c>
      <c r="L67" s="61" t="inlineStr">
        <is>
          <t>WACC tab</t>
        </is>
      </c>
    </row>
    <row r="68" ht="28" customHeight="1">
      <c r="A68" s="75" t="n">
        <v>0.105</v>
      </c>
      <c r="D68" s="19" t="inlineStr">
        <is>
          <t>Ctrl+F "4.23%" (2025 implied ERP). Sensitivity WACC axis brackets the 10.5% base.</t>
        </is>
      </c>
      <c r="F68" s="76">
        <f>(NPV(0.105,F24:J24)+(J24*(1+0.015)/(0.105-0.015))/(1+0.105)^5+E38+E39)/E41</f>
        <v/>
      </c>
      <c r="G68" s="76">
        <f>(NPV(0.105,F24:J24)+(J24*(1+0.02)/(0.105-0.02))/(1+0.105)^5+E38+E39)/E41</f>
        <v/>
      </c>
      <c r="H68" s="77">
        <f>(NPV(0.105,F24:J24)+(J24*(1+0.0225)/(0.105-0.0225))/(1+0.105)^5+E38+E39)/E41</f>
        <v/>
      </c>
      <c r="I68" s="76">
        <f>(NPV(0.105,F24:J24)+(J24*(1+0.025)/(0.105-0.025))/(1+0.105)^5+E38+E39)/E41</f>
        <v/>
      </c>
      <c r="J68" s="76">
        <f>(NPV(0.105,F24:J24)+(J24*(1+0.03)/(0.105-0.03))/(1+0.105)^5+E38+E39)/E41</f>
        <v/>
      </c>
      <c r="L68" s="61" t="inlineStr">
        <is>
          <t>WACC tab</t>
        </is>
      </c>
    </row>
    <row r="69" ht="28" customHeight="1">
      <c r="A69" s="75" t="n">
        <v>0.11</v>
      </c>
      <c r="D69" s="19" t="inlineStr">
        <is>
          <t>Ctrl+F "4.23%" (2025 implied ERP). Sensitivity WACC axis brackets the 10.5% base.</t>
        </is>
      </c>
      <c r="F69" s="76">
        <f>(NPV(0.11,F24:J24)+(J24*(1+0.015)/(0.11-0.015))/(1+0.11)^5+E38+E39)/E41</f>
        <v/>
      </c>
      <c r="G69" s="76">
        <f>(NPV(0.11,F24:J24)+(J24*(1+0.02)/(0.11-0.02))/(1+0.11)^5+E38+E39)/E41</f>
        <v/>
      </c>
      <c r="H69" s="76">
        <f>(NPV(0.11,F24:J24)+(J24*(1+0.0225)/(0.11-0.0225))/(1+0.11)^5+E38+E39)/E41</f>
        <v/>
      </c>
      <c r="I69" s="76">
        <f>(NPV(0.11,F24:J24)+(J24*(1+0.025)/(0.11-0.025))/(1+0.11)^5+E38+E39)/E41</f>
        <v/>
      </c>
      <c r="J69" s="76">
        <f>(NPV(0.11,F24:J24)+(J24*(1+0.03)/(0.11-0.03))/(1+0.11)^5+E38+E39)/E41</f>
        <v/>
      </c>
      <c r="L69" s="61" t="inlineStr">
        <is>
          <t>WACC tab</t>
        </is>
      </c>
    </row>
    <row r="70" ht="28" customHeight="1">
      <c r="A70" s="75" t="n">
        <v>0.115</v>
      </c>
      <c r="D70" s="19" t="inlineStr">
        <is>
          <t>Ctrl+F "4.23%" (2025 implied ERP). Sensitivity WACC axis brackets the 10.5% base.</t>
        </is>
      </c>
      <c r="F70" s="76">
        <f>(NPV(0.115,F24:J24)+(J24*(1+0.015)/(0.115-0.015))/(1+0.115)^5+E38+E39)/E41</f>
        <v/>
      </c>
      <c r="G70" s="76">
        <f>(NPV(0.115,F24:J24)+(J24*(1+0.02)/(0.115-0.02))/(1+0.115)^5+E38+E39)/E41</f>
        <v/>
      </c>
      <c r="H70" s="76">
        <f>(NPV(0.115,F24:J24)+(J24*(1+0.0225)/(0.115-0.0225))/(1+0.115)^5+E38+E39)/E41</f>
        <v/>
      </c>
      <c r="I70" s="76">
        <f>(NPV(0.115,F24:J24)+(J24*(1+0.025)/(0.115-0.025))/(1+0.115)^5+E38+E39)/E41</f>
        <v/>
      </c>
      <c r="J70" s="76">
        <f>(NPV(0.115,F24:J24)+(J24*(1+0.03)/(0.115-0.03))/(1+0.115)^5+E38+E39)/E41</f>
        <v/>
      </c>
      <c r="L70" s="61" t="inlineStr">
        <is>
          <t>WACC tab</t>
        </is>
      </c>
    </row>
    <row r="71" ht="28" customHeight="1">
      <c r="B71" s="17" t="inlineStr">
        <is>
          <t>Red WACC and g grid values bracket base case ±100bps discount rate and ±75bps terminal growth for sensitivity.</t>
        </is>
      </c>
      <c r="C71" s="18" t="inlineStr">
        <is>
          <t>Scenarios: WACC &amp; terminal g</t>
        </is>
      </c>
      <c r="D71" s="19" t="inlineStr">
        <is>
          <t>Scenarios tab → Ctrl+F "WACC" and "Terminal growth" rows (base-case inputs)</t>
        </is>
      </c>
      <c r="L71" s="61" t="inlineStr">
        <is>
          <t>FRED: Real GDP (GDPC1)</t>
        </is>
      </c>
      <c r="M71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E18" r:id="rId13"/>
    <hyperlink xmlns:r="http://schemas.openxmlformats.org/officeDocument/2006/relationships" ref="C20" r:id="rId14"/>
    <hyperlink xmlns:r="http://schemas.openxmlformats.org/officeDocument/2006/relationships" ref="C32" r:id="rId15"/>
    <hyperlink xmlns:r="http://schemas.openxmlformats.org/officeDocument/2006/relationships" ref="C38" r:id="rId16"/>
    <hyperlink xmlns:r="http://schemas.openxmlformats.org/officeDocument/2006/relationships" ref="E38" r:id="rId17"/>
    <hyperlink xmlns:r="http://schemas.openxmlformats.org/officeDocument/2006/relationships" ref="C39" r:id="rId18"/>
    <hyperlink xmlns:r="http://schemas.openxmlformats.org/officeDocument/2006/relationships" ref="E39" r:id="rId19"/>
    <hyperlink xmlns:r="http://schemas.openxmlformats.org/officeDocument/2006/relationships" ref="C41" r:id="rId20"/>
    <hyperlink xmlns:r="http://schemas.openxmlformats.org/officeDocument/2006/relationships" ref="E41" r:id="rId21"/>
    <hyperlink xmlns:r="http://schemas.openxmlformats.org/officeDocument/2006/relationships" ref="C43" r:id="rId22"/>
    <hyperlink xmlns:r="http://schemas.openxmlformats.org/officeDocument/2006/relationships" ref="E43" r:id="rId23"/>
    <hyperlink xmlns:r="http://schemas.openxmlformats.org/officeDocument/2006/relationships" ref="C49" r:id="rId24"/>
    <hyperlink ref="M49" location="'Comps'!A26"/>
    <hyperlink xmlns:r="http://schemas.openxmlformats.org/officeDocument/2006/relationships" ref="C65" r:id="rId25"/>
    <hyperlink ref="L65" location="'Scenarios'!G10"/>
    <hyperlink xmlns:r="http://schemas.openxmlformats.org/officeDocument/2006/relationships" ref="C66" r:id="rId26"/>
    <hyperlink ref="L66" location="'WACC'!E16"/>
    <hyperlink ref="L67" location="'WACC'!E16"/>
    <hyperlink ref="L68" location="'WACC'!E16"/>
    <hyperlink ref="L69" location="'WACC'!E16"/>
    <hyperlink ref="L70" location="'WACC'!E16"/>
    <hyperlink ref="C71" location="'Scenarios'!G9"/>
    <hyperlink xmlns:r="http://schemas.openxmlformats.org/officeDocument/2006/relationships" ref="L71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DCF!E33</f>
        <v/>
      </c>
    </row>
    <row r="7" ht="28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28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28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28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28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DCF!E35</f>
        <v/>
      </c>
    </row>
    <row r="26">
      <c r="A26" s="71" t="inlineStr">
        <is>
          <t>Selected exit multiple (base case)</t>
        </is>
      </c>
      <c r="E26" s="69">
        <f>DCF!E49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28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DCF!E49</f>
        <v/>
      </c>
      <c r="G38" s="86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Scenarios!F75</f>
        <v/>
      </c>
      <c r="H40" s="84">
        <f>Scenarios!H75</f>
        <v/>
      </c>
    </row>
    <row r="42" ht="28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3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9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2026-09-06T21:57:56Z</dcterms:created>
  <dcterms:modified xmlns:dcterms="http://purl.org/dc/terms/" xmlns:xsi="http://www.w3.org/2001/XMLSchema-instance" xsi:type="dcterms:W3CDTF">2026-09-06T21:57:56Z</dcterms:modified>
</cp:coreProperties>
</file>
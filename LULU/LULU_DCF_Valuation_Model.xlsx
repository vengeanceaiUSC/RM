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36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36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36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36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36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36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54" customHeight="1">
      <c r="A13" s="16" t="inlineStr">
        <is>
          <t>Capex % of revenue</t>
        </is>
      </c>
      <c r="B13" s="19" t="inlineStr">
        <is>
          <t>7.0% = $735M ÷ the $10.4B FY26 sales year, not ÷ FY25 $11.1B (that would be 6.6%). $10B year + higher spend = the % spike.
Also: FY26 sales are the guided $10.35–$10.50B year (~$10.4B). FY25 was $11.1B. Same capex math must use the $10B denominator.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Ctrl+F "680,802" → FY25 capex $680.8M. Ctrl+F "11,102,600" → FY25 sales $11.1B. 680.8 / 11,102.6 = 6.1%. Ctrl+F "$725.0 million and $745.0 million" → FY26 capex mid $735M. Do not divide $735M by FY25 $11.1B (6.6%). FY26 is a $10B sales year: $735M / $10.425B = 7.0%. Then fade 6.0 / 5.5 / 5.0 / 4.0. DCF 5.5% = (7.0+6.0+5.5+5.0+4.0)/5.
Also: Ctrl+F "$10.350 billion to $10.500 billion" → FY26 net revenue guide (one hit). Mid $10.425B. That is the $10B year vs FY25 $11.1B. 7.0% capex uses this $10.4B denominator.</t>
        </is>
      </c>
      <c r="F13" s="20" t="n">
        <v>0.07000000000000001</v>
      </c>
      <c r="G13" s="20" t="n">
        <v>0.055</v>
      </c>
      <c r="H13" s="20" t="n">
        <v>0.045</v>
      </c>
    </row>
    <row r="14" ht="36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1" t="inlineStr">
        <is>
          <t xml:space="preserve">  Revenue – year 1</t>
        </is>
      </c>
      <c r="F17" s="32">
        <f>11102600*(1+F4)</f>
        <v/>
      </c>
      <c r="G17" s="32">
        <f>11102600*(1+G4)</f>
        <v/>
      </c>
      <c r="H17" s="32">
        <f>11102600*(1+H4)</f>
        <v/>
      </c>
    </row>
    <row r="18">
      <c r="A18" s="31" t="inlineStr">
        <is>
          <t xml:space="preserve">  Revenue – year 2</t>
        </is>
      </c>
      <c r="F18" s="32">
        <f>F17*(1+F5)</f>
        <v/>
      </c>
      <c r="G18" s="32">
        <f>G17*(1+G5)</f>
        <v/>
      </c>
      <c r="H18" s="32">
        <f>H17*(1+H5)</f>
        <v/>
      </c>
    </row>
    <row r="19">
      <c r="A19" s="31" t="inlineStr">
        <is>
          <t xml:space="preserve">  Revenue – year 3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4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5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Clean EBIT margin – year 1</t>
        </is>
      </c>
      <c r="F22" s="33">
        <f>F6+(F8-F6)*0/4</f>
        <v/>
      </c>
      <c r="G22" s="33">
        <f>G6+(G8-G6)*0/4</f>
        <v/>
      </c>
      <c r="H22" s="33">
        <f>H6+(H8-H6)*0/4</f>
        <v/>
      </c>
    </row>
    <row r="23">
      <c r="A23" s="31" t="inlineStr">
        <is>
          <t xml:space="preserve">  Clean EBIT margin – year 2</t>
        </is>
      </c>
      <c r="F23" s="33">
        <f>F6+(F8-F6)*1/4</f>
        <v/>
      </c>
      <c r="G23" s="33">
        <f>G6+(G8-G6)*1/4</f>
        <v/>
      </c>
      <c r="H23" s="33">
        <f>H6+(H8-H6)*1/4</f>
        <v/>
      </c>
    </row>
    <row r="24">
      <c r="A24" s="31" t="inlineStr">
        <is>
          <t xml:space="preserve">  Clean EBIT margin – year 3</t>
        </is>
      </c>
      <c r="F24" s="33">
        <f>F6+(F8-F6)*2/4</f>
        <v/>
      </c>
      <c r="G24" s="33">
        <f>G6+(G8-G6)*2/4</f>
        <v/>
      </c>
      <c r="H24" s="33">
        <f>H6+(H8-H6)*2/4</f>
        <v/>
      </c>
    </row>
    <row r="25">
      <c r="A25" s="31" t="inlineStr">
        <is>
          <t xml:space="preserve">  Clean EBIT margin – year 4</t>
        </is>
      </c>
      <c r="F25" s="33">
        <f>F6+(F8-F6)*3/4</f>
        <v/>
      </c>
      <c r="G25" s="33">
        <f>G6+(G8-G6)*3/4</f>
        <v/>
      </c>
      <c r="H25" s="33">
        <f>H6+(H8-H6)*3/4</f>
        <v/>
      </c>
    </row>
    <row r="26">
      <c r="A26" s="31" t="inlineStr">
        <is>
          <t xml:space="preserve">  Clean EBIT margin – year 5</t>
        </is>
      </c>
      <c r="F26" s="33">
        <f>F6+(F8-F6)*4/4</f>
        <v/>
      </c>
      <c r="G26" s="33">
        <f>G6+(G8-G6)*4/4</f>
        <v/>
      </c>
      <c r="H26" s="33">
        <f>H6+(H8-H6)*4/4</f>
        <v/>
      </c>
    </row>
    <row r="27">
      <c r="A27" s="31" t="inlineStr">
        <is>
          <t xml:space="preserve">  EBIT – year 1</t>
        </is>
      </c>
      <c r="F27" s="32">
        <f>F17*F22+F7</f>
        <v/>
      </c>
      <c r="G27" s="32">
        <f>G17*G22+G7</f>
        <v/>
      </c>
      <c r="H27" s="32">
        <f>H17*H22+H7</f>
        <v/>
      </c>
    </row>
    <row r="28">
      <c r="A28" s="31" t="inlineStr">
        <is>
          <t xml:space="preserve">  EBIT – year 2</t>
        </is>
      </c>
      <c r="F28" s="32">
        <f>F18*F23</f>
        <v/>
      </c>
      <c r="G28" s="32">
        <f>G18*G23</f>
        <v/>
      </c>
      <c r="H28" s="32">
        <f>H18*H23</f>
        <v/>
      </c>
    </row>
    <row r="29">
      <c r="A29" s="31" t="inlineStr">
        <is>
          <t xml:space="preserve">  EBIT – year 3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4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5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NOPAT – year 1</t>
        </is>
      </c>
      <c r="F32" s="32">
        <f>F27*(1-F11)</f>
        <v/>
      </c>
      <c r="G32" s="32">
        <f>G27*(1-G11)</f>
        <v/>
      </c>
      <c r="H32" s="32">
        <f>H27*(1-H11)</f>
        <v/>
      </c>
    </row>
    <row r="33">
      <c r="A33" s="31" t="inlineStr">
        <is>
          <t xml:space="preserve">  NOPAT – year 2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3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4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5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D&amp;A – year 1</t>
        </is>
      </c>
      <c r="F37" s="32">
        <f>F17*F12</f>
        <v/>
      </c>
      <c r="G37" s="32">
        <f>G17*G12</f>
        <v/>
      </c>
      <c r="H37" s="32">
        <f>H17*H12</f>
        <v/>
      </c>
    </row>
    <row r="38">
      <c r="A38" s="31" t="inlineStr">
        <is>
          <t xml:space="preserve">  D&amp;A – year 2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3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4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5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Capex – year 1</t>
        </is>
      </c>
      <c r="F42" s="32">
        <f>F17*F13</f>
        <v/>
      </c>
      <c r="G42" s="32">
        <f>G17*G13</f>
        <v/>
      </c>
      <c r="H42" s="32">
        <f>H17*H13</f>
        <v/>
      </c>
    </row>
    <row r="43">
      <c r="A43" s="31" t="inlineStr">
        <is>
          <t xml:space="preserve">  Capex – year 2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3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4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5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ΔNWC – year 1</t>
        </is>
      </c>
      <c r="F47" s="32">
        <f>F14*(F17-11102600)</f>
        <v/>
      </c>
      <c r="G47" s="32">
        <f>G14*(G17-11102600)</f>
        <v/>
      </c>
      <c r="H47" s="32">
        <f>H14*(H17-11102600)</f>
        <v/>
      </c>
    </row>
    <row r="48">
      <c r="A48" s="31" t="inlineStr">
        <is>
          <t xml:space="preserve">  ΔNWC – year 2</t>
        </is>
      </c>
      <c r="F48" s="32">
        <f>F14*(F18-F17)</f>
        <v/>
      </c>
      <c r="G48" s="32">
        <f>G14*(G18-G17)</f>
        <v/>
      </c>
      <c r="H48" s="32">
        <f>H14*(H18-H17)</f>
        <v/>
      </c>
    </row>
    <row r="49">
      <c r="A49" s="31" t="inlineStr">
        <is>
          <t xml:space="preserve">  ΔNWC – year 3</t>
        </is>
      </c>
      <c r="F49" s="32">
        <f>F14*(F19-F18)</f>
        <v/>
      </c>
      <c r="G49" s="32">
        <f>G14*(G19-G18)</f>
        <v/>
      </c>
      <c r="H49" s="32">
        <f>H14*(H19-H18)</f>
        <v/>
      </c>
    </row>
    <row r="50">
      <c r="A50" s="31" t="inlineStr">
        <is>
          <t xml:space="preserve">  ΔNWC – year 4</t>
        </is>
      </c>
      <c r="F50" s="32">
        <f>F14*(F20-F19)</f>
        <v/>
      </c>
      <c r="G50" s="32">
        <f>G14*(G20-G19)</f>
        <v/>
      </c>
      <c r="H50" s="32">
        <f>H14*(H20-H19)</f>
        <v/>
      </c>
    </row>
    <row r="51">
      <c r="A51" s="31" t="inlineStr">
        <is>
          <t xml:space="preserve">  ΔNWC – year 5</t>
        </is>
      </c>
      <c r="F51" s="32">
        <f>F14*(F21-F20)</f>
        <v/>
      </c>
      <c r="G51" s="32">
        <f>G14*(G21-G20)</f>
        <v/>
      </c>
      <c r="H51" s="32">
        <f>H14*(H21-H20)</f>
        <v/>
      </c>
    </row>
    <row r="52">
      <c r="A52" s="31" t="inlineStr">
        <is>
          <t xml:space="preserve">  Unlevered FCF – year 1</t>
        </is>
      </c>
      <c r="F52" s="32">
        <f>F32+F37-F42-F47</f>
        <v/>
      </c>
      <c r="G52" s="32">
        <f>G32+G37-G42-G47</f>
        <v/>
      </c>
      <c r="H52" s="32">
        <f>H32+H37-H42-H47</f>
        <v/>
      </c>
    </row>
    <row r="53">
      <c r="A53" s="31" t="inlineStr">
        <is>
          <t xml:space="preserve">  Unlevered FCF – year 2</t>
        </is>
      </c>
      <c r="F53" s="32">
        <f>F33+F38-F43-F48</f>
        <v/>
      </c>
      <c r="G53" s="32">
        <f>G33+G38-G43-G48</f>
        <v/>
      </c>
      <c r="H53" s="32">
        <f>H33+H38-H43-H48</f>
        <v/>
      </c>
    </row>
    <row r="54">
      <c r="A54" s="31" t="inlineStr">
        <is>
          <t xml:space="preserve">  Unlevered FCF – year 3</t>
        </is>
      </c>
      <c r="F54" s="32">
        <f>F34+F39-F44-F49</f>
        <v/>
      </c>
      <c r="G54" s="32">
        <f>G34+G39-G44-G49</f>
        <v/>
      </c>
      <c r="H54" s="32">
        <f>H34+H39-H44-H49</f>
        <v/>
      </c>
    </row>
    <row r="55">
      <c r="A55" s="31" t="inlineStr">
        <is>
          <t xml:space="preserve">  Unlevered FCF – year 4</t>
        </is>
      </c>
      <c r="F55" s="32">
        <f>F35+F40-F45-F50</f>
        <v/>
      </c>
      <c r="G55" s="32">
        <f>G35+G40-G45-G50</f>
        <v/>
      </c>
      <c r="H55" s="32">
        <f>H35+H40-H45-H50</f>
        <v/>
      </c>
    </row>
    <row r="56">
      <c r="A56" s="31" t="inlineStr">
        <is>
          <t xml:space="preserve">  Unlevered FCF – year 5</t>
        </is>
      </c>
      <c r="F56" s="32">
        <f>F36+F41-F46-F51</f>
        <v/>
      </c>
      <c r="G56" s="32">
        <f>G36+G41-G46-G51</f>
        <v/>
      </c>
      <c r="H56" s="32">
        <f>H36+H41-H46-H51</f>
        <v/>
      </c>
    </row>
    <row r="58">
      <c r="A58" s="22" t="inlineStr">
        <is>
          <t>Enterprise value (DCF)</t>
        </is>
      </c>
      <c r="F58" s="34">
        <f>NPV(F9,F52,F53,F54,F55,F56)+(F56*(1+F10)/(F9-F10))/(1+F9)^5</f>
        <v/>
      </c>
      <c r="G58" s="34">
        <f>NPV(G9,G52,G53,G54,G55,G56)+(G56*(1+G10)/(G9-G10))/(1+G9)^5</f>
        <v/>
      </c>
      <c r="H58" s="34">
        <f>NPV(H9,H52,H53,H54,H55,H56)+(H56*(1+H10)/(H9-H10))/(1+H9)^5</f>
        <v/>
      </c>
    </row>
    <row r="59">
      <c r="A59" s="35" t="inlineStr">
        <is>
          <t>Implied share price</t>
        </is>
      </c>
      <c r="F59" s="36">
        <f>(F58+1807202-0)/111380</f>
        <v/>
      </c>
      <c r="G59" s="37">
        <f>(G58+1807202-0)/111380</f>
        <v/>
      </c>
      <c r="H59" s="36">
        <f>(H58+1807202-0)/111380</f>
        <v/>
      </c>
    </row>
    <row r="60">
      <c r="A60" s="22" t="inlineStr">
        <is>
          <t>Upside / (downside) vs current</t>
        </is>
      </c>
      <c r="F60" s="38">
        <f>F59/100.0-1</f>
        <v/>
      </c>
      <c r="G60" s="38">
        <f>G59/100.0-1</f>
        <v/>
      </c>
      <c r="H60" s="38">
        <f>H59/100.0-1</f>
        <v/>
      </c>
    </row>
    <row r="62">
      <c r="A62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36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Scenarios!G17</f>
        <v/>
      </c>
      <c r="G5" s="48">
        <f>Scenarios!G18</f>
        <v/>
      </c>
      <c r="H5" s="48">
        <f>Scenarios!G19</f>
        <v/>
      </c>
      <c r="I5" s="48">
        <f>Scenarios!G20</f>
        <v/>
      </c>
      <c r="J5" s="48">
        <f>Scenarios!G21</f>
        <v/>
      </c>
      <c r="K5" s="49">
        <f>IF(MAX(ABS(F5-Scenarios!$G$17),ABS(G5-Scenarios!$G$18),ABS(H5-Scenarios!$G$19),ABS(I5-Scenarios!$G$20),ABS(J5-Scenarios!$G$21))&lt;0.5,"OK","CHECK")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54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9">
        <f>IF(MAX(ABS(F7-Scenarios!$G$22),ABS(G7-Scenarios!$G$23),ABS(H7-Scenarios!$G$24),ABS(I7-Scenarios!$G$25),ABS(J7-Scenarios!$G$26))&lt;0.0001,"OK","CHECK")</f>
        <v/>
      </c>
    </row>
    <row r="8" ht="36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Scenarios!G27</f>
        <v/>
      </c>
      <c r="G9" s="34">
        <f>Scenarios!G28</f>
        <v/>
      </c>
      <c r="H9" s="34">
        <f>Scenarios!G29</f>
        <v/>
      </c>
      <c r="I9" s="34">
        <f>Scenarios!G30</f>
        <v/>
      </c>
      <c r="J9" s="34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-Scenarios!G27*Scenarios!$G$11</f>
        <v/>
      </c>
      <c r="G11" s="48">
        <f>-Scenarios!G28*Scenarios!$G$11</f>
        <v/>
      </c>
      <c r="H11" s="48">
        <f>-Scenarios!G29*Scenarios!$G$11</f>
        <v/>
      </c>
      <c r="I11" s="48">
        <f>-Scenarios!G30*Scenarios!$G$11</f>
        <v/>
      </c>
      <c r="J11" s="48">
        <f>-Scenarios!G31*Scenarios!$G$11</f>
        <v/>
      </c>
    </row>
    <row r="12">
      <c r="A12" s="22" t="inlineStr">
        <is>
          <t>NOPAT</t>
        </is>
      </c>
      <c r="F12" s="34">
        <f>Scenarios!G32</f>
        <v/>
      </c>
      <c r="G12" s="34">
        <f>Scenarios!G33</f>
        <v/>
      </c>
      <c r="H12" s="34">
        <f>Scenarios!G34</f>
        <v/>
      </c>
      <c r="I12" s="34">
        <f>Scenarios!G35</f>
        <v/>
      </c>
      <c r="J12" s="34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36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Scenarios!G37</f>
        <v/>
      </c>
      <c r="G14" s="48">
        <f>Scenarios!G38</f>
        <v/>
      </c>
      <c r="H14" s="48">
        <f>Scenarios!G39</f>
        <v/>
      </c>
      <c r="I14" s="48">
        <f>Scenarios!G40</f>
        <v/>
      </c>
      <c r="J14" s="48">
        <f>Scenarios!G41</f>
        <v/>
      </c>
      <c r="K14" s="49">
        <f>IF(MAX(ABS(F14-Scenarios!$G$37),ABS(G14-Scenarios!$G$38),ABS(H14-Scenarios!$G$39),ABS(I14-Scenarios!$G$40),ABS(J14-Scenarios!$G$41))&lt;0.5,"OK","CHECK")</f>
        <v/>
      </c>
    </row>
    <row r="15" ht="54" customHeight="1">
      <c r="A15" s="16" t="inlineStr">
        <is>
          <t xml:space="preserve">  Capex % of revenue</t>
        </is>
      </c>
      <c r="B15" s="19" t="inlineStr">
        <is>
          <t>7.0% = $735M ÷ the $10.4B FY26 sales year, not ÷ FY25 $11.1B (that would be 6.6%). $10B year + higher spend = the % spike.
Also: FY26 sales are the guided $10.35–$10.50B year (~$10.4B). FY25 was $11.1B. Same capex math must use the $10B denominator.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Ctrl+F "680,802" → FY25 capex $680.8M. Ctrl+F "11,102,600" → FY25 sales $11.1B. 680.8 / 11,102.6 = 6.1%. Ctrl+F "$725.0 million and $745.0 million" → FY26 capex mid $735M. Do not divide $735M by FY25 $11.1B (6.6%). FY26 is a $10B sales year: $735M / $10.425B = 7.0%. Then fade 6.0 / 5.5 / 5.0 / 4.0. DCF 5.5% = (7.0+6.0+5.5+5.0+4.0)/5.
Also: Ctrl+F "$10.350 billion to $10.500 billion" → FY26 net revenue guide (one hit). Mid $10.425B. That is the $10B year vs FY25 $11.1B. 7.0% capex uses this $10.4B denominator.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-Scenarios!G42</f>
        <v/>
      </c>
      <c r="G16" s="48">
        <f>-Scenarios!G43</f>
        <v/>
      </c>
      <c r="H16" s="48">
        <f>-Scenarios!G44</f>
        <v/>
      </c>
      <c r="I16" s="48">
        <f>-Scenarios!G45</f>
        <v/>
      </c>
      <c r="J16" s="48">
        <f>-Scenarios!G46</f>
        <v/>
      </c>
      <c r="K16" s="49">
        <f>IF(MAX(ABS(F16+Scenarios!$G$42),ABS(G16+Scenarios!$G$43),ABS(H16+Scenarios!$G$44),ABS(I16+Scenarios!$G$45),ABS(J16+Scenarios!$G$46))&lt;0.5,"OK","CHECK")</f>
        <v/>
      </c>
    </row>
    <row r="17" ht="36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8">
        <f>-Scenarios!G47</f>
        <v/>
      </c>
      <c r="G18" s="48">
        <f>-Scenarios!G48</f>
        <v/>
      </c>
      <c r="H18" s="48">
        <f>-Scenarios!G49</f>
        <v/>
      </c>
      <c r="I18" s="48">
        <f>-Scenarios!G50</f>
        <v/>
      </c>
      <c r="J18" s="48">
        <f>-Scenarios!G51</f>
        <v/>
      </c>
      <c r="K18" s="49">
        <f>IF(MAX(ABS(F18+Scenarios!$G$47),ABS(G18+Scenarios!$G$48),ABS(H18+Scenarios!$G$49),ABS(I18+Scenarios!$G$50),ABS(J18+Scenarios!$G$51))&lt;0.5,"OK","CHECK")</f>
        <v/>
      </c>
    </row>
    <row r="19">
      <c r="A19" s="39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4">
        <f>F20*F22</f>
        <v/>
      </c>
      <c r="G23" s="34">
        <f>G20*G22</f>
        <v/>
      </c>
      <c r="H23" s="34">
        <f>H20*H22</f>
        <v/>
      </c>
      <c r="I23" s="34">
        <f>I20*I22</f>
        <v/>
      </c>
      <c r="J23" s="34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36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4">
        <f>J9+J14</f>
        <v/>
      </c>
    </row>
    <row r="30">
      <c r="A30" s="16" t="inlineStr">
        <is>
          <t>Terminal value = FCF₅×(1+g)/(WACC−g)</t>
        </is>
      </c>
      <c r="E30" s="48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4">
        <f>E27+E32</f>
        <v/>
      </c>
    </row>
    <row r="34" ht="36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7" t="n">
        <v>1807202</v>
      </c>
    </row>
    <row r="35" ht="36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7" t="n">
        <v>0</v>
      </c>
    </row>
    <row r="36">
      <c r="A36" s="22" t="inlineStr">
        <is>
          <t>Equity value</t>
        </is>
      </c>
      <c r="E36" s="34">
        <f>E33+E34+E35</f>
        <v/>
      </c>
    </row>
    <row r="37" ht="36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7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36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36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8">
        <f>E29*E45</f>
        <v/>
      </c>
    </row>
    <row r="47">
      <c r="A47" s="16" t="inlineStr">
        <is>
          <t>PV of terminal value</t>
        </is>
      </c>
      <c r="E47" s="48">
        <f>E46/(1+Scenarios!$G$9)^J21</f>
        <v/>
      </c>
    </row>
    <row r="48">
      <c r="A48" s="22" t="inlineStr">
        <is>
          <t>Enterprise value (exit method)</t>
        </is>
      </c>
      <c r="E48" s="34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9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36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36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36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36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36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36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36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DCF!E29</f>
        <v/>
      </c>
    </row>
    <row r="7" ht="36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36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36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36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36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36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36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2026-09-06T21:26:06Z</dcterms:created>
  <dcterms:modified xmlns:dcterms="http://purl.org/dc/terms/" xmlns:xsi="http://www.w3.org/2001/XMLSchema-instance" xsi:type="dcterms:W3CDTF">2026-09-06T21:26:07Z</dcterms:modified>
</cp:coreProperties>
</file>
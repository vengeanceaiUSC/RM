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36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36" customHeight="1">
      <c r="A8" s="16" t="inlineStr">
        <is>
          <t>Terminal (FY2030E) EBIT margin</t>
        </is>
      </c>
      <c r="B8" s="17" t="inlineStr">
        <is>
          <t>FY30 15.5% is a recovery assumption vs FY25 10-K OM 19.9% (2,210,615 / 11,102,600); still well below FY24 peak ~23.7%.</t>
        </is>
      </c>
      <c r="C8" s="18" t="inlineStr">
        <is>
          <t>FY2025 10-K: Income from operations / revenue</t>
        </is>
      </c>
      <c r="D8" s="19" t="inlineStr">
        <is>
          <t>Ctrl+F "Income from operations" → 2,210,615 and "Net revenue" → 11,102,600. FY25 OM = 19.9%. Model FY30 15.5% is a partial-recovery assumption, not a reported figure.</t>
        </is>
      </c>
      <c r="F8" s="20" t="n">
        <v>0.12</v>
      </c>
      <c r="G8" s="20" t="n">
        <v>0.155</v>
      </c>
      <c r="H8" s="20" t="n">
        <v>0.19</v>
      </c>
    </row>
    <row r="9" ht="36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36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36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36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36" customHeight="1">
      <c r="A13" s="16" t="inlineStr">
        <is>
          <t>Capex % of revenue</t>
        </is>
      </c>
      <c r="B13" s="17" t="inlineStr">
        <is>
          <t>5.5% is a 5-year blend: 2026 10-K guide $725–745M (~7.0% of FY26 sales) fading toward 5.0%.</t>
        </is>
      </c>
      <c r="C13" s="18" t="inlineStr">
        <is>
          <t>LULU CF statement (10-K)</t>
        </is>
      </c>
      <c r="D13" s="19" t="inlineStr">
        <is>
          <t>Ctrl+F "725.0 million" → 2026 capex guide $725–745M (~7.0% of FY26 sales). Ctrl+F "680,802" → FY25 capex. Model 5-yr blend 5.5%.</t>
        </is>
      </c>
      <c r="F13" s="20" t="n">
        <v>0.07000000000000001</v>
      </c>
      <c r="G13" s="20" t="n">
        <v>0.055</v>
      </c>
      <c r="H13" s="20" t="n">
        <v>0.045</v>
      </c>
    </row>
    <row r="14" ht="36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0" t="inlineStr">
        <is>
          <t xml:space="preserve">  Revenue – year 1</t>
        </is>
      </c>
      <c r="F17" s="31">
        <f>11102600*(1+F4)</f>
        <v/>
      </c>
      <c r="G17" s="31">
        <f>11102600*(1+G4)</f>
        <v/>
      </c>
      <c r="H17" s="31">
        <f>11102600*(1+H4)</f>
        <v/>
      </c>
    </row>
    <row r="18">
      <c r="A18" s="30" t="inlineStr">
        <is>
          <t xml:space="preserve">  Revenue – year 2</t>
        </is>
      </c>
      <c r="F18" s="31">
        <f>F17*(1+F5)</f>
        <v/>
      </c>
      <c r="G18" s="31">
        <f>G17*(1+G5)</f>
        <v/>
      </c>
      <c r="H18" s="31">
        <f>H17*(1+H5)</f>
        <v/>
      </c>
    </row>
    <row r="19">
      <c r="A19" s="30" t="inlineStr">
        <is>
          <t xml:space="preserve">  Revenue – year 3</t>
        </is>
      </c>
      <c r="F19" s="31">
        <f>F18*(1+F5)</f>
        <v/>
      </c>
      <c r="G19" s="31">
        <f>G18*(1+G5)</f>
        <v/>
      </c>
      <c r="H19" s="31">
        <f>H18*(1+H5)</f>
        <v/>
      </c>
    </row>
    <row r="20">
      <c r="A20" s="30" t="inlineStr">
        <is>
          <t xml:space="preserve">  Revenue – year 4</t>
        </is>
      </c>
      <c r="F20" s="31">
        <f>F19*(1+F5)</f>
        <v/>
      </c>
      <c r="G20" s="31">
        <f>G19*(1+G5)</f>
        <v/>
      </c>
      <c r="H20" s="31">
        <f>H19*(1+H5)</f>
        <v/>
      </c>
    </row>
    <row r="21">
      <c r="A21" s="30" t="inlineStr">
        <is>
          <t xml:space="preserve">  Revenue – year 5</t>
        </is>
      </c>
      <c r="F21" s="31">
        <f>F20*(1+F5)</f>
        <v/>
      </c>
      <c r="G21" s="31">
        <f>G20*(1+G5)</f>
        <v/>
      </c>
      <c r="H21" s="31">
        <f>H20*(1+H5)</f>
        <v/>
      </c>
    </row>
    <row r="22">
      <c r="A22" s="30" t="inlineStr">
        <is>
          <t xml:space="preserve">  Clean EBIT margin – year 1</t>
        </is>
      </c>
      <c r="F22" s="32">
        <f>F6+(F8-F6)*0/4</f>
        <v/>
      </c>
      <c r="G22" s="32">
        <f>G6+(G8-G6)*0/4</f>
        <v/>
      </c>
      <c r="H22" s="32">
        <f>H6+(H8-H6)*0/4</f>
        <v/>
      </c>
    </row>
    <row r="23">
      <c r="A23" s="30" t="inlineStr">
        <is>
          <t xml:space="preserve">  Clean EBIT margin – year 2</t>
        </is>
      </c>
      <c r="F23" s="32">
        <f>F6+(F8-F6)*1/4</f>
        <v/>
      </c>
      <c r="G23" s="32">
        <f>G6+(G8-G6)*1/4</f>
        <v/>
      </c>
      <c r="H23" s="32">
        <f>H6+(H8-H6)*1/4</f>
        <v/>
      </c>
    </row>
    <row r="24">
      <c r="A24" s="30" t="inlineStr">
        <is>
          <t xml:space="preserve">  Clean EBIT margin – year 3</t>
        </is>
      </c>
      <c r="F24" s="32">
        <f>F6+(F8-F6)*2/4</f>
        <v/>
      </c>
      <c r="G24" s="32">
        <f>G6+(G8-G6)*2/4</f>
        <v/>
      </c>
      <c r="H24" s="32">
        <f>H6+(H8-H6)*2/4</f>
        <v/>
      </c>
    </row>
    <row r="25">
      <c r="A25" s="30" t="inlineStr">
        <is>
          <t xml:space="preserve">  Clean EBIT margin – year 4</t>
        </is>
      </c>
      <c r="F25" s="32">
        <f>F6+(F8-F6)*3/4</f>
        <v/>
      </c>
      <c r="G25" s="32">
        <f>G6+(G8-G6)*3/4</f>
        <v/>
      </c>
      <c r="H25" s="32">
        <f>H6+(H8-H6)*3/4</f>
        <v/>
      </c>
    </row>
    <row r="26">
      <c r="A26" s="30" t="inlineStr">
        <is>
          <t xml:space="preserve">  Clean EBIT margin – year 5</t>
        </is>
      </c>
      <c r="F26" s="32">
        <f>F6+(F8-F6)*4/4</f>
        <v/>
      </c>
      <c r="G26" s="32">
        <f>G6+(G8-G6)*4/4</f>
        <v/>
      </c>
      <c r="H26" s="32">
        <f>H6+(H8-H6)*4/4</f>
        <v/>
      </c>
    </row>
    <row r="27">
      <c r="A27" s="30" t="inlineStr">
        <is>
          <t xml:space="preserve">  EBIT – year 1</t>
        </is>
      </c>
      <c r="F27" s="31">
        <f>F17*F22+F7</f>
        <v/>
      </c>
      <c r="G27" s="31">
        <f>G17*G22+G7</f>
        <v/>
      </c>
      <c r="H27" s="31">
        <f>H17*H22+H7</f>
        <v/>
      </c>
    </row>
    <row r="28">
      <c r="A28" s="30" t="inlineStr">
        <is>
          <t xml:space="preserve">  EBIT – year 2</t>
        </is>
      </c>
      <c r="F28" s="31">
        <f>F18*F23</f>
        <v/>
      </c>
      <c r="G28" s="31">
        <f>G18*G23</f>
        <v/>
      </c>
      <c r="H28" s="31">
        <f>H18*H23</f>
        <v/>
      </c>
    </row>
    <row r="29">
      <c r="A29" s="30" t="inlineStr">
        <is>
          <t xml:space="preserve">  EBIT – year 3</t>
        </is>
      </c>
      <c r="F29" s="31">
        <f>F19*F24</f>
        <v/>
      </c>
      <c r="G29" s="31">
        <f>G19*G24</f>
        <v/>
      </c>
      <c r="H29" s="31">
        <f>H19*H24</f>
        <v/>
      </c>
    </row>
    <row r="30">
      <c r="A30" s="30" t="inlineStr">
        <is>
          <t xml:space="preserve">  EBIT – year 4</t>
        </is>
      </c>
      <c r="F30" s="31">
        <f>F20*F25</f>
        <v/>
      </c>
      <c r="G30" s="31">
        <f>G20*G25</f>
        <v/>
      </c>
      <c r="H30" s="31">
        <f>H20*H25</f>
        <v/>
      </c>
    </row>
    <row r="31">
      <c r="A31" s="30" t="inlineStr">
        <is>
          <t xml:space="preserve">  EBIT – year 5</t>
        </is>
      </c>
      <c r="F31" s="31">
        <f>F21*F26</f>
        <v/>
      </c>
      <c r="G31" s="31">
        <f>G21*G26</f>
        <v/>
      </c>
      <c r="H31" s="31">
        <f>H21*H26</f>
        <v/>
      </c>
    </row>
    <row r="32">
      <c r="A32" s="30" t="inlineStr">
        <is>
          <t xml:space="preserve">  NOPAT – year 1</t>
        </is>
      </c>
      <c r="F32" s="31">
        <f>F27*(1-F11)</f>
        <v/>
      </c>
      <c r="G32" s="31">
        <f>G27*(1-G11)</f>
        <v/>
      </c>
      <c r="H32" s="31">
        <f>H27*(1-H11)</f>
        <v/>
      </c>
    </row>
    <row r="33">
      <c r="A33" s="30" t="inlineStr">
        <is>
          <t xml:space="preserve">  NOPAT – year 2</t>
        </is>
      </c>
      <c r="F33" s="31">
        <f>F28*(1-F11)</f>
        <v/>
      </c>
      <c r="G33" s="31">
        <f>G28*(1-G11)</f>
        <v/>
      </c>
      <c r="H33" s="31">
        <f>H28*(1-H11)</f>
        <v/>
      </c>
    </row>
    <row r="34">
      <c r="A34" s="30" t="inlineStr">
        <is>
          <t xml:space="preserve">  NOPAT – year 3</t>
        </is>
      </c>
      <c r="F34" s="31">
        <f>F29*(1-F11)</f>
        <v/>
      </c>
      <c r="G34" s="31">
        <f>G29*(1-G11)</f>
        <v/>
      </c>
      <c r="H34" s="31">
        <f>H29*(1-H11)</f>
        <v/>
      </c>
    </row>
    <row r="35">
      <c r="A35" s="30" t="inlineStr">
        <is>
          <t xml:space="preserve">  NOPAT – year 4</t>
        </is>
      </c>
      <c r="F35" s="31">
        <f>F30*(1-F11)</f>
        <v/>
      </c>
      <c r="G35" s="31">
        <f>G30*(1-G11)</f>
        <v/>
      </c>
      <c r="H35" s="31">
        <f>H30*(1-H11)</f>
        <v/>
      </c>
    </row>
    <row r="36">
      <c r="A36" s="30" t="inlineStr">
        <is>
          <t xml:space="preserve">  NOPAT – year 5</t>
        </is>
      </c>
      <c r="F36" s="31">
        <f>F31*(1-F11)</f>
        <v/>
      </c>
      <c r="G36" s="31">
        <f>G31*(1-G11)</f>
        <v/>
      </c>
      <c r="H36" s="31">
        <f>H31*(1-H11)</f>
        <v/>
      </c>
    </row>
    <row r="37">
      <c r="A37" s="30" t="inlineStr">
        <is>
          <t xml:space="preserve">  D&amp;A – year 1</t>
        </is>
      </c>
      <c r="F37" s="31">
        <f>F17*F12</f>
        <v/>
      </c>
      <c r="G37" s="31">
        <f>G17*G12</f>
        <v/>
      </c>
      <c r="H37" s="31">
        <f>H17*H12</f>
        <v/>
      </c>
    </row>
    <row r="38">
      <c r="A38" s="30" t="inlineStr">
        <is>
          <t xml:space="preserve">  D&amp;A – year 2</t>
        </is>
      </c>
      <c r="F38" s="31">
        <f>F18*F12</f>
        <v/>
      </c>
      <c r="G38" s="31">
        <f>G18*G12</f>
        <v/>
      </c>
      <c r="H38" s="31">
        <f>H18*H12</f>
        <v/>
      </c>
    </row>
    <row r="39">
      <c r="A39" s="30" t="inlineStr">
        <is>
          <t xml:space="preserve">  D&amp;A – year 3</t>
        </is>
      </c>
      <c r="F39" s="31">
        <f>F19*F12</f>
        <v/>
      </c>
      <c r="G39" s="31">
        <f>G19*G12</f>
        <v/>
      </c>
      <c r="H39" s="31">
        <f>H19*H12</f>
        <v/>
      </c>
    </row>
    <row r="40">
      <c r="A40" s="30" t="inlineStr">
        <is>
          <t xml:space="preserve">  D&amp;A – year 4</t>
        </is>
      </c>
      <c r="F40" s="31">
        <f>F20*F12</f>
        <v/>
      </c>
      <c r="G40" s="31">
        <f>G20*G12</f>
        <v/>
      </c>
      <c r="H40" s="31">
        <f>H20*H12</f>
        <v/>
      </c>
    </row>
    <row r="41">
      <c r="A41" s="30" t="inlineStr">
        <is>
          <t xml:space="preserve">  D&amp;A – year 5</t>
        </is>
      </c>
      <c r="F41" s="31">
        <f>F21*F12</f>
        <v/>
      </c>
      <c r="G41" s="31">
        <f>G21*G12</f>
        <v/>
      </c>
      <c r="H41" s="31">
        <f>H21*H12</f>
        <v/>
      </c>
    </row>
    <row r="42">
      <c r="A42" s="30" t="inlineStr">
        <is>
          <t xml:space="preserve">  Capex – year 1</t>
        </is>
      </c>
      <c r="F42" s="31">
        <f>F17*F13</f>
        <v/>
      </c>
      <c r="G42" s="31">
        <f>G17*G13</f>
        <v/>
      </c>
      <c r="H42" s="31">
        <f>H17*H13</f>
        <v/>
      </c>
    </row>
    <row r="43">
      <c r="A43" s="30" t="inlineStr">
        <is>
          <t xml:space="preserve">  Capex – year 2</t>
        </is>
      </c>
      <c r="F43" s="31">
        <f>F18*F13</f>
        <v/>
      </c>
      <c r="G43" s="31">
        <f>G18*G13</f>
        <v/>
      </c>
      <c r="H43" s="31">
        <f>H18*H13</f>
        <v/>
      </c>
    </row>
    <row r="44">
      <c r="A44" s="30" t="inlineStr">
        <is>
          <t xml:space="preserve">  Capex – year 3</t>
        </is>
      </c>
      <c r="F44" s="31">
        <f>F19*F13</f>
        <v/>
      </c>
      <c r="G44" s="31">
        <f>G19*G13</f>
        <v/>
      </c>
      <c r="H44" s="31">
        <f>H19*H13</f>
        <v/>
      </c>
    </row>
    <row r="45">
      <c r="A45" s="30" t="inlineStr">
        <is>
          <t xml:space="preserve">  Capex – year 4</t>
        </is>
      </c>
      <c r="F45" s="31">
        <f>F20*F13</f>
        <v/>
      </c>
      <c r="G45" s="31">
        <f>G20*G13</f>
        <v/>
      </c>
      <c r="H45" s="31">
        <f>H20*H13</f>
        <v/>
      </c>
    </row>
    <row r="46">
      <c r="A46" s="30" t="inlineStr">
        <is>
          <t xml:space="preserve">  Capex – year 5</t>
        </is>
      </c>
      <c r="F46" s="31">
        <f>F21*F13</f>
        <v/>
      </c>
      <c r="G46" s="31">
        <f>G21*G13</f>
        <v/>
      </c>
      <c r="H46" s="31">
        <f>H21*H13</f>
        <v/>
      </c>
    </row>
    <row r="47">
      <c r="A47" s="30" t="inlineStr">
        <is>
          <t xml:space="preserve">  ΔNWC – year 1</t>
        </is>
      </c>
      <c r="F47" s="31">
        <f>F14*(F17-11102600)</f>
        <v/>
      </c>
      <c r="G47" s="31">
        <f>G14*(G17-11102600)</f>
        <v/>
      </c>
      <c r="H47" s="31">
        <f>H14*(H17-11102600)</f>
        <v/>
      </c>
    </row>
    <row r="48">
      <c r="A48" s="30" t="inlineStr">
        <is>
          <t xml:space="preserve">  ΔNWC – year 2</t>
        </is>
      </c>
      <c r="F48" s="31">
        <f>F14*(F18-F17)</f>
        <v/>
      </c>
      <c r="G48" s="31">
        <f>G14*(G18-G17)</f>
        <v/>
      </c>
      <c r="H48" s="31">
        <f>H14*(H18-H17)</f>
        <v/>
      </c>
    </row>
    <row r="49">
      <c r="A49" s="30" t="inlineStr">
        <is>
          <t xml:space="preserve">  ΔNWC – year 3</t>
        </is>
      </c>
      <c r="F49" s="31">
        <f>F14*(F19-F18)</f>
        <v/>
      </c>
      <c r="G49" s="31">
        <f>G14*(G19-G18)</f>
        <v/>
      </c>
      <c r="H49" s="31">
        <f>H14*(H19-H18)</f>
        <v/>
      </c>
    </row>
    <row r="50">
      <c r="A50" s="30" t="inlineStr">
        <is>
          <t xml:space="preserve">  ΔNWC – year 4</t>
        </is>
      </c>
      <c r="F50" s="31">
        <f>F14*(F20-F19)</f>
        <v/>
      </c>
      <c r="G50" s="31">
        <f>G14*(G20-G19)</f>
        <v/>
      </c>
      <c r="H50" s="31">
        <f>H14*(H20-H19)</f>
        <v/>
      </c>
    </row>
    <row r="51">
      <c r="A51" s="30" t="inlineStr">
        <is>
          <t xml:space="preserve">  ΔNWC – year 5</t>
        </is>
      </c>
      <c r="F51" s="31">
        <f>F14*(F21-F20)</f>
        <v/>
      </c>
      <c r="G51" s="31">
        <f>G14*(G21-G20)</f>
        <v/>
      </c>
      <c r="H51" s="31">
        <f>H14*(H21-H20)</f>
        <v/>
      </c>
    </row>
    <row r="52">
      <c r="A52" s="30" t="inlineStr">
        <is>
          <t xml:space="preserve">  Unlevered FCF – year 1</t>
        </is>
      </c>
      <c r="F52" s="31">
        <f>F32+F37-F42-F47</f>
        <v/>
      </c>
      <c r="G52" s="31">
        <f>G32+G37-G42-G47</f>
        <v/>
      </c>
      <c r="H52" s="31">
        <f>H32+H37-H42-H47</f>
        <v/>
      </c>
    </row>
    <row r="53">
      <c r="A53" s="30" t="inlineStr">
        <is>
          <t xml:space="preserve">  Unlevered FCF – year 2</t>
        </is>
      </c>
      <c r="F53" s="31">
        <f>F33+F38-F43-F48</f>
        <v/>
      </c>
      <c r="G53" s="31">
        <f>G33+G38-G43-G48</f>
        <v/>
      </c>
      <c r="H53" s="31">
        <f>H33+H38-H43-H48</f>
        <v/>
      </c>
    </row>
    <row r="54">
      <c r="A54" s="30" t="inlineStr">
        <is>
          <t xml:space="preserve">  Unlevered FCF – year 3</t>
        </is>
      </c>
      <c r="F54" s="31">
        <f>F34+F39-F44-F49</f>
        <v/>
      </c>
      <c r="G54" s="31">
        <f>G34+G39-G44-G49</f>
        <v/>
      </c>
      <c r="H54" s="31">
        <f>H34+H39-H44-H49</f>
        <v/>
      </c>
    </row>
    <row r="55">
      <c r="A55" s="30" t="inlineStr">
        <is>
          <t xml:space="preserve">  Unlevered FCF – year 4</t>
        </is>
      </c>
      <c r="F55" s="31">
        <f>F35+F40-F45-F50</f>
        <v/>
      </c>
      <c r="G55" s="31">
        <f>G35+G40-G45-G50</f>
        <v/>
      </c>
      <c r="H55" s="31">
        <f>H35+H40-H45-H50</f>
        <v/>
      </c>
    </row>
    <row r="56">
      <c r="A56" s="30" t="inlineStr">
        <is>
          <t xml:space="preserve">  Unlevered FCF – year 5</t>
        </is>
      </c>
      <c r="F56" s="31">
        <f>F36+F41-F46-F51</f>
        <v/>
      </c>
      <c r="G56" s="31">
        <f>G36+G41-G46-G51</f>
        <v/>
      </c>
      <c r="H56" s="31">
        <f>H36+H41-H46-H51</f>
        <v/>
      </c>
    </row>
    <row r="58">
      <c r="A58" s="22" t="inlineStr">
        <is>
          <t>Enterprise value (DCF)</t>
        </is>
      </c>
      <c r="F58" s="33">
        <f>NPV(F9,F52,F53,F54,F55,F56)+(F56*(1+F10)/(F9-F10))/(1+F9)^5</f>
        <v/>
      </c>
      <c r="G58" s="33">
        <f>NPV(G9,G52,G53,G54,G55,G56)+(G56*(1+G10)/(G9-G10))/(1+G9)^5</f>
        <v/>
      </c>
      <c r="H58" s="33">
        <f>NPV(H9,H52,H53,H54,H55,H56)+(H56*(1+H10)/(H9-H10))/(1+H9)^5</f>
        <v/>
      </c>
    </row>
    <row r="59">
      <c r="A59" s="34" t="inlineStr">
        <is>
          <t>Implied share price</t>
        </is>
      </c>
      <c r="F59" s="35">
        <f>(F58+1807202-0)/111380</f>
        <v/>
      </c>
      <c r="G59" s="36">
        <f>(G58+1807202-0)/111380</f>
        <v/>
      </c>
      <c r="H59" s="35">
        <f>(H58+1807202-0)/111380</f>
        <v/>
      </c>
    </row>
    <row r="60">
      <c r="A60" s="22" t="inlineStr">
        <is>
          <t>Upside / (downside) vs current</t>
        </is>
      </c>
      <c r="F60" s="37">
        <f>F59/100.0-1</f>
        <v/>
      </c>
      <c r="G60" s="37">
        <f>G59/100.0-1</f>
        <v/>
      </c>
      <c r="H60" s="37">
        <f>H59/100.0-1</f>
        <v/>
      </c>
    </row>
    <row r="62">
      <c r="A62" s="38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9" t="inlineStr">
        <is>
          <t>Justification (~20 words)</t>
        </is>
      </c>
      <c r="C2" s="39" t="inlineStr">
        <is>
          <t>Source (click)</t>
        </is>
      </c>
      <c r="D2" s="39" t="inlineStr">
        <is>
          <t>Ctrl+F (prove number)</t>
        </is>
      </c>
      <c r="E2" s="40" t="inlineStr">
        <is>
          <t>FY2025A</t>
        </is>
      </c>
      <c r="F2" s="41" t="inlineStr">
        <is>
          <t>FY2026E</t>
        </is>
      </c>
      <c r="G2" s="41" t="inlineStr">
        <is>
          <t>FY2027E</t>
        </is>
      </c>
      <c r="H2" s="41" t="inlineStr">
        <is>
          <t>FY2028E</t>
        </is>
      </c>
      <c r="I2" s="41" t="inlineStr">
        <is>
          <t>FY2029E</t>
        </is>
      </c>
      <c r="J2" s="41" t="inlineStr">
        <is>
          <t>FY2030E</t>
        </is>
      </c>
      <c r="K2" s="42" t="inlineStr">
        <is>
          <t>Δ vs Scenarios</t>
        </is>
      </c>
      <c r="L2" s="39" t="inlineStr">
        <is>
          <t>Alt. source</t>
        </is>
      </c>
      <c r="M2" s="39" t="inlineStr">
        <is>
          <t>Alt. Ctrl+F</t>
        </is>
      </c>
    </row>
    <row r="3" ht="36" customHeight="1">
      <c r="A3" s="43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4" t="inlineStr">
        <is>
          <t>10-K</t>
        </is>
      </c>
      <c r="K3" s="45" t="inlineStr">
        <is>
          <t>(should be 0)</t>
        </is>
      </c>
    </row>
    <row r="5">
      <c r="A5" s="16" t="inlineStr">
        <is>
          <t>Net revenue</t>
        </is>
      </c>
      <c r="E5" s="46" t="n">
        <v>11102600</v>
      </c>
      <c r="F5" s="47">
        <f>Scenarios!G17</f>
        <v/>
      </c>
      <c r="G5" s="47">
        <f>Scenarios!G18</f>
        <v/>
      </c>
      <c r="H5" s="47">
        <f>Scenarios!G19</f>
        <v/>
      </c>
      <c r="I5" s="47">
        <f>Scenarios!G20</f>
        <v/>
      </c>
      <c r="J5" s="47">
        <f>Scenarios!G21</f>
        <v/>
      </c>
      <c r="K5" s="48">
        <f>IF(MAX(ABS(F5-Scenarios!$G$17),ABS(G5-Scenarios!$G$18),ABS(H5-Scenarios!$G$19),ABS(I5-Scenarios!$G$20),ABS(J5-Scenarios!$G$21))&lt;0.5,"OK","CHECK")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49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54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recovery assumption vs FY25 10-K OM 19.9% (2,210,615 / 11,102,600); still well below FY24 peak ~23.7%.</t>
        </is>
      </c>
      <c r="C7" s="49" t="inlineStr">
        <is>
          <t>Q2 FY2026 release: 18.8% OM minus 560bps tariffs
Also: FY2025 10-K: Income from operations / revenue</t>
        </is>
      </c>
      <c r="D7" s="19" t="inlineStr">
        <is>
          <t>Ctrl+F "18.8%" (Q2 OM) and "560 basis points" (tariff boost). Real run-rate = 18.8% − 5.6% = 13.2%. Do not use "decreased 13%".
Also: Ctrl+F "Income from operations" → 2,210,615 and "Net revenue" → 11,102,600. FY25 OM = 19.9%. Model FY30 15.5% is a partial-recovery assumption, not a reported figure.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8">
        <f>IF(MAX(ABS(F7-Scenarios!$G$22),ABS(G7-Scenarios!$G$23),ABS(H7-Scenarios!$G$24),ABS(I7-Scenarios!$G$25),ABS(J7-Scenarios!$G$26))&lt;0.0001,"OK","CHECK")</f>
        <v/>
      </c>
    </row>
    <row r="8" ht="36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6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3">
        <f>Scenarios!G27</f>
        <v/>
      </c>
      <c r="G9" s="33">
        <f>Scenarios!G28</f>
        <v/>
      </c>
      <c r="H9" s="33">
        <f>Scenarios!G29</f>
        <v/>
      </c>
      <c r="I9" s="33">
        <f>Scenarios!G30</f>
        <v/>
      </c>
      <c r="J9" s="33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7">
        <f>-Scenarios!G27*Scenarios!$G$11</f>
        <v/>
      </c>
      <c r="G11" s="47">
        <f>-Scenarios!G28*Scenarios!$G$11</f>
        <v/>
      </c>
      <c r="H11" s="47">
        <f>-Scenarios!G29*Scenarios!$G$11</f>
        <v/>
      </c>
      <c r="I11" s="47">
        <f>-Scenarios!G30*Scenarios!$G$11</f>
        <v/>
      </c>
      <c r="J11" s="47">
        <f>-Scenarios!G31*Scenarios!$G$11</f>
        <v/>
      </c>
    </row>
    <row r="12">
      <c r="A12" s="22" t="inlineStr">
        <is>
          <t>NOPAT</t>
        </is>
      </c>
      <c r="F12" s="33">
        <f>Scenarios!G32</f>
        <v/>
      </c>
      <c r="G12" s="33">
        <f>Scenarios!G33</f>
        <v/>
      </c>
      <c r="H12" s="33">
        <f>Scenarios!G34</f>
        <v/>
      </c>
      <c r="I12" s="33">
        <f>Scenarios!G35</f>
        <v/>
      </c>
      <c r="J12" s="33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36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7">
        <f>Scenarios!G37</f>
        <v/>
      </c>
      <c r="G14" s="47">
        <f>Scenarios!G38</f>
        <v/>
      </c>
      <c r="H14" s="47">
        <f>Scenarios!G39</f>
        <v/>
      </c>
      <c r="I14" s="47">
        <f>Scenarios!G40</f>
        <v/>
      </c>
      <c r="J14" s="47">
        <f>Scenarios!G41</f>
        <v/>
      </c>
      <c r="K14" s="48">
        <f>IF(MAX(ABS(F14-Scenarios!$G$37),ABS(G14-Scenarios!$G$38),ABS(H14-Scenarios!$G$39),ABS(I14-Scenarios!$G$40),ABS(J14-Scenarios!$G$41))&lt;0.5,"OK","CHECK")</f>
        <v/>
      </c>
    </row>
    <row r="15" ht="36" customHeight="1">
      <c r="A15" s="16" t="inlineStr">
        <is>
          <t xml:space="preserve">  Capex % of revenue</t>
        </is>
      </c>
      <c r="B15" s="17" t="inlineStr">
        <is>
          <t>5.5% is a 5-year blend: 2026 10-K guide $725–745M (~7.0% of FY26 sales) fading toward 5.0%.</t>
        </is>
      </c>
      <c r="C15" s="18" t="inlineStr">
        <is>
          <t>LULU CF statement (10-K)</t>
        </is>
      </c>
      <c r="D15" s="19" t="inlineStr">
        <is>
          <t>Ctrl+F "725.0 million" → 2026 capex guide $725–745M (~7.0% of FY26 sales). Ctrl+F "680,802" → FY25 capex. Model 5-yr blend 5.5%.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7">
        <f>-Scenarios!G42</f>
        <v/>
      </c>
      <c r="G16" s="47">
        <f>-Scenarios!G43</f>
        <v/>
      </c>
      <c r="H16" s="47">
        <f>-Scenarios!G44</f>
        <v/>
      </c>
      <c r="I16" s="47">
        <f>-Scenarios!G45</f>
        <v/>
      </c>
      <c r="J16" s="47">
        <f>-Scenarios!G46</f>
        <v/>
      </c>
      <c r="K16" s="48">
        <f>IF(MAX(ABS(F16+Scenarios!$G$42),ABS(G16+Scenarios!$G$43),ABS(H16+Scenarios!$G$44),ABS(I16+Scenarios!$G$45),ABS(J16+Scenarios!$G$46))&lt;0.5,"OK","CHECK")</f>
        <v/>
      </c>
    </row>
    <row r="17" ht="36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7">
        <f>-Scenarios!G47</f>
        <v/>
      </c>
      <c r="G18" s="47">
        <f>-Scenarios!G48</f>
        <v/>
      </c>
      <c r="H18" s="47">
        <f>-Scenarios!G49</f>
        <v/>
      </c>
      <c r="I18" s="47">
        <f>-Scenarios!G50</f>
        <v/>
      </c>
      <c r="J18" s="47">
        <f>-Scenarios!G51</f>
        <v/>
      </c>
      <c r="K18" s="48">
        <f>IF(MAX(ABS(F18+Scenarios!$G$47),ABS(G18+Scenarios!$G$48),ABS(H18+Scenarios!$G$49),ABS(I18+Scenarios!$G$50),ABS(J18+Scenarios!$G$51))&lt;0.5,"OK","CHECK")</f>
        <v/>
      </c>
    </row>
    <row r="19">
      <c r="A19" s="38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3">
        <f>F20*F22</f>
        <v/>
      </c>
      <c r="G23" s="33">
        <f>G20*G22</f>
        <v/>
      </c>
      <c r="H23" s="33">
        <f>H20*H22</f>
        <v/>
      </c>
      <c r="I23" s="33">
        <f>I20*I22</f>
        <v/>
      </c>
      <c r="J23" s="33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36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3">
        <f>J9+J14</f>
        <v/>
      </c>
    </row>
    <row r="30">
      <c r="A30" s="16" t="inlineStr">
        <is>
          <t>Terminal value = FCF₅×(1+g)/(WACC−g)</t>
        </is>
      </c>
      <c r="E30" s="47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3">
        <f>E27+E32</f>
        <v/>
      </c>
    </row>
    <row r="34" ht="36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6" t="n">
        <v>1807202</v>
      </c>
    </row>
    <row r="35" ht="36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6" t="n">
        <v>0</v>
      </c>
    </row>
    <row r="36">
      <c r="A36" s="22" t="inlineStr">
        <is>
          <t>Equity value</t>
        </is>
      </c>
      <c r="E36" s="33">
        <f>E33+E34+E35</f>
        <v/>
      </c>
    </row>
    <row r="37" ht="36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6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36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36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7">
        <f>E29*E45</f>
        <v/>
      </c>
    </row>
    <row r="47">
      <c r="A47" s="16" t="inlineStr">
        <is>
          <t>PV of terminal value</t>
        </is>
      </c>
      <c r="E47" s="47">
        <f>E46/(1+Scenarios!$G$9)^J21</f>
        <v/>
      </c>
    </row>
    <row r="48">
      <c r="A48" s="22" t="inlineStr">
        <is>
          <t>Enterprise value (exit method)</t>
        </is>
      </c>
      <c r="E48" s="33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8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36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36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36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36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36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36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36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6" t="n">
        <v>11102600</v>
      </c>
    </row>
    <row r="5">
      <c r="A5" s="16" t="inlineStr">
        <is>
          <t>FY2025A EBITDA (EBIT + D&amp;A)</t>
        </is>
      </c>
      <c r="E5" s="47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7">
        <f>DCF!E29</f>
        <v/>
      </c>
    </row>
    <row r="7" ht="36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36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6" t="n">
        <v>1807202</v>
      </c>
    </row>
    <row r="9" ht="36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6" t="n">
        <v>111380</v>
      </c>
    </row>
    <row r="10" ht="36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36" customHeight="1">
      <c r="A17" s="16" t="inlineStr">
        <is>
          <t>lululemon (LULU) — current</t>
        </is>
      </c>
      <c r="B17" s="38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"Income from operations" → 2,210,615 + "Depreciation and amortization" → 496,228</t>
        </is>
      </c>
      <c r="E17" s="81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0" t="inlineStr">
        <is>
          <t>•  Mid-point of terminal football field (6.5–9.5x on FY2030E EBITDA) — 8.0x sits between bear and bull exit</t>
        </is>
      </c>
    </row>
    <row r="30">
      <c r="A30" s="30" t="inlineStr">
        <is>
          <t>•  Above Gordon-implied exit (~7x) — ~1 turn buffer vs perpetuity math on terminal FCF</t>
        </is>
      </c>
    </row>
    <row r="31">
      <c r="A31" s="30" t="inlineStr">
        <is>
          <t>•  Below premium-growth peers (ONON ~25x, DECK ~15x) — reflects Americas maturity at terminal</t>
        </is>
      </c>
    </row>
    <row r="32">
      <c r="A32" s="30" t="inlineStr">
        <is>
          <t>•  Above current LULU (~3.5x on FY2025A) — assumes partial recovery, not full re-rating to historical peaks</t>
        </is>
      </c>
    </row>
    <row r="33">
      <c r="A33" s="30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36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36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8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2026-09-06T21:16:30Z</dcterms:created>
  <dcterms:modified xmlns:dcterms="http://purl.org/dc/terms/" xmlns:xsi="http://www.w3.org/2001/XMLSchema-instance" xsi:type="dcterms:W3CDTF">2026-09-06T21:16:30Z</dcterms:modified>
</cp:coreProperties>
</file>
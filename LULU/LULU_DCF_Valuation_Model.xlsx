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8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i val="1"/>
      <color rgb="000000CC"/>
      <sz val="8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7"/>
    </font>
    <font>
      <name val="Garamond"/>
      <i val="1"/>
      <color rgb="000000CC"/>
      <sz val="7"/>
      <u val="single"/>
    </font>
    <font>
      <name val="Garamond"/>
      <i val="1"/>
      <color rgb="000000CC"/>
      <sz val="7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 wrapText="1"/>
    </xf>
    <xf numFmtId="164" fontId="16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wrapText="1"/>
    </xf>
    <xf numFmtId="2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center" indent="1"/>
    </xf>
    <xf numFmtId="164" fontId="2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1" fillId="3" borderId="1" applyAlignment="1" pivotButton="0" quotePrefix="0" xfId="0">
      <alignment horizontal="right" vertical="center"/>
    </xf>
    <xf numFmtId="0" fontId="22" fillId="4" borderId="0" applyAlignment="1" pivotButton="0" quotePrefix="0" xfId="0">
      <alignment horizontal="center" vertical="center" wrapText="1"/>
    </xf>
    <xf numFmtId="0" fontId="22" fillId="5" borderId="0" applyAlignment="1" pivotButton="0" quotePrefix="0" xfId="0">
      <alignment horizontal="center" vertical="center" wrapText="1"/>
    </xf>
    <xf numFmtId="0" fontId="22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0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1" fillId="3" borderId="2" applyAlignment="1" pivotButton="0" quotePrefix="0" xfId="0">
      <alignment horizontal="right" vertical="center"/>
    </xf>
    <xf numFmtId="164" fontId="20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28" fillId="4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0" fontId="18" fillId="0" borderId="0" pivotButton="0" quotePrefix="0" xfId="0"/>
    <xf numFmtId="165" fontId="33" fillId="0" borderId="1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5" fontId="20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5" fillId="0" borderId="0" applyAlignment="1" pivotButton="0" quotePrefix="0" xfId="0">
      <alignment horizontal="center" vertical="center" wrapText="1"/>
    </xf>
    <xf numFmtId="0" fontId="28" fillId="2" borderId="0" pivotButton="0" quotePrefix="0" xfId="0"/>
    <xf numFmtId="165" fontId="20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indent="1"/>
    </xf>
    <xf numFmtId="166" fontId="36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7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7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38" fillId="2" borderId="0" applyAlignment="1" pivotButton="0" quotePrefix="0" xfId="0">
      <alignment horizontal="center" vertical="center" wrapText="1"/>
    </xf>
    <xf numFmtId="168" fontId="20" fillId="0" borderId="0" applyAlignment="1" pivotButton="0" quotePrefix="0" xfId="0">
      <alignment horizontal="right" vertical="center"/>
    </xf>
    <xf numFmtId="166" fontId="2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center" vertical="center" wrapText="1"/>
    </xf>
    <xf numFmtId="164" fontId="40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1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28" fillId="2" borderId="0" applyAlignment="1" pivotButton="0" quotePrefix="0" xfId="0">
      <alignment horizontal="left" vertical="center" indent="1"/>
    </xf>
    <xf numFmtId="0" fontId="28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38" fillId="2" borderId="0" applyAlignment="1" pivotButton="0" quotePrefix="0" xfId="0">
      <alignment horizontal="left" vertical="center" indent="1"/>
    </xf>
    <xf numFmtId="166" fontId="9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center" indent="1"/>
    </xf>
    <xf numFmtId="0" fontId="43" fillId="0" borderId="0" pivotButton="0" quotePrefix="0" xfId="0"/>
    <xf numFmtId="168" fontId="20" fillId="0" borderId="0" applyAlignment="1" pivotButton="0" quotePrefix="0" xfId="0">
      <alignment horizontal="center" vertical="center" wrapText="1"/>
    </xf>
    <xf numFmtId="166" fontId="20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5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.sec.gov/api/xbrl/companyfacts/CIK0001397187.json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nasdaq.com/market-activity/stocks/lulu" TargetMode="External" Id="rId12"/><Relationship Type="http://schemas.openxmlformats.org/officeDocument/2006/relationships/hyperlink" Target="https://www.nasdaq.com/market-activity/stocks/lulu" TargetMode="External" Id="rId13"/><Relationship Type="http://schemas.openxmlformats.org/officeDocument/2006/relationships/hyperlink" Target="https://pages.stern.nyu.edu/~adamodar/New_Home_Page/datafile/histimpl.html" TargetMode="External" Id="rId1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investor.lululemon.com/news-releases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finance.yahoo.com/quote/NKE/key-statistics/" TargetMode="External" Id="rId12"/><Relationship Type="http://schemas.openxmlformats.org/officeDocument/2006/relationships/hyperlink" Target="https://www.nasdaq.com/market-activity/stocks/lulu" TargetMode="External" Id="rId13"/><Relationship Type="http://schemas.openxmlformats.org/officeDocument/2006/relationships/hyperlink" Target="https://www.nasdaq.com/market-activity/stocks/lulu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/ inputs (justification + clickable source link)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>
      <c r="B18" s="10" t="inlineStr">
        <is>
          <t>SEC EDGAR XBRL company facts, CIK 0001397187 (Form 10-K, FY2025)</t>
        </is>
      </c>
    </row>
    <row r="19">
      <c r="B19" s="10" t="inlineStr">
        <is>
          <t>FY2025 Form 10-K (ended Feb 1, 2026)</t>
        </is>
      </c>
    </row>
    <row r="20">
      <c r="B20" s="10" t="inlineStr">
        <is>
          <t>Market data &amp; Q2 FY2026 results (Sep 3, 2026 earnings release)</t>
        </is>
      </c>
    </row>
    <row r="21">
      <c r="B21" s="10" t="inlineStr">
        <is>
          <t>Current share price (NASDAQ: LULU)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6" customWidth="1" min="2" max="2"/>
    <col width="14" customWidth="1" min="3" max="3"/>
    <col width="44" customWidth="1" min="4" max="4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</row>
    <row r="2">
      <c r="A2" s="14" t="inlineStr">
        <is>
          <t>Cost of equity (CAPM)</t>
        </is>
      </c>
      <c r="B2" s="15" t="inlineStr">
        <is>
          <t>Source (click link)</t>
        </is>
      </c>
      <c r="D2" s="15" t="inlineStr">
        <is>
          <t>Justification (~20 words)</t>
        </is>
      </c>
    </row>
    <row r="3">
      <c r="A3" s="16" t="inlineStr">
        <is>
          <t>Risk-free rate (10-yr UST)</t>
        </is>
      </c>
      <c r="B3" s="17">
        <f>HYPERLINK("https://fred.stlouisfed.org/series/DGS10","↳ FRED: 10Y Treasury (DGS10)")</f>
        <v/>
      </c>
      <c r="C3" s="18" t="n">
        <v>0.043</v>
      </c>
      <c r="D3" s="19" t="inlineStr">
        <is>
          <t>4.3% risk-free anchored to FRED 10Y Treasury (DGS10); rounded early-Sep-2026 level for DCF stability.</t>
        </is>
      </c>
    </row>
    <row r="4">
      <c r="A4" s="16" t="inlineStr">
        <is>
          <t>Equity risk premium</t>
        </is>
      </c>
      <c r="B4" s="17">
        <f>HYPERLINK("https://pages.stern.nyu.edu/~adamodar/New_Home_Page/datafile/histimpl.html","↳ Damodaran: Historical Implied ERP")</f>
        <v/>
      </c>
      <c r="C4" s="18" t="n">
        <v>0.06</v>
      </c>
      <c r="D4" s="19" t="inlineStr">
        <is>
          <t>6.0% additive ERP; conservative vs Damodaran implied ~4.2% (Jan-26); within long-run historical US range.</t>
        </is>
      </c>
    </row>
    <row r="5">
      <c r="A5" s="16" t="inlineStr">
        <is>
          <t>Levered beta</t>
        </is>
      </c>
      <c r="B5" s="17">
        <f>HYPERLINK("https://finance.yahoo.com/quote/LULU/key-statistics/","↳ Yahoo Finance: LULU Beta")</f>
        <v/>
      </c>
      <c r="C5" s="20" t="n">
        <v>0.95</v>
      </c>
      <c r="D5" s="19" t="inlineStr">
        <is>
          <t>0.95 levered beta vs ~0.86 market; modest uplift for near-term earnings volatility and post-guidance de-rating.</t>
        </is>
      </c>
    </row>
    <row r="6">
      <c r="A6" s="21" t="inlineStr">
        <is>
          <t>Cost of equity = rf + β × ERP</t>
        </is>
      </c>
      <c r="C6" s="22">
        <f>C3+C5*C4</f>
        <v/>
      </c>
    </row>
    <row r="8">
      <c r="A8" s="14" t="inlineStr">
        <is>
          <t>Cost of debt</t>
        </is>
      </c>
    </row>
    <row r="9">
      <c r="A9" s="16" t="inlineStr">
        <is>
          <t>Pre-tax cost of debt</t>
        </is>
      </c>
      <c r="B9" s="17">
        <f>HYPERLINK("https://www.sec.gov/Archives/edgar/data/1397187/000139718726000020/lulu-20260201.htm","↳ LULU FY2025 10-K (no funded debt)")</f>
        <v/>
      </c>
      <c r="C9" s="18" t="n">
        <v>0.05</v>
      </c>
      <c r="D9" s="19" t="inlineStr">
        <is>
          <t>5.0% illustrative pre-tax debt cost; LULU has no funded term debt, only an undrawn revolving credit facility.</t>
        </is>
      </c>
    </row>
    <row r="10">
      <c r="A10" s="16" t="inlineStr">
        <is>
          <t>Tax rate</t>
        </is>
      </c>
      <c r="B10" s="17">
        <f>HYPERLINK("https://pages.stern.nyu.edu/~adamodar/New_Home_Page/datafile/taxrate.html","↳ Damodaran: US tax rate dataset")</f>
        <v/>
      </c>
      <c r="C10" s="18" t="n">
        <v>0.27</v>
      </c>
      <c r="D10" s="19" t="inlineStr">
        <is>
          <t>27% normalized marginal cash tax rate; mid-point between recent effective rates and US federal-plus-state blend.</t>
        </is>
      </c>
    </row>
    <row r="11">
      <c r="A11" s="16" t="inlineStr">
        <is>
          <t>After-tax cost of debt</t>
        </is>
      </c>
      <c r="C11" s="23">
        <f>C9*(1-C10)</f>
        <v/>
      </c>
    </row>
    <row r="13">
      <c r="A13" s="14" t="inlineStr">
        <is>
          <t>Capital structure (market values)</t>
        </is>
      </c>
    </row>
    <row r="14">
      <c r="A14" s="16" t="inlineStr">
        <is>
          <t>Equity weight</t>
        </is>
      </c>
      <c r="B14" s="17">
        <f>HYPERLINK("https://www.sec.gov/Archives/edgar/data/1397187/000139718726000020/lulu-20260201.htm","↳ LULU FY2025 10-K balance sheet")</f>
        <v/>
      </c>
      <c r="C14" s="18" t="n">
        <v>1</v>
      </c>
      <c r="D14" s="19" t="inlineStr">
        <is>
          <t>100% equity weight; net-cash balance sheet with no material funded debt at market values per FY2025 10-K.</t>
        </is>
      </c>
    </row>
    <row r="15">
      <c r="A15" s="16" t="inlineStr">
        <is>
          <t>Debt weight</t>
        </is>
      </c>
      <c r="B15" s="17">
        <f>HYPERLINK("https://www.sec.gov/Archives/edgar/data/1397187/000139718726000020/lulu-20260201.htm","↳ LULU FY2025 10-K balance sheet")</f>
        <v/>
      </c>
      <c r="C15" s="18" t="n">
        <v>0</v>
      </c>
      <c r="D15" s="19" t="inlineStr">
        <is>
          <t>0% debt weight; no outstanding term loans or bonds, so WACC effectively equals levered cost of equity here.</t>
        </is>
      </c>
    </row>
    <row r="16">
      <c r="A16" s="21" t="inlineStr">
        <is>
          <t>WACC</t>
        </is>
      </c>
      <c r="C16" s="24">
        <f>C14*C6+C15*C11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" customWidth="1" min="2" max="2"/>
    <col width="15" customWidth="1" min="3" max="3"/>
    <col width="15" customWidth="1" min="4" max="4"/>
    <col width="15" customWidth="1" min="5" max="5"/>
    <col width="44" customWidth="1" min="6" max="6"/>
    <col width="28" customWidth="1" min="7" max="7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25" t="inlineStr">
        <is>
          <t>Bear</t>
        </is>
      </c>
      <c r="D2" s="26" t="inlineStr">
        <is>
          <t>Base</t>
        </is>
      </c>
      <c r="E2" s="27" t="inlineStr">
        <is>
          <t>Bull</t>
        </is>
      </c>
    </row>
    <row r="3">
      <c r="A3" s="14" t="inlineStr">
        <is>
          <t>Key assumptions (5-yr forecast)</t>
        </is>
      </c>
      <c r="F3" s="15" t="inlineStr">
        <is>
          <t>Justification (~20 words)</t>
        </is>
      </c>
      <c r="G3" s="15" t="inlineStr">
        <is>
          <t>Source (click link)</t>
        </is>
      </c>
    </row>
    <row r="4">
      <c r="A4" s="16" t="inlineStr">
        <is>
          <t>FY2026E revenue growth</t>
        </is>
      </c>
      <c r="C4" s="18" t="n">
        <v>-0.09</v>
      </c>
      <c r="D4" s="18" t="n">
        <v>-0.061</v>
      </c>
      <c r="E4" s="18" t="n">
        <v>-0.04</v>
      </c>
      <c r="F4" s="19" t="inlineStr">
        <is>
          <t>−6.1% FY2026 revenue growth matches company guidance midpoint of −5% to −7% after Q2 FY2026 print.</t>
        </is>
      </c>
      <c r="G4" s="17">
        <f>HYPERLINK("https://investor.lululemon.com/news-releases","↳ LULU Q2 FY2026 earnings release")</f>
        <v/>
      </c>
    </row>
    <row r="5">
      <c r="A5" s="16" t="inlineStr">
        <is>
          <t>FY2027–FY2030E revenue growth (avg)</t>
        </is>
      </c>
      <c r="C5" s="18" t="n">
        <v>-0.01</v>
      </c>
      <c r="D5" s="18" t="n">
        <v>0.028</v>
      </c>
      <c r="E5" s="18" t="n">
        <v>0.06</v>
      </c>
      <c r="F5" s="19" t="inlineStr">
        <is>
          <t>2.8% avg FY27–30 growth assumes gradual recovery; well below historical double-digit LULU revenue expansion.</t>
        </is>
      </c>
      <c r="G5" s="17">
        <f>HYPERLINK("https://www.sec.gov/Archives/edgar/data/1397187/000139718726000020/lulu-20260201.htm","↳ LULU historical revenue (10-K)")</f>
        <v/>
      </c>
    </row>
    <row r="6">
      <c r="A6" s="16" t="inlineStr">
        <is>
          <t>FY2026E EBIT margin</t>
        </is>
      </c>
      <c r="C6" s="18" t="n">
        <v>0.125</v>
      </c>
      <c r="D6" s="18" t="n">
        <v>0.139</v>
      </c>
      <c r="E6" s="18" t="n">
        <v>0.15</v>
      </c>
      <c r="F6" s="19" t="inlineStr">
        <is>
          <t>13.9% FY2026 EBIT margin reflects Americas weakness and guided compression; above bear, below historical peak.</t>
        </is>
      </c>
      <c r="G6" s="17">
        <f>HYPERLINK("https://investor.lululemon.com/news-releases","↳ LULU Q2 FY2026 guidance / 10-K margins")</f>
        <v/>
      </c>
    </row>
    <row r="7">
      <c r="A7" s="16" t="inlineStr">
        <is>
          <t>Terminal (FY2030E) EBIT margin</t>
        </is>
      </c>
      <c r="C7" s="18" t="n">
        <v>0.12</v>
      </c>
      <c r="D7" s="18" t="n">
        <v>0.155</v>
      </c>
      <c r="E7" s="18" t="n">
        <v>0.19</v>
      </c>
      <c r="F7" s="19" t="inlineStr">
        <is>
          <t>15.5% FY2030 EBIT margin assumes partial recovery; still materially below ~20–24% peak operating margins.</t>
        </is>
      </c>
      <c r="G7" s="17">
        <f>HYPERLINK("https://www.sec.gov/Archives/edgar/data/1397187/000139718726000020/lulu-20260201.htm","↳ LULU historical EBIT margins (10-K)")</f>
        <v/>
      </c>
    </row>
    <row r="8">
      <c r="A8" s="16" t="inlineStr">
        <is>
          <t>WACC</t>
        </is>
      </c>
      <c r="C8" s="18" t="n">
        <v>0.11</v>
      </c>
      <c r="D8" s="18" t="n">
        <v>0.1</v>
      </c>
      <c r="E8" s="18" t="n">
        <v>0.09</v>
      </c>
      <c r="F8" s="19" t="inlineStr">
        <is>
          <t>10.0% base WACC ties to CAPM build on WACC tab; drives scenario DCFs and base-case valuation.</t>
        </is>
      </c>
      <c r="G8" s="28" t="inlineStr">
        <is>
          <t>↳ WACC tab: CAPM build</t>
        </is>
      </c>
    </row>
    <row r="9">
      <c r="A9" s="16" t="inlineStr">
        <is>
          <t>Terminal growth</t>
        </is>
      </c>
      <c r="C9" s="18" t="n">
        <v>0.015</v>
      </c>
      <c r="D9" s="18" t="n">
        <v>0.0225</v>
      </c>
      <c r="E9" s="18" t="n">
        <v>0.03</v>
      </c>
      <c r="F9" s="19" t="inlineStr">
        <is>
          <t>2.25% terminal growth approximates long-run GDP plus inflation; conservative perpetuity rate for mature apparel.</t>
        </is>
      </c>
      <c r="G9" s="17">
        <f>HYPERLINK("https://fred.stlouisfed.org/series/GDPC1","↳ BEA: Real GDP (FRED GDPC1)")</f>
        <v/>
      </c>
    </row>
    <row r="10">
      <c r="A10" s="16" t="inlineStr">
        <is>
          <t>Cash tax rate</t>
        </is>
      </c>
      <c r="C10" s="18" t="n">
        <v>0.3</v>
      </c>
      <c r="D10" s="18" t="n">
        <v>0.27</v>
      </c>
      <c r="E10" s="18" t="n">
        <v>0.25</v>
      </c>
      <c r="F10" s="19" t="inlineStr">
        <is>
          <t>27% cash tax rate for scenario FCF; consistent with WACC normalized rate and DCF unlevered cash conversion.</t>
        </is>
      </c>
      <c r="G10" s="17">
        <f>HYPERLINK("https://pages.stern.nyu.edu/~adamodar/New_Home_Page/datafile/taxrate.html","↳ Damodaran: US tax rate dataset")</f>
        <v/>
      </c>
    </row>
    <row r="11">
      <c r="A11" s="16" t="inlineStr">
        <is>
          <t>D&amp;A % of revenue</t>
        </is>
      </c>
      <c r="C11" s="18" t="n">
        <v>0.045</v>
      </c>
      <c r="D11" s="18" t="n">
        <v>0.045</v>
      </c>
      <c r="E11" s="18" t="n">
        <v>0.045</v>
      </c>
      <c r="F11" s="19" t="inlineStr">
        <is>
          <t>4.5% D&amp;A to revenue near FY22–25 average; reflects store fleet, distribution, and technology amortization load.</t>
        </is>
      </c>
      <c r="G11" s="17">
        <f>HYPERLINK("https://www.sec.gov/Archives/edgar/data/1397187/000139718726000020/lulu-20260201.htm","↳ LULU CF statement (10-K)")</f>
        <v/>
      </c>
    </row>
    <row r="12">
      <c r="A12" s="16" t="inlineStr">
        <is>
          <t>Capex % of revenue</t>
        </is>
      </c>
      <c r="C12" s="18" t="n">
        <v>0.055</v>
      </c>
      <c r="D12" s="18" t="n">
        <v>0.05</v>
      </c>
      <c r="E12" s="18" t="n">
        <v>0.045</v>
      </c>
      <c r="F12" s="19" t="inlineStr">
        <is>
          <t>5.0% capex to revenue aligned with recent investment intensity and continued global store expansion plans.</t>
        </is>
      </c>
      <c r="G12" s="17">
        <f>HYPERLINK("https://www.sec.gov/Archives/edgar/data/1397187/000139718726000020/lulu-20260201.htm","↳ LULU CF statement (10-K)")</f>
        <v/>
      </c>
    </row>
    <row r="13">
      <c r="A13" s="16" t="inlineStr">
        <is>
          <t>NWC build % of Δrevenue</t>
        </is>
      </c>
      <c r="C13" s="18" t="n">
        <v>0.08</v>
      </c>
      <c r="D13" s="18" t="n">
        <v>0.075</v>
      </c>
      <c r="E13" s="18" t="n">
        <v>0.07000000000000001</v>
      </c>
      <c r="F13" s="19" t="inlineStr">
        <is>
          <t>7.5% of revenue change for ΔNWC; ties working-capital swings to sales trajectory per historical sensitivity.</t>
        </is>
      </c>
      <c r="G13" s="17">
        <f>HYPERLINK("https://www.sec.gov/Archives/edgar/data/1397187/000139718726000020/lulu-20260201.htm","↳ LULU BS/IS historical (10-K)")</f>
        <v/>
      </c>
    </row>
    <row r="15">
      <c r="A15" s="14" t="inlineStr">
        <is>
          <t>5-year forecast paths (by scenario)</t>
        </is>
      </c>
    </row>
    <row r="16">
      <c r="A16" s="29" t="inlineStr">
        <is>
          <t xml:space="preserve">  Revenue – year 1</t>
        </is>
      </c>
      <c r="C16" s="30">
        <f>11102600*(1+C4)</f>
        <v/>
      </c>
      <c r="D16" s="30">
        <f>11102600*(1+D4)</f>
        <v/>
      </c>
      <c r="E16" s="30">
        <f>11102600*(1+E4)</f>
        <v/>
      </c>
    </row>
    <row r="17">
      <c r="A17" s="29" t="inlineStr">
        <is>
          <t xml:space="preserve">  Revenue – year 2</t>
        </is>
      </c>
      <c r="C17" s="30">
        <f>C16*(1+C5)</f>
        <v/>
      </c>
      <c r="D17" s="30">
        <f>D16*(1+D5)</f>
        <v/>
      </c>
      <c r="E17" s="30">
        <f>E16*(1+E5)</f>
        <v/>
      </c>
    </row>
    <row r="18">
      <c r="A18" s="29" t="inlineStr">
        <is>
          <t xml:space="preserve">  Revenue – year 3</t>
        </is>
      </c>
      <c r="C18" s="30">
        <f>C17*(1+C5)</f>
        <v/>
      </c>
      <c r="D18" s="30">
        <f>D17*(1+D5)</f>
        <v/>
      </c>
      <c r="E18" s="30">
        <f>E17*(1+E5)</f>
        <v/>
      </c>
    </row>
    <row r="19">
      <c r="A19" s="29" t="inlineStr">
        <is>
          <t xml:space="preserve">  Revenue – year 4</t>
        </is>
      </c>
      <c r="C19" s="30">
        <f>C18*(1+C5)</f>
        <v/>
      </c>
      <c r="D19" s="30">
        <f>D18*(1+D5)</f>
        <v/>
      </c>
      <c r="E19" s="30">
        <f>E18*(1+E5)</f>
        <v/>
      </c>
    </row>
    <row r="20">
      <c r="A20" s="29" t="inlineStr">
        <is>
          <t xml:space="preserve">  Revenue – year 5</t>
        </is>
      </c>
      <c r="C20" s="30">
        <f>C19*(1+C5)</f>
        <v/>
      </c>
      <c r="D20" s="30">
        <f>D19*(1+D5)</f>
        <v/>
      </c>
      <c r="E20" s="30">
        <f>E19*(1+E5)</f>
        <v/>
      </c>
    </row>
    <row r="21">
      <c r="A21" s="29" t="inlineStr">
        <is>
          <t xml:space="preserve">  EBIT margin – year 1</t>
        </is>
      </c>
      <c r="C21" s="31">
        <f>C6+(C7-C6)*0/4</f>
        <v/>
      </c>
      <c r="D21" s="31">
        <f>D6+(D7-D6)*0/4</f>
        <v/>
      </c>
      <c r="E21" s="31">
        <f>E6+(E7-E6)*0/4</f>
        <v/>
      </c>
    </row>
    <row r="22">
      <c r="A22" s="29" t="inlineStr">
        <is>
          <t xml:space="preserve">  EBIT margin – year 2</t>
        </is>
      </c>
      <c r="C22" s="31">
        <f>C6+(C7-C6)*1/4</f>
        <v/>
      </c>
      <c r="D22" s="31">
        <f>D6+(D7-D6)*1/4</f>
        <v/>
      </c>
      <c r="E22" s="31">
        <f>E6+(E7-E6)*1/4</f>
        <v/>
      </c>
    </row>
    <row r="23">
      <c r="A23" s="29" t="inlineStr">
        <is>
          <t xml:space="preserve">  EBIT margin – year 3</t>
        </is>
      </c>
      <c r="C23" s="31">
        <f>C6+(C7-C6)*2/4</f>
        <v/>
      </c>
      <c r="D23" s="31">
        <f>D6+(D7-D6)*2/4</f>
        <v/>
      </c>
      <c r="E23" s="31">
        <f>E6+(E7-E6)*2/4</f>
        <v/>
      </c>
    </row>
    <row r="24">
      <c r="A24" s="29" t="inlineStr">
        <is>
          <t xml:space="preserve">  EBIT margin – year 4</t>
        </is>
      </c>
      <c r="C24" s="31">
        <f>C6+(C7-C6)*3/4</f>
        <v/>
      </c>
      <c r="D24" s="31">
        <f>D6+(D7-D6)*3/4</f>
        <v/>
      </c>
      <c r="E24" s="31">
        <f>E6+(E7-E6)*3/4</f>
        <v/>
      </c>
    </row>
    <row r="25">
      <c r="A25" s="29" t="inlineStr">
        <is>
          <t xml:space="preserve">  EBIT margin – year 5</t>
        </is>
      </c>
      <c r="C25" s="31">
        <f>C6+(C7-C6)*4/4</f>
        <v/>
      </c>
      <c r="D25" s="31">
        <f>D6+(D7-D6)*4/4</f>
        <v/>
      </c>
      <c r="E25" s="31">
        <f>E6+(E7-E6)*4/4</f>
        <v/>
      </c>
    </row>
    <row r="26">
      <c r="A26" s="29" t="inlineStr">
        <is>
          <t xml:space="preserve">  EBIT – year 1</t>
        </is>
      </c>
      <c r="C26" s="30">
        <f>C16*C21</f>
        <v/>
      </c>
      <c r="D26" s="30">
        <f>D16*D21</f>
        <v/>
      </c>
      <c r="E26" s="30">
        <f>E16*E21</f>
        <v/>
      </c>
    </row>
    <row r="27">
      <c r="A27" s="29" t="inlineStr">
        <is>
          <t xml:space="preserve">  EBIT – year 2</t>
        </is>
      </c>
      <c r="C27" s="30">
        <f>C17*C22</f>
        <v/>
      </c>
      <c r="D27" s="30">
        <f>D17*D22</f>
        <v/>
      </c>
      <c r="E27" s="30">
        <f>E17*E22</f>
        <v/>
      </c>
    </row>
    <row r="28">
      <c r="A28" s="29" t="inlineStr">
        <is>
          <t xml:space="preserve">  EBIT – year 3</t>
        </is>
      </c>
      <c r="C28" s="30">
        <f>C18*C23</f>
        <v/>
      </c>
      <c r="D28" s="30">
        <f>D18*D23</f>
        <v/>
      </c>
      <c r="E28" s="30">
        <f>E18*E23</f>
        <v/>
      </c>
    </row>
    <row r="29">
      <c r="A29" s="29" t="inlineStr">
        <is>
          <t xml:space="preserve">  EBIT – year 4</t>
        </is>
      </c>
      <c r="C29" s="30">
        <f>C19*C24</f>
        <v/>
      </c>
      <c r="D29" s="30">
        <f>D19*D24</f>
        <v/>
      </c>
      <c r="E29" s="30">
        <f>E19*E24</f>
        <v/>
      </c>
    </row>
    <row r="30">
      <c r="A30" s="29" t="inlineStr">
        <is>
          <t xml:space="preserve">  EBIT – year 5</t>
        </is>
      </c>
      <c r="C30" s="30">
        <f>C20*C25</f>
        <v/>
      </c>
      <c r="D30" s="30">
        <f>D20*D25</f>
        <v/>
      </c>
      <c r="E30" s="30">
        <f>E20*E25</f>
        <v/>
      </c>
    </row>
    <row r="31">
      <c r="A31" s="29" t="inlineStr">
        <is>
          <t xml:space="preserve">  NOPAT – year 1</t>
        </is>
      </c>
      <c r="C31" s="30">
        <f>C26*(1-C10)</f>
        <v/>
      </c>
      <c r="D31" s="30">
        <f>D26*(1-D10)</f>
        <v/>
      </c>
      <c r="E31" s="30">
        <f>E26*(1-E10)</f>
        <v/>
      </c>
    </row>
    <row r="32">
      <c r="A32" s="29" t="inlineStr">
        <is>
          <t xml:space="preserve">  NOPAT – year 2</t>
        </is>
      </c>
      <c r="C32" s="30">
        <f>C27*(1-C10)</f>
        <v/>
      </c>
      <c r="D32" s="30">
        <f>D27*(1-D10)</f>
        <v/>
      </c>
      <c r="E32" s="30">
        <f>E27*(1-E10)</f>
        <v/>
      </c>
    </row>
    <row r="33">
      <c r="A33" s="29" t="inlineStr">
        <is>
          <t xml:space="preserve">  NOPAT – year 3</t>
        </is>
      </c>
      <c r="C33" s="30">
        <f>C28*(1-C10)</f>
        <v/>
      </c>
      <c r="D33" s="30">
        <f>D28*(1-D10)</f>
        <v/>
      </c>
      <c r="E33" s="30">
        <f>E28*(1-E10)</f>
        <v/>
      </c>
    </row>
    <row r="34">
      <c r="A34" s="29" t="inlineStr">
        <is>
          <t xml:space="preserve">  NOPAT – year 4</t>
        </is>
      </c>
      <c r="C34" s="30">
        <f>C29*(1-C10)</f>
        <v/>
      </c>
      <c r="D34" s="30">
        <f>D29*(1-D10)</f>
        <v/>
      </c>
      <c r="E34" s="30">
        <f>E29*(1-E10)</f>
        <v/>
      </c>
    </row>
    <row r="35">
      <c r="A35" s="29" t="inlineStr">
        <is>
          <t xml:space="preserve">  NOPAT – year 5</t>
        </is>
      </c>
      <c r="C35" s="30">
        <f>C30*(1-C10)</f>
        <v/>
      </c>
      <c r="D35" s="30">
        <f>D30*(1-D10)</f>
        <v/>
      </c>
      <c r="E35" s="30">
        <f>E30*(1-E10)</f>
        <v/>
      </c>
    </row>
    <row r="36">
      <c r="A36" s="29" t="inlineStr">
        <is>
          <t xml:space="preserve">  D&amp;A – year 1</t>
        </is>
      </c>
      <c r="C36" s="30">
        <f>C16*C11</f>
        <v/>
      </c>
      <c r="D36" s="30">
        <f>D16*D11</f>
        <v/>
      </c>
      <c r="E36" s="30">
        <f>E16*E11</f>
        <v/>
      </c>
    </row>
    <row r="37">
      <c r="A37" s="29" t="inlineStr">
        <is>
          <t xml:space="preserve">  D&amp;A – year 2</t>
        </is>
      </c>
      <c r="C37" s="30">
        <f>C17*C11</f>
        <v/>
      </c>
      <c r="D37" s="30">
        <f>D17*D11</f>
        <v/>
      </c>
      <c r="E37" s="30">
        <f>E17*E11</f>
        <v/>
      </c>
    </row>
    <row r="38">
      <c r="A38" s="29" t="inlineStr">
        <is>
          <t xml:space="preserve">  D&amp;A – year 3</t>
        </is>
      </c>
      <c r="C38" s="30">
        <f>C18*C11</f>
        <v/>
      </c>
      <c r="D38" s="30">
        <f>D18*D11</f>
        <v/>
      </c>
      <c r="E38" s="30">
        <f>E18*E11</f>
        <v/>
      </c>
    </row>
    <row r="39">
      <c r="A39" s="29" t="inlineStr">
        <is>
          <t xml:space="preserve">  D&amp;A – year 4</t>
        </is>
      </c>
      <c r="C39" s="30">
        <f>C19*C11</f>
        <v/>
      </c>
      <c r="D39" s="30">
        <f>D19*D11</f>
        <v/>
      </c>
      <c r="E39" s="30">
        <f>E19*E11</f>
        <v/>
      </c>
    </row>
    <row r="40">
      <c r="A40" s="29" t="inlineStr">
        <is>
          <t xml:space="preserve">  D&amp;A – year 5</t>
        </is>
      </c>
      <c r="C40" s="30">
        <f>C20*C11</f>
        <v/>
      </c>
      <c r="D40" s="30">
        <f>D20*D11</f>
        <v/>
      </c>
      <c r="E40" s="30">
        <f>E20*E11</f>
        <v/>
      </c>
    </row>
    <row r="41">
      <c r="A41" s="29" t="inlineStr">
        <is>
          <t xml:space="preserve">  Capex – year 1</t>
        </is>
      </c>
      <c r="C41" s="30">
        <f>C16*C12</f>
        <v/>
      </c>
      <c r="D41" s="30">
        <f>D16*D12</f>
        <v/>
      </c>
      <c r="E41" s="30">
        <f>E16*E12</f>
        <v/>
      </c>
    </row>
    <row r="42">
      <c r="A42" s="29" t="inlineStr">
        <is>
          <t xml:space="preserve">  Capex – year 2</t>
        </is>
      </c>
      <c r="C42" s="30">
        <f>C17*C12</f>
        <v/>
      </c>
      <c r="D42" s="30">
        <f>D17*D12</f>
        <v/>
      </c>
      <c r="E42" s="30">
        <f>E17*E12</f>
        <v/>
      </c>
    </row>
    <row r="43">
      <c r="A43" s="29" t="inlineStr">
        <is>
          <t xml:space="preserve">  Capex – year 3</t>
        </is>
      </c>
      <c r="C43" s="30">
        <f>C18*C12</f>
        <v/>
      </c>
      <c r="D43" s="30">
        <f>D18*D12</f>
        <v/>
      </c>
      <c r="E43" s="30">
        <f>E18*E12</f>
        <v/>
      </c>
    </row>
    <row r="44">
      <c r="A44" s="29" t="inlineStr">
        <is>
          <t xml:space="preserve">  Capex – year 4</t>
        </is>
      </c>
      <c r="C44" s="30">
        <f>C19*C12</f>
        <v/>
      </c>
      <c r="D44" s="30">
        <f>D19*D12</f>
        <v/>
      </c>
      <c r="E44" s="30">
        <f>E19*E12</f>
        <v/>
      </c>
    </row>
    <row r="45">
      <c r="A45" s="29" t="inlineStr">
        <is>
          <t xml:space="preserve">  Capex – year 5</t>
        </is>
      </c>
      <c r="C45" s="30">
        <f>C20*C12</f>
        <v/>
      </c>
      <c r="D45" s="30">
        <f>D20*D12</f>
        <v/>
      </c>
      <c r="E45" s="30">
        <f>E20*E12</f>
        <v/>
      </c>
    </row>
    <row r="46">
      <c r="A46" s="29" t="inlineStr">
        <is>
          <t xml:space="preserve">  ΔNWC – year 1</t>
        </is>
      </c>
      <c r="C46" s="30">
        <f>C13*(C16-11102600)</f>
        <v/>
      </c>
      <c r="D46" s="30">
        <f>D13*(D16-11102600)</f>
        <v/>
      </c>
      <c r="E46" s="30">
        <f>E13*(E16-11102600)</f>
        <v/>
      </c>
    </row>
    <row r="47">
      <c r="A47" s="29" t="inlineStr">
        <is>
          <t xml:space="preserve">  ΔNWC – year 2</t>
        </is>
      </c>
      <c r="C47" s="30">
        <f>C13*(C17-C16)</f>
        <v/>
      </c>
      <c r="D47" s="30">
        <f>D13*(D17-D16)</f>
        <v/>
      </c>
      <c r="E47" s="30">
        <f>E13*(E17-E16)</f>
        <v/>
      </c>
    </row>
    <row r="48">
      <c r="A48" s="29" t="inlineStr">
        <is>
          <t xml:space="preserve">  ΔNWC – year 3</t>
        </is>
      </c>
      <c r="C48" s="30">
        <f>C13*(C18-C17)</f>
        <v/>
      </c>
      <c r="D48" s="30">
        <f>D13*(D18-D17)</f>
        <v/>
      </c>
      <c r="E48" s="30">
        <f>E13*(E18-E17)</f>
        <v/>
      </c>
    </row>
    <row r="49">
      <c r="A49" s="29" t="inlineStr">
        <is>
          <t xml:space="preserve">  ΔNWC – year 4</t>
        </is>
      </c>
      <c r="C49" s="30">
        <f>C13*(C19-C18)</f>
        <v/>
      </c>
      <c r="D49" s="30">
        <f>D13*(D19-D18)</f>
        <v/>
      </c>
      <c r="E49" s="30">
        <f>E13*(E19-E18)</f>
        <v/>
      </c>
    </row>
    <row r="50">
      <c r="A50" s="29" t="inlineStr">
        <is>
          <t xml:space="preserve">  ΔNWC – year 5</t>
        </is>
      </c>
      <c r="C50" s="30">
        <f>C13*(C20-C19)</f>
        <v/>
      </c>
      <c r="D50" s="30">
        <f>D13*(D20-D19)</f>
        <v/>
      </c>
      <c r="E50" s="30">
        <f>E13*(E20-E19)</f>
        <v/>
      </c>
    </row>
    <row r="51">
      <c r="A51" s="29" t="inlineStr">
        <is>
          <t xml:space="preserve">  Unlevered FCF – year 1</t>
        </is>
      </c>
      <c r="C51" s="30">
        <f>C31+C36-C41-C46</f>
        <v/>
      </c>
      <c r="D51" s="30">
        <f>D31+D36-D41-D46</f>
        <v/>
      </c>
      <c r="E51" s="30">
        <f>E31+E36-E41-E46</f>
        <v/>
      </c>
    </row>
    <row r="52">
      <c r="A52" s="29" t="inlineStr">
        <is>
          <t xml:space="preserve">  Unlevered FCF – year 2</t>
        </is>
      </c>
      <c r="C52" s="30">
        <f>C32+C37-C42-C47</f>
        <v/>
      </c>
      <c r="D52" s="30">
        <f>D32+D37-D42-D47</f>
        <v/>
      </c>
      <c r="E52" s="30">
        <f>E32+E37-E42-E47</f>
        <v/>
      </c>
    </row>
    <row r="53">
      <c r="A53" s="29" t="inlineStr">
        <is>
          <t xml:space="preserve">  Unlevered FCF – year 3</t>
        </is>
      </c>
      <c r="C53" s="30">
        <f>C33+C38-C43-C48</f>
        <v/>
      </c>
      <c r="D53" s="30">
        <f>D33+D38-D43-D48</f>
        <v/>
      </c>
      <c r="E53" s="30">
        <f>E33+E38-E43-E48</f>
        <v/>
      </c>
    </row>
    <row r="54">
      <c r="A54" s="29" t="inlineStr">
        <is>
          <t xml:space="preserve">  Unlevered FCF – year 4</t>
        </is>
      </c>
      <c r="C54" s="30">
        <f>C34+C39-C44-C49</f>
        <v/>
      </c>
      <c r="D54" s="30">
        <f>D34+D39-D44-D49</f>
        <v/>
      </c>
      <c r="E54" s="30">
        <f>E34+E39-E44-E49</f>
        <v/>
      </c>
    </row>
    <row r="55">
      <c r="A55" s="29" t="inlineStr">
        <is>
          <t xml:space="preserve">  Unlevered FCF – year 5</t>
        </is>
      </c>
      <c r="C55" s="30">
        <f>C35+C40-C45-C50</f>
        <v/>
      </c>
      <c r="D55" s="30">
        <f>D35+D40-D45-D50</f>
        <v/>
      </c>
      <c r="E55" s="30">
        <f>E35+E40-E45-E50</f>
        <v/>
      </c>
    </row>
    <row r="57">
      <c r="A57" s="21" t="inlineStr">
        <is>
          <t>Enterprise value (DCF)</t>
        </is>
      </c>
      <c r="C57" s="32">
        <f>NPV(C8,C51,C52,C53,C54,C55)+(C55*(1+C9)/(C8-C9))/(1+C8)^5</f>
        <v/>
      </c>
      <c r="D57" s="32">
        <f>NPV(D8,D51,D52,D53,D54,D55)+(D55*(1+D9)/(D8-D9))/(1+D8)^5</f>
        <v/>
      </c>
      <c r="E57" s="32">
        <f>NPV(E8,E51,E52,E53,E54,E55)+(E55*(1+E9)/(E8-E9))/(1+E8)^5</f>
        <v/>
      </c>
    </row>
    <row r="58">
      <c r="A58" s="33" t="inlineStr">
        <is>
          <t>Implied share price</t>
        </is>
      </c>
      <c r="C58" s="34">
        <f>(C57+1807202-0)/111380</f>
        <v/>
      </c>
      <c r="D58" s="35">
        <f>(D57+1807202-0)/111380</f>
        <v/>
      </c>
      <c r="E58" s="34">
        <f>(E57+1807202-0)/111380</f>
        <v/>
      </c>
    </row>
    <row r="59">
      <c r="A59" s="21" t="inlineStr">
        <is>
          <t>Upside / (downside) vs current</t>
        </is>
      </c>
      <c r="C59" s="36">
        <f>C58/100.0-1</f>
        <v/>
      </c>
      <c r="D59" s="36">
        <f>D58/100.0-1</f>
        <v/>
      </c>
      <c r="E59" s="36">
        <f>E58/100.0-1</f>
        <v/>
      </c>
    </row>
    <row r="61">
      <c r="A61" s="37" t="inlineStr">
        <is>
          <t>Current price $100.00; cash $1,807,202 k; net debt $0 (net-cash balance sheet).</t>
        </is>
      </c>
    </row>
  </sheetData>
  <hyperlinks>
    <hyperlink ref="G8" location="'WACC'!C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1" customWidth="1" min="9" max="9"/>
    <col width="40" customWidth="1" min="10" max="10"/>
    <col width="26" customWidth="1" min="11" max="11"/>
    <col width="24" customWidth="1" min="12" max="12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C2" s="38" t="inlineStr">
        <is>
          <t>FY2025A</t>
        </is>
      </c>
      <c r="D2" s="39" t="inlineStr">
        <is>
          <t>FY2026E</t>
        </is>
      </c>
      <c r="E2" s="39" t="inlineStr">
        <is>
          <t>FY2027E</t>
        </is>
      </c>
      <c r="F2" s="39" t="inlineStr">
        <is>
          <t>FY2028E</t>
        </is>
      </c>
      <c r="G2" s="39" t="inlineStr">
        <is>
          <t>FY2029E</t>
        </is>
      </c>
      <c r="H2" s="39" t="inlineStr">
        <is>
          <t>FY2030E</t>
        </is>
      </c>
      <c r="I2" s="40" t="inlineStr">
        <is>
          <t>Δ vs Scenarios</t>
        </is>
      </c>
      <c r="J2" s="41" t="inlineStr">
        <is>
          <t>Justification (~20 words)</t>
        </is>
      </c>
      <c r="K2" s="41" t="inlineStr">
        <is>
          <t>Source</t>
        </is>
      </c>
      <c r="L2" s="41" t="inlineStr">
        <is>
          <t>Alt. source</t>
        </is>
      </c>
    </row>
    <row r="3">
      <c r="A3" s="42" t="inlineStr">
        <is>
          <t>Forecast drivers linked to Scenarios tab → Base case (column D)</t>
        </is>
      </c>
      <c r="C3" s="43" t="inlineStr">
        <is>
          <t>10-K source</t>
        </is>
      </c>
      <c r="I3" s="44" t="inlineStr">
        <is>
          <t>(should be 0)</t>
        </is>
      </c>
    </row>
    <row r="5">
      <c r="A5" s="16" t="inlineStr">
        <is>
          <t>Net revenue</t>
        </is>
      </c>
      <c r="C5" s="45" t="n">
        <v>11102600</v>
      </c>
      <c r="D5" s="46">
        <f>Scenarios!D16</f>
        <v/>
      </c>
      <c r="E5" s="46">
        <f>Scenarios!D17</f>
        <v/>
      </c>
      <c r="F5" s="46">
        <f>Scenarios!D18</f>
        <v/>
      </c>
      <c r="G5" s="46">
        <f>Scenarios!D19</f>
        <v/>
      </c>
      <c r="H5" s="46">
        <f>Scenarios!D20</f>
        <v/>
      </c>
      <c r="I5" s="47">
        <f>IF(MAX(ABS(D5-Scenarios!$D$16),ABS(E5-Scenarios!$D$17),ABS(F5-Scenarios!$D$18),ABS(G5-Scenarios!$D$19),ABS(H5-Scenarios!$D$20))&lt;0.5,"OK","CHECK")</f>
        <v/>
      </c>
    </row>
    <row r="6">
      <c r="A6" s="16" t="inlineStr">
        <is>
          <t>Revenue growth %</t>
        </is>
      </c>
      <c r="D6" s="48">
        <f>D5/C5-1</f>
        <v/>
      </c>
      <c r="E6" s="48">
        <f>E5/D5-1</f>
        <v/>
      </c>
      <c r="F6" s="48">
        <f>F5/E5-1</f>
        <v/>
      </c>
      <c r="G6" s="48">
        <f>G5/F5-1</f>
        <v/>
      </c>
      <c r="H6" s="48">
        <f>H5/G5-1</f>
        <v/>
      </c>
      <c r="J6" s="19" t="inlineStr">
        <is>
          <t>−6.1% FY2026 revenue growth matches company guidance midpoint of −5% to −7% after Q2 FY2026 print.</t>
        </is>
      </c>
      <c r="K6" s="17">
        <f>HYPERLINK("https://investor.lululemon.com/news-releases","↳ LULU Q2 FY2026 earnings release")</f>
        <v/>
      </c>
      <c r="L6" s="49" t="inlineStr">
        <is>
          <t>LULU historical revenue (10-K)</t>
        </is>
      </c>
    </row>
    <row r="7">
      <c r="A7" s="16" t="inlineStr">
        <is>
          <t>EBIT (operating) margin %</t>
        </is>
      </c>
      <c r="D7" s="48">
        <f>Scenarios!D21</f>
        <v/>
      </c>
      <c r="E7" s="48">
        <f>Scenarios!D22</f>
        <v/>
      </c>
      <c r="F7" s="48">
        <f>Scenarios!D23</f>
        <v/>
      </c>
      <c r="G7" s="48">
        <f>Scenarios!D24</f>
        <v/>
      </c>
      <c r="H7" s="48">
        <f>Scenarios!D25</f>
        <v/>
      </c>
      <c r="I7" s="47">
        <f>IF(MAX(ABS(D7-Scenarios!$D$21),ABS(E7-Scenarios!$D$22),ABS(F7-Scenarios!$D$23),ABS(G7-Scenarios!$D$24),ABS(H7-Scenarios!$D$25))&lt;0.0001,"OK","CHECK")</f>
        <v/>
      </c>
      <c r="J7" s="19" t="inlineStr">
        <is>
          <t>13.9% FY2026 EBIT margin reflects Americas weakness and guided compression; above bear, below historical peak.</t>
        </is>
      </c>
      <c r="K7" s="17">
        <f>HYPERLINK("https://investor.lululemon.com/news-releases","↳ LULU Q2 FY2026 guidance / 10-K margins")</f>
        <v/>
      </c>
      <c r="L7" s="49" t="inlineStr">
        <is>
          <t>LULU historical EBIT margins (10-K)</t>
        </is>
      </c>
    </row>
    <row r="8">
      <c r="A8" s="21" t="inlineStr">
        <is>
          <t>EBIT</t>
        </is>
      </c>
      <c r="C8" s="50" t="n">
        <v>2210615</v>
      </c>
      <c r="D8" s="32">
        <f>Scenarios!D26</f>
        <v/>
      </c>
      <c r="E8" s="32">
        <f>Scenarios!D27</f>
        <v/>
      </c>
      <c r="F8" s="32">
        <f>Scenarios!D28</f>
        <v/>
      </c>
      <c r="G8" s="32">
        <f>Scenarios!D29</f>
        <v/>
      </c>
      <c r="H8" s="32">
        <f>Scenarios!D30</f>
        <v/>
      </c>
      <c r="I8" s="51">
        <f>IF(MAX(ABS(D8-Scenarios!$D$26),ABS(E8-Scenarios!$D$27),ABS(F8-Scenarios!$D$28),ABS(G8-Scenarios!$D$29),ABS(H8-Scenarios!$D$30))&lt;0.5,"OK","CHECK")</f>
        <v/>
      </c>
    </row>
    <row r="9">
      <c r="A9" s="16" t="inlineStr">
        <is>
          <t>Less: cash taxes on EBIT</t>
        </is>
      </c>
      <c r="D9" s="46">
        <f>-Scenarios!D26*Scenarios!$D$10</f>
        <v/>
      </c>
      <c r="E9" s="46">
        <f>-Scenarios!D27*Scenarios!$D$10</f>
        <v/>
      </c>
      <c r="F9" s="46">
        <f>-Scenarios!D28*Scenarios!$D$10</f>
        <v/>
      </c>
      <c r="G9" s="46">
        <f>-Scenarios!D29*Scenarios!$D$10</f>
        <v/>
      </c>
      <c r="H9" s="46">
        <f>-Scenarios!D30*Scenarios!$D$10</f>
        <v/>
      </c>
    </row>
    <row r="10">
      <c r="A10" s="21" t="inlineStr">
        <is>
          <t>NOPAT</t>
        </is>
      </c>
      <c r="D10" s="32">
        <f>Scenarios!D31</f>
        <v/>
      </c>
      <c r="E10" s="32">
        <f>Scenarios!D32</f>
        <v/>
      </c>
      <c r="F10" s="32">
        <f>Scenarios!D33</f>
        <v/>
      </c>
      <c r="G10" s="32">
        <f>Scenarios!D34</f>
        <v/>
      </c>
      <c r="H10" s="32">
        <f>Scenarios!D35</f>
        <v/>
      </c>
      <c r="I10" s="51">
        <f>IF(MAX(ABS(D10-Scenarios!$D$31),ABS(E10-Scenarios!$D$32),ABS(F10-Scenarios!$D$33),ABS(G10-Scenarios!$D$34),ABS(H10-Scenarios!$D$35))&lt;0.5,"OK","CHECK")</f>
        <v/>
      </c>
    </row>
    <row r="11">
      <c r="A11" s="16" t="inlineStr">
        <is>
          <t xml:space="preserve">  D&amp;A % of revenue</t>
        </is>
      </c>
      <c r="D11" s="18">
        <f>Scenarios!$D$11</f>
        <v/>
      </c>
      <c r="E11" s="18">
        <f>Scenarios!$D$11</f>
        <v/>
      </c>
      <c r="F11" s="18">
        <f>Scenarios!$D$11</f>
        <v/>
      </c>
      <c r="G11" s="18">
        <f>Scenarios!$D$11</f>
        <v/>
      </c>
      <c r="H11" s="18">
        <f>Scenarios!$D$11</f>
        <v/>
      </c>
      <c r="J11" s="19" t="inlineStr">
        <is>
          <t>4.5% D&amp;A to revenue near FY22–25 average; reflects store fleet, distribution, and technology amortization load.</t>
        </is>
      </c>
      <c r="K11" s="17">
        <f>HYPERLINK("https://www.sec.gov/Archives/edgar/data/1397187/000139718726000020/lulu-20260201.htm","↳ LULU CF statement (10-K)")</f>
        <v/>
      </c>
    </row>
    <row r="12">
      <c r="A12" s="16" t="inlineStr">
        <is>
          <t>Plus: depreciation &amp; amortization</t>
        </is>
      </c>
      <c r="D12" s="46">
        <f>Scenarios!D36</f>
        <v/>
      </c>
      <c r="E12" s="46">
        <f>Scenarios!D37</f>
        <v/>
      </c>
      <c r="F12" s="46">
        <f>Scenarios!D38</f>
        <v/>
      </c>
      <c r="G12" s="46">
        <f>Scenarios!D39</f>
        <v/>
      </c>
      <c r="H12" s="46">
        <f>Scenarios!D40</f>
        <v/>
      </c>
      <c r="I12" s="47">
        <f>IF(MAX(ABS(D12-Scenarios!$D$36),ABS(E12-Scenarios!$D$37),ABS(F12-Scenarios!$D$38),ABS(G12-Scenarios!$D$39),ABS(H12-Scenarios!$D$40))&lt;0.5,"OK","CHECK")</f>
        <v/>
      </c>
    </row>
    <row r="13">
      <c r="A13" s="16" t="inlineStr">
        <is>
          <t xml:space="preserve">  Capex % of revenue</t>
        </is>
      </c>
      <c r="D13" s="18">
        <f>Scenarios!$D$12</f>
        <v/>
      </c>
      <c r="E13" s="18">
        <f>Scenarios!$D$12</f>
        <v/>
      </c>
      <c r="F13" s="18">
        <f>Scenarios!$D$12</f>
        <v/>
      </c>
      <c r="G13" s="18">
        <f>Scenarios!$D$12</f>
        <v/>
      </c>
      <c r="H13" s="18">
        <f>Scenarios!$D$12</f>
        <v/>
      </c>
      <c r="J13" s="19" t="inlineStr">
        <is>
          <t>5.0% capex to revenue aligned with recent investment intensity and continued global store expansion plans.</t>
        </is>
      </c>
      <c r="K13" s="17">
        <f>HYPERLINK("https://www.sec.gov/Archives/edgar/data/1397187/000139718726000020/lulu-20260201.htm","↳ LULU CF statement (10-K)")</f>
        <v/>
      </c>
    </row>
    <row r="14">
      <c r="A14" s="16" t="inlineStr">
        <is>
          <t>Less: capital expenditures</t>
        </is>
      </c>
      <c r="D14" s="46">
        <f>-Scenarios!D41</f>
        <v/>
      </c>
      <c r="E14" s="46">
        <f>-Scenarios!D42</f>
        <v/>
      </c>
      <c r="F14" s="46">
        <f>-Scenarios!D43</f>
        <v/>
      </c>
      <c r="G14" s="46">
        <f>-Scenarios!D44</f>
        <v/>
      </c>
      <c r="H14" s="46">
        <f>-Scenarios!D45</f>
        <v/>
      </c>
      <c r="I14" s="47">
        <f>IF(MAX(ABS(D14+Scenarios!$D$41),ABS(E14+Scenarios!$D$42),ABS(F14+Scenarios!$D$43),ABS(G14+Scenarios!$D$44),ABS(H14+Scenarios!$D$45))&lt;0.5,"OK","CHECK")</f>
        <v/>
      </c>
    </row>
    <row r="15">
      <c r="A15" s="16" t="inlineStr">
        <is>
          <t xml:space="preserve">  NWC build % of Δrevenue</t>
        </is>
      </c>
      <c r="D15" s="18">
        <f>Scenarios!$D$13</f>
        <v/>
      </c>
      <c r="E15" s="18">
        <f>Scenarios!$D$13</f>
        <v/>
      </c>
      <c r="F15" s="18">
        <f>Scenarios!$D$13</f>
        <v/>
      </c>
      <c r="G15" s="18">
        <f>Scenarios!$D$13</f>
        <v/>
      </c>
      <c r="H15" s="18">
        <f>Scenarios!$D$13</f>
        <v/>
      </c>
      <c r="J15" s="19" t="inlineStr">
        <is>
          <t>7.5% of revenue change for ΔNWC; ties working-capital swings to sales trajectory per historical sensitivity.</t>
        </is>
      </c>
      <c r="K15" s="17">
        <f>HYPERLINK("https://www.sec.gov/Archives/edgar/data/1397187/000139718726000020/lulu-20260201.htm","↳ LULU BS/IS historical (10-K)")</f>
        <v/>
      </c>
    </row>
    <row r="16">
      <c r="A16" s="16" t="inlineStr">
        <is>
          <t>(Increase)/decrease in net working capital</t>
        </is>
      </c>
      <c r="D16" s="46">
        <f>-Scenarios!D46</f>
        <v/>
      </c>
      <c r="E16" s="46">
        <f>-Scenarios!D47</f>
        <v/>
      </c>
      <c r="F16" s="46">
        <f>-Scenarios!D48</f>
        <v/>
      </c>
      <c r="G16" s="46">
        <f>-Scenarios!D49</f>
        <v/>
      </c>
      <c r="H16" s="46">
        <f>-Scenarios!D50</f>
        <v/>
      </c>
      <c r="I16" s="47">
        <f>IF(MAX(ABS(D16+Scenarios!$D$46),ABS(E16+Scenarios!$D$47),ABS(F16+Scenarios!$D$48),ABS(G16+Scenarios!$D$49),ABS(H16+Scenarios!$D$50))&lt;0.5,"OK","CHECK")</f>
        <v/>
      </c>
    </row>
    <row r="17">
      <c r="A17" s="37" t="inlineStr">
        <is>
          <t xml:space="preserve">  memo: FY26 revenue falls −6.1%; negative ΔNWC releases ~$51M cash (adds to FCF, not a use).</t>
        </is>
      </c>
    </row>
    <row r="18">
      <c r="A18" s="21" t="inlineStr">
        <is>
          <t>Unlevered free cash flow</t>
        </is>
      </c>
      <c r="D18" s="52">
        <f>Scenarios!D51</f>
        <v/>
      </c>
      <c r="E18" s="52">
        <f>Scenarios!D52</f>
        <v/>
      </c>
      <c r="F18" s="52">
        <f>Scenarios!D53</f>
        <v/>
      </c>
      <c r="G18" s="52">
        <f>Scenarios!D54</f>
        <v/>
      </c>
      <c r="H18" s="52">
        <f>Scenarios!D55</f>
        <v/>
      </c>
      <c r="I18" s="51">
        <f>IF(MAX(ABS(D18-Scenarios!$D$51),ABS(E18-Scenarios!$D$52),ABS(F18-Scenarios!$D$53),ABS(G18-Scenarios!$D$54),ABS(H18-Scenarios!$D$55))&lt;0.5,"OK","CHECK")</f>
        <v/>
      </c>
    </row>
    <row r="19">
      <c r="A19" s="16" t="inlineStr">
        <is>
          <t>Discount period (years)</t>
        </is>
      </c>
      <c r="D19" s="53" t="n">
        <v>1</v>
      </c>
      <c r="E19" s="53" t="n">
        <v>2</v>
      </c>
      <c r="F19" s="53" t="n">
        <v>3</v>
      </c>
      <c r="G19" s="53" t="n">
        <v>4</v>
      </c>
      <c r="H19" s="53" t="n">
        <v>5</v>
      </c>
    </row>
    <row r="20">
      <c r="A20" s="16" t="inlineStr">
        <is>
          <t>Discount factor @ WACC</t>
        </is>
      </c>
      <c r="D20" s="54">
        <f>1/(1+Scenarios!$D$8)^D19</f>
        <v/>
      </c>
      <c r="E20" s="54">
        <f>1/(1+Scenarios!$D$8)^E19</f>
        <v/>
      </c>
      <c r="F20" s="54">
        <f>1/(1+Scenarios!$D$8)^F19</f>
        <v/>
      </c>
      <c r="G20" s="54">
        <f>1/(1+Scenarios!$D$8)^G19</f>
        <v/>
      </c>
      <c r="H20" s="54">
        <f>1/(1+Scenarios!$D$8)^H19</f>
        <v/>
      </c>
    </row>
    <row r="21">
      <c r="A21" s="21" t="inlineStr">
        <is>
          <t>PV of unlevered FCF</t>
        </is>
      </c>
      <c r="D21" s="32">
        <f>D18*D20</f>
        <v/>
      </c>
      <c r="E21" s="32">
        <f>E18*E20</f>
        <v/>
      </c>
      <c r="F21" s="32">
        <f>F18*F20</f>
        <v/>
      </c>
      <c r="G21" s="32">
        <f>G18*G20</f>
        <v/>
      </c>
      <c r="H21" s="32">
        <f>H18*H20</f>
        <v/>
      </c>
    </row>
    <row r="23">
      <c r="A23" s="15" t="inlineStr">
        <is>
          <t>Scenarios linkage summary (column I should all read OK)</t>
        </is>
      </c>
      <c r="I23" s="55">
        <f>IF(COUNTIF(I5:I18,"CHECK")=0,"ALL OK","REVIEW")</f>
        <v/>
      </c>
    </row>
    <row r="24">
      <c r="A24" s="56" t="inlineStr">
        <is>
          <t>VALUATION — GORDON GROWTH (PERPETUITY) METHOD</t>
        </is>
      </c>
      <c r="B24" s="13" t="n"/>
      <c r="C24" s="13" t="n"/>
    </row>
    <row r="25">
      <c r="A25" s="21" t="inlineStr">
        <is>
          <t>Sum of PV of explicit FCF (FY26–FY30)</t>
        </is>
      </c>
      <c r="C25" s="57">
        <f>SUM(D21:H21)</f>
        <v/>
      </c>
    </row>
    <row r="26">
      <c r="A26" s="16" t="inlineStr">
        <is>
          <t>Terminal growth rate (g)</t>
        </is>
      </c>
      <c r="C26" s="48">
        <f>Scenarios!$D$9</f>
        <v/>
      </c>
      <c r="J26" s="19" t="inlineStr">
        <is>
          <t>2.25% terminal growth approximates long-run GDP plus inflation; conservative perpetuity rate for mature apparel.</t>
        </is>
      </c>
      <c r="K26" s="17">
        <f>HYPERLINK("https://fred.stlouisfed.org/series/GDPC1","↳ BEA: Real GDP (FRED GDPC1)")</f>
        <v/>
      </c>
    </row>
    <row r="27">
      <c r="A27" s="21" t="inlineStr">
        <is>
          <t>Terminal EBITDA (FY2030E EBIT + D&amp;A)</t>
        </is>
      </c>
      <c r="C27" s="32">
        <f>H8+H12</f>
        <v/>
      </c>
    </row>
    <row r="28">
      <c r="A28" s="16" t="inlineStr">
        <is>
          <t>Terminal value = FCF₅×(1+g)/(WACC−g)</t>
        </is>
      </c>
      <c r="C28" s="46">
        <f>H18*(1+Scenarios!$D$9)/(Scenarios!$D$8-Scenarios!$D$9)</f>
        <v/>
      </c>
    </row>
    <row r="29">
      <c r="A29" s="16" t="inlineStr">
        <is>
          <t xml:space="preserve">  Implied exit EV/EBITDA (Gordon Growth)</t>
        </is>
      </c>
      <c r="C29" s="58">
        <f>C28/C27</f>
        <v/>
      </c>
    </row>
    <row r="30">
      <c r="A30" s="21" t="inlineStr">
        <is>
          <t>PV of terminal value</t>
        </is>
      </c>
      <c r="C30" s="57">
        <f>C28/(1+Scenarios!$D$8)^H19</f>
        <v/>
      </c>
    </row>
    <row r="31">
      <c r="A31" s="21" t="inlineStr">
        <is>
          <t>Enterprise value</t>
        </is>
      </c>
      <c r="C31" s="32">
        <f>C25+C30</f>
        <v/>
      </c>
    </row>
    <row r="32">
      <c r="A32" s="16" t="inlineStr">
        <is>
          <t>Plus: cash &amp; equivalents (FY2025)</t>
        </is>
      </c>
      <c r="C32" s="45" t="n">
        <v>1807202</v>
      </c>
      <c r="D32" s="59" t="inlineStr">
        <is>
          <t>10-K</t>
        </is>
      </c>
    </row>
    <row r="33">
      <c r="A33" s="16" t="inlineStr">
        <is>
          <t>Less: total debt</t>
        </is>
      </c>
      <c r="C33" s="45" t="n">
        <v>0</v>
      </c>
      <c r="D33" s="59" t="inlineStr">
        <is>
          <t>10-K</t>
        </is>
      </c>
    </row>
    <row r="34">
      <c r="A34" s="21" t="inlineStr">
        <is>
          <t>Equity value</t>
        </is>
      </c>
      <c r="C34" s="32">
        <f>C31+C32+C33</f>
        <v/>
      </c>
    </row>
    <row r="35">
      <c r="A35" s="16" t="inlineStr">
        <is>
          <t>Diluted shares outstanding (000)</t>
        </is>
      </c>
      <c r="C35" s="45" t="n">
        <v>111380</v>
      </c>
      <c r="D35" s="59" t="inlineStr">
        <is>
          <t>10-K</t>
        </is>
      </c>
    </row>
    <row r="36">
      <c r="A36" s="21" t="inlineStr">
        <is>
          <t>Implied value per share</t>
        </is>
      </c>
      <c r="C36" s="60">
        <f>C34/C35</f>
        <v/>
      </c>
      <c r="I36" s="51">
        <f>IF(ABS(C36-Scenarios!$D$58)&lt;0.05,"OK","CHECK")</f>
        <v/>
      </c>
    </row>
    <row r="37">
      <c r="A37" s="16" t="inlineStr">
        <is>
          <t>Current share price</t>
        </is>
      </c>
      <c r="C37" s="61" t="n">
        <v>100</v>
      </c>
      <c r="D37" s="59" t="inlineStr">
        <is>
          <t>NASDAQ</t>
        </is>
      </c>
    </row>
    <row r="38">
      <c r="A38" s="21" t="inlineStr">
        <is>
          <t>Implied upside / (downside)</t>
        </is>
      </c>
      <c r="C38" s="62">
        <f>C36/C37-1</f>
        <v/>
      </c>
    </row>
    <row r="39">
      <c r="A39" s="16" t="inlineStr">
        <is>
          <t xml:space="preserve">  memo: % of EV from terminal value</t>
        </is>
      </c>
      <c r="C39" s="48">
        <f>C30/C31</f>
        <v/>
      </c>
    </row>
    <row r="41">
      <c r="A41" s="56" t="inlineStr">
        <is>
          <t>CROSS-CHECK — EXIT MULTIPLE METHOD</t>
        </is>
      </c>
      <c r="B41" s="13" t="n"/>
      <c r="C41" s="13" t="n"/>
    </row>
    <row r="42">
      <c r="A42" s="15" t="inlineStr">
        <is>
          <t>Exit multiple selection (see Comps tab for peer build)</t>
        </is>
      </c>
    </row>
    <row r="43">
      <c r="A43" s="16" t="inlineStr">
        <is>
          <t>Selected exit EV/EBITDA multiple (FY2030E)</t>
        </is>
      </c>
      <c r="C43" s="63" t="n">
        <v>8</v>
      </c>
      <c r="J43" s="19" t="inlineStr">
        <is>
          <t>8.0x FY2030E exit EV/EBITDA; mid-point of terminal football field (6.5–9.5x); ~1 turn above Gordon-implied ~7x.</t>
        </is>
      </c>
      <c r="K43" s="17">
        <f>HYPERLINK("https://www.macrotrends.net/stocks/charts/LULU/lululemon-athletica/enterprise-value-ebitda","↳ Macrotrends: LULU EV/EBITDA history")</f>
        <v/>
      </c>
      <c r="L43" s="28" t="inlineStr">
        <is>
          <t>Comps: Exit Multiple Build</t>
        </is>
      </c>
    </row>
    <row r="44">
      <c r="A44" s="16" t="inlineStr">
        <is>
          <t>Terminal value = Terminal EBITDA × exit multiple</t>
        </is>
      </c>
      <c r="C44" s="46">
        <f>C27*C43</f>
        <v/>
      </c>
    </row>
    <row r="45">
      <c r="A45" s="16" t="inlineStr">
        <is>
          <t>PV of terminal value</t>
        </is>
      </c>
      <c r="C45" s="46">
        <f>C44/(1+Scenarios!$D$8)^H19</f>
        <v/>
      </c>
    </row>
    <row r="46">
      <c r="A46" s="21" t="inlineStr">
        <is>
          <t>Enterprise value (exit method)</t>
        </is>
      </c>
      <c r="C46" s="32">
        <f>C25+C45</f>
        <v/>
      </c>
    </row>
    <row r="47">
      <c r="A47" s="21" t="inlineStr">
        <is>
          <t>Implied value per share (exit method)</t>
        </is>
      </c>
      <c r="C47" s="64">
        <f>(C46+C32+C33)/C35</f>
        <v/>
      </c>
    </row>
    <row r="49">
      <c r="A49" s="56" t="inlineStr">
        <is>
          <t>TERMINAL VALUE RECONCILIATION (GORDON vs EXIT MULTIPLE)</t>
        </is>
      </c>
      <c r="B49" s="13" t="n"/>
      <c r="C49" s="13" t="n"/>
      <c r="D49" s="13" t="n"/>
    </row>
    <row r="50">
      <c r="A50" s="65" t="inlineStr"/>
      <c r="B50" s="66" t="inlineStr">
        <is>
          <t>Gordon Growth</t>
        </is>
      </c>
      <c r="C50" s="66" t="inlineStr">
        <is>
          <t>Exit Multiple</t>
        </is>
      </c>
      <c r="D50" s="66" t="inlineStr">
        <is>
          <t>Variance</t>
        </is>
      </c>
    </row>
    <row r="51">
      <c r="A51" s="21" t="inlineStr">
        <is>
          <t>Terminal value ($)</t>
        </is>
      </c>
      <c r="B51" s="57">
        <f>C28</f>
        <v/>
      </c>
      <c r="C51" s="57">
        <f>C44</f>
        <v/>
      </c>
      <c r="D51" s="57">
        <f>B51-C51</f>
        <v/>
      </c>
    </row>
    <row r="52">
      <c r="A52" s="21" t="inlineStr">
        <is>
          <t>Exit EV/EBITDA (implied vs selected)</t>
        </is>
      </c>
      <c r="B52" s="67">
        <f>C29</f>
        <v/>
      </c>
      <c r="C52" s="67">
        <f>C43</f>
        <v/>
      </c>
      <c r="D52" s="67">
        <f>B52-C52</f>
        <v/>
      </c>
    </row>
    <row r="53">
      <c r="A53" s="16" t="inlineStr">
        <is>
          <t>Terminal value variance (%)</t>
        </is>
      </c>
      <c r="B53" s="48" t="inlineStr"/>
      <c r="C53" s="48" t="inlineStr"/>
      <c r="D53" s="48">
        <f>(B51-C51)/B51</f>
        <v/>
      </c>
    </row>
    <row r="54">
      <c r="A54" s="21" t="inlineStr">
        <is>
          <t>Implied share price</t>
        </is>
      </c>
      <c r="B54" s="68">
        <f>C36</f>
        <v/>
      </c>
      <c r="C54" s="68">
        <f>C47</f>
        <v/>
      </c>
      <c r="D54" s="68">
        <f>B54-C54</f>
        <v/>
      </c>
    </row>
    <row r="55">
      <c r="A55" s="69" t="inlineStr">
        <is>
          <t>Sanity check: multiples within ±1.5 turns?</t>
        </is>
      </c>
      <c r="B55" s="70">
        <f>IF(ABS(D52)&lt;=1.5,"PASS","REVIEW")</f>
        <v/>
      </c>
      <c r="C55" s="71">
        <f>TEXT(D52,"0.0")&amp;"x spread vs 8.0x exit multiple"</f>
        <v/>
      </c>
      <c r="D55" s="37" t="inlineStr">
        <is>
          <t>Gordon implied should bracket exit assumption</t>
        </is>
      </c>
    </row>
    <row r="58">
      <c r="A58" s="56" t="inlineStr">
        <is>
          <t>SENSITIVITY — IMPLIED SHARE PRICE (WACC vs terminal growth)</t>
        </is>
      </c>
      <c r="B58" s="13" t="n"/>
      <c r="C58" s="13" t="n"/>
      <c r="D58" s="13" t="n"/>
      <c r="E58" s="13" t="n"/>
      <c r="F58" s="13" t="n"/>
      <c r="G58" s="13" t="n"/>
      <c r="H58" s="13" t="n"/>
    </row>
    <row r="59">
      <c r="A59" s="72" t="inlineStr">
        <is>
          <t>WACC \ g</t>
        </is>
      </c>
      <c r="D59" s="73" t="n">
        <v>0.015</v>
      </c>
      <c r="E59" s="73" t="n">
        <v>0.02</v>
      </c>
      <c r="F59" s="73" t="n">
        <v>0.0225</v>
      </c>
      <c r="G59" s="73" t="n">
        <v>0.025</v>
      </c>
      <c r="H59" s="73" t="n">
        <v>0.03</v>
      </c>
      <c r="I59" s="28" t="inlineStr">
        <is>
          <t>Scenarios: terminal g</t>
        </is>
      </c>
      <c r="J59" s="19" t="inlineStr">
        <is>
          <t>Terminal-g axis 1.5–3.0% brackets 2.25% base; bounded by long-run real GDP and inflation benchmarks.</t>
        </is>
      </c>
      <c r="K59" s="17">
        <f>HYPERLINK("https://fred.stlouisfed.org/series/GDPC1","↳ FRED: Real GDP (GDPC1)")</f>
        <v/>
      </c>
    </row>
    <row r="60">
      <c r="A60" s="73" t="n">
        <v>0.09</v>
      </c>
      <c r="D60" s="74">
        <f>(NPV(0.09,D18:H18)+(H18*(1+0.015)/(0.09-0.015))/(1+0.09)^5+C32+C33)/C35</f>
        <v/>
      </c>
      <c r="E60" s="74">
        <f>(NPV(0.09,D18:H18)+(H18*(1+0.02)/(0.09-0.02))/(1+0.09)^5+C32+C33)/C35</f>
        <v/>
      </c>
      <c r="F60" s="74">
        <f>(NPV(0.09,D18:H18)+(H18*(1+0.0225)/(0.09-0.0225))/(1+0.09)^5+C32+C33)/C35</f>
        <v/>
      </c>
      <c r="G60" s="74">
        <f>(NPV(0.09,D18:H18)+(H18*(1+0.025)/(0.09-0.025))/(1+0.09)^5+C32+C33)/C35</f>
        <v/>
      </c>
      <c r="H60" s="74">
        <f>(NPV(0.09,D18:H18)+(H18*(1+0.03)/(0.09-0.03))/(1+0.09)^5+C32+C33)/C35</f>
        <v/>
      </c>
      <c r="I60" s="28" t="inlineStr">
        <is>
          <t>WACC tab</t>
        </is>
      </c>
      <c r="J60" s="49" t="inlineStr">
        <is>
          <t>Damodaran: Historical Implied ERP</t>
        </is>
      </c>
    </row>
    <row r="61">
      <c r="A61" s="73" t="n">
        <v>0.095</v>
      </c>
      <c r="D61" s="74">
        <f>(NPV(0.095,D18:H18)+(H18*(1+0.015)/(0.095-0.015))/(1+0.095)^5+C32+C33)/C35</f>
        <v/>
      </c>
      <c r="E61" s="74">
        <f>(NPV(0.095,D18:H18)+(H18*(1+0.02)/(0.095-0.02))/(1+0.095)^5+C32+C33)/C35</f>
        <v/>
      </c>
      <c r="F61" s="74">
        <f>(NPV(0.095,D18:H18)+(H18*(1+0.0225)/(0.095-0.0225))/(1+0.095)^5+C32+C33)/C35</f>
        <v/>
      </c>
      <c r="G61" s="74">
        <f>(NPV(0.095,D18:H18)+(H18*(1+0.025)/(0.095-0.025))/(1+0.095)^5+C32+C33)/C35</f>
        <v/>
      </c>
      <c r="H61" s="74">
        <f>(NPV(0.095,D18:H18)+(H18*(1+0.03)/(0.095-0.03))/(1+0.095)^5+C32+C33)/C35</f>
        <v/>
      </c>
      <c r="I61" s="28" t="inlineStr">
        <is>
          <t>WACC tab</t>
        </is>
      </c>
    </row>
    <row r="62">
      <c r="A62" s="73" t="n">
        <v>0.1</v>
      </c>
      <c r="D62" s="74">
        <f>(NPV(0.1,D18:H18)+(H18*(1+0.015)/(0.1-0.015))/(1+0.1)^5+C32+C33)/C35</f>
        <v/>
      </c>
      <c r="E62" s="74">
        <f>(NPV(0.1,D18:H18)+(H18*(1+0.02)/(0.1-0.02))/(1+0.1)^5+C32+C33)/C35</f>
        <v/>
      </c>
      <c r="F62" s="75">
        <f>(NPV(0.1,D18:H18)+(H18*(1+0.0225)/(0.1-0.0225))/(1+0.1)^5+C32+C33)/C35</f>
        <v/>
      </c>
      <c r="G62" s="74">
        <f>(NPV(0.1,D18:H18)+(H18*(1+0.025)/(0.1-0.025))/(1+0.1)^5+C32+C33)/C35</f>
        <v/>
      </c>
      <c r="H62" s="74">
        <f>(NPV(0.1,D18:H18)+(H18*(1+0.03)/(0.1-0.03))/(1+0.1)^5+C32+C33)/C35</f>
        <v/>
      </c>
      <c r="I62" s="28" t="inlineStr">
        <is>
          <t>WACC tab</t>
        </is>
      </c>
    </row>
    <row r="63">
      <c r="A63" s="73" t="n">
        <v>0.105</v>
      </c>
      <c r="D63" s="74">
        <f>(NPV(0.105,D18:H18)+(H18*(1+0.015)/(0.105-0.015))/(1+0.105)^5+C32+C33)/C35</f>
        <v/>
      </c>
      <c r="E63" s="74">
        <f>(NPV(0.105,D18:H18)+(H18*(1+0.02)/(0.105-0.02))/(1+0.105)^5+C32+C33)/C35</f>
        <v/>
      </c>
      <c r="F63" s="74">
        <f>(NPV(0.105,D18:H18)+(H18*(1+0.0225)/(0.105-0.0225))/(1+0.105)^5+C32+C33)/C35</f>
        <v/>
      </c>
      <c r="G63" s="74">
        <f>(NPV(0.105,D18:H18)+(H18*(1+0.025)/(0.105-0.025))/(1+0.105)^5+C32+C33)/C35</f>
        <v/>
      </c>
      <c r="H63" s="74">
        <f>(NPV(0.105,D18:H18)+(H18*(1+0.03)/(0.105-0.03))/(1+0.105)^5+C32+C33)/C35</f>
        <v/>
      </c>
      <c r="I63" s="28" t="inlineStr">
        <is>
          <t>WACC tab</t>
        </is>
      </c>
    </row>
    <row r="64">
      <c r="A64" s="73" t="n">
        <v>0.11</v>
      </c>
      <c r="D64" s="74">
        <f>(NPV(0.11,D18:H18)+(H18*(1+0.015)/(0.11-0.015))/(1+0.11)^5+C32+C33)/C35</f>
        <v/>
      </c>
      <c r="E64" s="74">
        <f>(NPV(0.11,D18:H18)+(H18*(1+0.02)/(0.11-0.02))/(1+0.11)^5+C32+C33)/C35</f>
        <v/>
      </c>
      <c r="F64" s="74">
        <f>(NPV(0.11,D18:H18)+(H18*(1+0.0225)/(0.11-0.0225))/(1+0.11)^5+C32+C33)/C35</f>
        <v/>
      </c>
      <c r="G64" s="74">
        <f>(NPV(0.11,D18:H18)+(H18*(1+0.025)/(0.11-0.025))/(1+0.11)^5+C32+C33)/C35</f>
        <v/>
      </c>
      <c r="H64" s="74">
        <f>(NPV(0.11,D18:H18)+(H18*(1+0.03)/(0.11-0.03))/(1+0.11)^5+C32+C33)/C35</f>
        <v/>
      </c>
      <c r="I64" s="28" t="inlineStr">
        <is>
          <t>WACC tab</t>
        </is>
      </c>
    </row>
    <row r="65">
      <c r="J65" s="19" t="inlineStr">
        <is>
          <t>Red WACC and g grid values bracket base case ±100bps discount rate and ±75bps terminal growth for sensitivity.</t>
        </is>
      </c>
      <c r="K65" s="28" t="inlineStr">
        <is>
          <t>↳ Scenarios: WACC &amp; terminal g</t>
        </is>
      </c>
      <c r="L65" s="49">
        <f>HYPERLINK("https://fred.stlouisfed.org/series/GDPC1","↳ FRED: Real GDP (GDPC1)")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5" r:id="rId2"/>
    <hyperlink xmlns:r="http://schemas.openxmlformats.org/officeDocument/2006/relationships" ref="L6" r:id="rId3"/>
    <hyperlink xmlns:r="http://schemas.openxmlformats.org/officeDocument/2006/relationships" ref="L7" r:id="rId4"/>
    <hyperlink xmlns:r="http://schemas.openxmlformats.org/officeDocument/2006/relationships" ref="C8" r:id="rId5"/>
    <hyperlink xmlns:r="http://schemas.openxmlformats.org/officeDocument/2006/relationships" ref="C32" r:id="rId6"/>
    <hyperlink xmlns:r="http://schemas.openxmlformats.org/officeDocument/2006/relationships" ref="D32" r:id="rId7"/>
    <hyperlink xmlns:r="http://schemas.openxmlformats.org/officeDocument/2006/relationships" ref="C33" r:id="rId8"/>
    <hyperlink xmlns:r="http://schemas.openxmlformats.org/officeDocument/2006/relationships" ref="D33" r:id="rId9"/>
    <hyperlink xmlns:r="http://schemas.openxmlformats.org/officeDocument/2006/relationships" ref="C35" r:id="rId10"/>
    <hyperlink xmlns:r="http://schemas.openxmlformats.org/officeDocument/2006/relationships" ref="D35" r:id="rId11"/>
    <hyperlink xmlns:r="http://schemas.openxmlformats.org/officeDocument/2006/relationships" ref="C37" r:id="rId12"/>
    <hyperlink xmlns:r="http://schemas.openxmlformats.org/officeDocument/2006/relationships" ref="D37" r:id="rId13"/>
    <hyperlink ref="L43" location="'Comps'!A26"/>
    <hyperlink ref="I59" location="'Scenarios'!D9"/>
    <hyperlink ref="I60" location="'WACC'!C16"/>
    <hyperlink xmlns:r="http://schemas.openxmlformats.org/officeDocument/2006/relationships" ref="J60" r:id="rId14"/>
    <hyperlink ref="I61" location="'WACC'!C16"/>
    <hyperlink ref="I62" location="'WACC'!C16"/>
    <hyperlink ref="I63" location="'WACC'!C16"/>
    <hyperlink ref="I64" location="'WACC'!C16"/>
    <hyperlink ref="K65" location="'Scenarios'!D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4" customWidth="1" min="3" max="3"/>
    <col width="22" customWidth="1" min="4" max="4"/>
    <col width="22" customWidth="1" min="5" max="5"/>
    <col width="14" customWidth="1" min="6" max="6"/>
    <col width="14" customWidth="1" min="7" max="7"/>
    <col width="22" customWidth="1" min="8" max="8"/>
    <col width="22" customWidth="1" min="9" max="9"/>
    <col width="22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</row>
    <row r="3">
      <c r="A3" s="14" t="inlineStr">
        <is>
          <t>LULU operating metrics (FY2025A / FY2026E)</t>
        </is>
      </c>
    </row>
    <row r="4">
      <c r="A4" s="16" t="inlineStr">
        <is>
          <t>FY2025A revenue</t>
        </is>
      </c>
      <c r="C4" s="45" t="n">
        <v>11102600</v>
      </c>
      <c r="D4" s="59" t="inlineStr">
        <is>
          <t>10-K</t>
        </is>
      </c>
    </row>
    <row r="5">
      <c r="A5" s="16" t="inlineStr">
        <is>
          <t>FY2025A EBITDA (EBIT + D&amp;A)</t>
        </is>
      </c>
      <c r="C5" s="46">
        <f>2210615+496228</f>
        <v/>
      </c>
    </row>
    <row r="6">
      <c r="A6" s="16" t="inlineStr">
        <is>
          <t>FY2030E terminal EBITDA (DCF EBIT + D&amp;A)</t>
        </is>
      </c>
      <c r="C6" s="46">
        <f>DCF!C27</f>
        <v/>
      </c>
      <c r="D6" s="28" t="inlineStr">
        <is>
          <t>↳ DCF base case</t>
        </is>
      </c>
    </row>
    <row r="7">
      <c r="A7" s="16" t="inlineStr">
        <is>
          <t>FY2026E diluted EPS (guidance midpoint)</t>
        </is>
      </c>
      <c r="C7" s="61" t="n">
        <v>9.609999999999999</v>
      </c>
      <c r="D7" s="59" t="inlineStr">
        <is>
          <t>Release</t>
        </is>
      </c>
    </row>
    <row r="8">
      <c r="A8" s="16" t="inlineStr">
        <is>
          <t>Cash &amp; equivalents</t>
        </is>
      </c>
      <c r="C8" s="45" t="n">
        <v>1807202</v>
      </c>
      <c r="D8" s="59" t="inlineStr">
        <is>
          <t>10-K</t>
        </is>
      </c>
    </row>
    <row r="9">
      <c r="A9" s="16" t="inlineStr">
        <is>
          <t>Diluted shares (000)</t>
        </is>
      </c>
      <c r="C9" s="45" t="n">
        <v>111380</v>
      </c>
      <c r="D9" s="59" t="inlineStr">
        <is>
          <t>10-K</t>
        </is>
      </c>
    </row>
    <row r="10">
      <c r="A10" s="16" t="inlineStr">
        <is>
          <t>Current share price</t>
        </is>
      </c>
      <c r="C10" s="61" t="n">
        <v>100</v>
      </c>
      <c r="D10" s="59" t="inlineStr">
        <is>
          <t>NASDAQ</t>
        </is>
      </c>
    </row>
    <row r="11">
      <c r="A11" s="71" t="inlineStr">
        <is>
          <t xml:space="preserve">  memo: current EV / EBITDA</t>
        </is>
      </c>
      <c r="C11" s="76">
        <f>(C10*C9-C8)/C5</f>
        <v/>
      </c>
    </row>
    <row r="12">
      <c r="A12" s="71" t="inlineStr">
        <is>
          <t xml:space="preserve">  memo: current P / E (FY2026E)</t>
        </is>
      </c>
      <c r="C12" s="76">
        <f>C10/C7</f>
        <v/>
      </c>
    </row>
    <row r="14">
      <c r="A14" s="14" t="inlineStr">
        <is>
          <t>EXIT MULTIPLE BUILD — FY2030E TERMINAL YEAR</t>
        </is>
      </c>
    </row>
    <row r="15">
      <c r="A15" s="71" t="inlineStr">
        <is>
          <t>Peer / reference EV/EBITDA (forward / illustrative)</t>
        </is>
      </c>
    </row>
    <row r="16">
      <c r="A16" s="77" t="inlineStr">
        <is>
          <t>Company</t>
        </is>
      </c>
      <c r="C16" s="78" t="inlineStr">
        <is>
          <t>EV/EBITDA</t>
        </is>
      </c>
      <c r="D16" s="77" t="inlineStr">
        <is>
          <t>Justification</t>
        </is>
      </c>
      <c r="E16" s="77" t="inlineStr">
        <is>
          <t>Source</t>
        </is>
      </c>
    </row>
    <row r="17">
      <c r="A17" s="16" t="inlineStr">
        <is>
          <t>lululemon (LULU) — current</t>
        </is>
      </c>
      <c r="C17" s="79">
        <f>(C10*C9-C8)/C5</f>
        <v/>
      </c>
      <c r="D17" s="37" t="inlineStr">
        <is>
          <t>Distressed trough multiple on FY2025A EBITDA</t>
        </is>
      </c>
      <c r="E17" s="49" t="inlineStr">
        <is>
          <t>LULU FY2025 10-K</t>
        </is>
      </c>
    </row>
    <row r="18">
      <c r="A18" s="16" t="inlineStr">
        <is>
          <t>Nike (NKE)</t>
        </is>
      </c>
      <c r="C18" s="80" t="n">
        <v>18</v>
      </c>
      <c r="D18" s="19" t="inlineStr">
        <is>
          <t>Nike ~18x forward EV/EBITDA illustrative; mature global athletic benchmark with slower growth than LULU peak.</t>
        </is>
      </c>
      <c r="E18" s="17">
        <f>HYPERLINK("https://finance.yahoo.com/quote/NKE/key-statistics/","↳ Yahoo Finance: NKE statistics")</f>
        <v/>
      </c>
    </row>
    <row r="19">
      <c r="A19" s="16" t="inlineStr">
        <is>
          <t>Deckers (DECK)</t>
        </is>
      </c>
      <c r="C19" s="80" t="n">
        <v>15</v>
      </c>
      <c r="D19" s="19" t="inlineStr">
        <is>
          <t>Deckers ~15x reference; premium footwear peer with HOKA/UGG momentum and strong brand heat.</t>
        </is>
      </c>
      <c r="E19" s="17">
        <f>HYPERLINK("https://finance.yahoo.com/quote/DECK/key-statistics/","↳ Yahoo Finance: DECK statistics")</f>
        <v/>
      </c>
    </row>
    <row r="20">
      <c r="A20" s="16" t="inlineStr">
        <is>
          <t>On Holding (ONON)</t>
        </is>
      </c>
      <c r="C20" s="80" t="n">
        <v>25</v>
      </c>
      <c r="D20" s="19" t="inlineStr">
        <is>
          <t>On Holding ~25x; high-growth athletic peer setting upper bound for premium positioning and white space.</t>
        </is>
      </c>
      <c r="E20" s="17">
        <f>HYPERLINK("https://finance.yahoo.com/quote/ONON/key-statistics/","↳ Yahoo Finance: ONON statistics")</f>
        <v/>
      </c>
    </row>
    <row r="21">
      <c r="A21" s="16" t="inlineStr">
        <is>
          <t>adidas (ADS)</t>
        </is>
      </c>
      <c r="C21" s="80" t="n">
        <v>12</v>
      </c>
      <c r="D21" s="19" t="inlineStr">
        <is>
          <t>adidas ~12x; global incumbent in restructuring with moderate growth and complex brand portfolio.</t>
        </is>
      </c>
      <c r="E21" s="17">
        <f>HYPERLINK("https://finance.yahoo.com/quote/ADS.DE/key-statistics/","↳ Yahoo Finance: ADS.DE statistics")</f>
        <v/>
      </c>
    </row>
    <row r="22">
      <c r="A22" s="16" t="inlineStr">
        <is>
          <t>V.F. Corp (VFC)</t>
        </is>
      </c>
      <c r="C22" s="80" t="n">
        <v>10</v>
      </c>
      <c r="D22" s="19" t="inlineStr">
        <is>
          <t>VFC ~10x; challenged multi-brand apparel operator representing lower bound for scaled apparel peers.</t>
        </is>
      </c>
      <c r="E22" s="17">
        <f>HYPERLINK("https://finance.yahoo.com/quote/VFC/key-statistics/","↳ Yahoo Finance: VFC statistics")</f>
        <v/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C25" s="58">
        <f>DCF!C29</f>
        <v/>
      </c>
    </row>
    <row r="26">
      <c r="A26" s="69" t="inlineStr">
        <is>
          <t>Selected exit multiple (base case)</t>
        </is>
      </c>
      <c r="C26" s="67">
        <f>DCF!C43</f>
        <v/>
      </c>
    </row>
    <row r="27">
      <c r="A27" s="16" t="inlineStr">
        <is>
          <t>Spread (selected − Gordon implied)</t>
        </is>
      </c>
      <c r="C27" s="58">
        <f>C26-C25</f>
        <v/>
      </c>
    </row>
    <row r="28">
      <c r="A28" s="69" t="inlineStr">
        <is>
          <t>Rationale for 8.0x</t>
        </is>
      </c>
    </row>
    <row r="29">
      <c r="A29" s="29" t="inlineStr">
        <is>
          <t>•  Mid-point of terminal football field (6.5–9.5x on FY2030E EBITDA) — 8.0x sits between bear and bull exit</t>
        </is>
      </c>
    </row>
    <row r="30">
      <c r="A30" s="29" t="inlineStr">
        <is>
          <t>•  Above Gordon-implied exit (~7x) — ~1 turn buffer vs perpetuity math on terminal FCF</t>
        </is>
      </c>
    </row>
    <row r="31">
      <c r="A31" s="29" t="inlineStr">
        <is>
          <t>•  Below premium-growth peers (ONON ~25x, DECK ~15x) — reflects Americas maturity at terminal</t>
        </is>
      </c>
    </row>
    <row r="32">
      <c r="A32" s="29" t="inlineStr">
        <is>
          <t>•  Above current LULU (~3.5x on FY2025A) — assumes partial recovery, not full re-rating to historical peaks</t>
        </is>
      </c>
    </row>
    <row r="33">
      <c r="A33" s="29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7" t="inlineStr">
        <is>
          <t>Method</t>
        </is>
      </c>
      <c r="C36" s="78" t="inlineStr">
        <is>
          <t>Low mult.</t>
        </is>
      </c>
      <c r="D36" s="78" t="inlineStr">
        <is>
          <t>High mult.</t>
        </is>
      </c>
      <c r="E36" s="78" t="inlineStr">
        <is>
          <t>Implied px (low)</t>
        </is>
      </c>
      <c r="F36" s="78" t="inlineStr">
        <is>
          <t>Implied px (high)</t>
        </is>
      </c>
      <c r="G36" s="81" t="inlineStr">
        <is>
          <t>Lo justification</t>
        </is>
      </c>
      <c r="H36" s="81" t="inlineStr">
        <is>
          <t>Hi justification</t>
        </is>
      </c>
      <c r="I36" s="81" t="inlineStr">
        <is>
          <t>Lo source</t>
        </is>
      </c>
      <c r="J36" s="81" t="inlineStr">
        <is>
          <t>Hi source</t>
        </is>
      </c>
    </row>
    <row r="37">
      <c r="A37" s="16" t="inlineStr">
        <is>
          <t>EV / EBITDA (FY2030E terminal)</t>
        </is>
      </c>
      <c r="C37" s="80" t="n">
        <v>6.5</v>
      </c>
      <c r="D37" s="80" t="n">
        <v>9.5</v>
      </c>
      <c r="E37" s="82">
        <f>(C6*C37+C8)/C9</f>
        <v/>
      </c>
      <c r="F37" s="82">
        <f>(C6*D37+C8)/C9</f>
        <v/>
      </c>
      <c r="G37" s="19" t="inlineStr">
        <is>
          <t>6.5x on FY2030E terminal EBITDA; bear exit below Gordon-implied ~7x; brackets DCF downside.</t>
        </is>
      </c>
      <c r="H37" s="83" t="inlineStr">
        <is>
          <t>9.5x on FY2030E terminal EBITDA; bull exit above 8.0x DCF base; still below peer median ~15x.</t>
        </is>
      </c>
      <c r="I37" s="17">
        <f>HYPERLINK("https://finance.yahoo.com/quote/LULU/key-statistics/","↳ Yahoo Finance: LULU EV/EBITDA")</f>
        <v/>
      </c>
      <c r="J37" s="84">
        <f>HYPERLINK("https://www.macrotrends.net/stocks/charts/LULU/lululemon-athletica/enterprise-value-ebitda","↳ Macrotrends: LULU EV/EBITDA history")</f>
        <v/>
      </c>
    </row>
    <row r="38">
      <c r="A38" s="69" t="inlineStr">
        <is>
          <t>DCF exit method (8.0x on FY2030E EBITDA)</t>
        </is>
      </c>
      <c r="C38" s="85">
        <f>DCF!C43</f>
        <v/>
      </c>
      <c r="E38" s="86">
        <f>(C6*C38+C8)/C9</f>
        <v/>
      </c>
      <c r="I38" s="28" t="inlineStr">
        <is>
          <t>↳ DCF exit multiple</t>
        </is>
      </c>
    </row>
    <row r="39">
      <c r="A39" s="16" t="inlineStr">
        <is>
          <t>P / E (FY2026E EPS)</t>
        </is>
      </c>
      <c r="C39" s="80" t="n">
        <v>10</v>
      </c>
      <c r="D39" s="80" t="n">
        <v>18</v>
      </c>
      <c r="E39" s="82">
        <f>C7*C39</f>
        <v/>
      </c>
      <c r="F39" s="82">
        <f>C7*D39</f>
        <v/>
      </c>
      <c r="G39" s="19" t="inlineStr">
        <is>
          <t>10x P/E low on FY2026E EPS; trough earnings multiple after guidance reset and sentiment de-rating.</t>
        </is>
      </c>
      <c r="H39" s="83" t="inlineStr">
        <is>
          <t>18x P/E high on FY2026E EPS; modest recovery case still below historical premium LULU multiples.</t>
        </is>
      </c>
      <c r="I39" s="17">
        <f>HYPERLINK("https://finance.yahoo.com/quote/LULU/key-statistics/","↳ Yahoo Finance: LULU P/E (FY26E)")</f>
        <v/>
      </c>
      <c r="J39" s="84" t="inlineStr">
        <is>
          <t>Yahoo Finance: NKE P/E (peer benchmark)</t>
        </is>
      </c>
    </row>
    <row r="40">
      <c r="A40" s="16" t="inlineStr">
        <is>
          <t>DCF (bear – bull)</t>
        </is>
      </c>
      <c r="C40" s="87" t="inlineStr">
        <is>
          <t>—</t>
        </is>
      </c>
      <c r="D40" s="87" t="inlineStr">
        <is>
          <t>—</t>
        </is>
      </c>
      <c r="E40" s="82">
        <f>Scenarios!C58</f>
        <v/>
      </c>
      <c r="F40" s="82">
        <f>Scenarios!E58</f>
        <v/>
      </c>
    </row>
    <row r="42">
      <c r="A42" s="88" t="inlineStr">
        <is>
          <t>Current price</t>
        </is>
      </c>
      <c r="C42" s="89" t="n">
        <v>100</v>
      </c>
      <c r="D42" s="59" t="inlineStr">
        <is>
          <t>NASDAQ</t>
        </is>
      </c>
    </row>
    <row r="43">
      <c r="A43" s="37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D4" r:id="rId2"/>
    <hyperlink ref="D6" location="'DCF'!C27"/>
    <hyperlink xmlns:r="http://schemas.openxmlformats.org/officeDocument/2006/relationships" ref="C7" r:id="rId3"/>
    <hyperlink xmlns:r="http://schemas.openxmlformats.org/officeDocument/2006/relationships" ref="D7" r:id="rId4"/>
    <hyperlink xmlns:r="http://schemas.openxmlformats.org/officeDocument/2006/relationships" ref="C8" r:id="rId5"/>
    <hyperlink xmlns:r="http://schemas.openxmlformats.org/officeDocument/2006/relationships" ref="D8" r:id="rId6"/>
    <hyperlink xmlns:r="http://schemas.openxmlformats.org/officeDocument/2006/relationships" ref="C9" r:id="rId7"/>
    <hyperlink xmlns:r="http://schemas.openxmlformats.org/officeDocument/2006/relationships" ref="D9" r:id="rId8"/>
    <hyperlink xmlns:r="http://schemas.openxmlformats.org/officeDocument/2006/relationships" ref="C10" r:id="rId9"/>
    <hyperlink xmlns:r="http://schemas.openxmlformats.org/officeDocument/2006/relationships" ref="D10" r:id="rId10"/>
    <hyperlink xmlns:r="http://schemas.openxmlformats.org/officeDocument/2006/relationships" ref="E17" r:id="rId11"/>
    <hyperlink ref="I38" location="'DCF'!C43"/>
    <hyperlink xmlns:r="http://schemas.openxmlformats.org/officeDocument/2006/relationships" ref="J39" r:id="rId12"/>
    <hyperlink xmlns:r="http://schemas.openxmlformats.org/officeDocument/2006/relationships" ref="C42" r:id="rId13"/>
    <hyperlink xmlns:r="http://schemas.openxmlformats.org/officeDocument/2006/relationships" ref="D42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2026-09-06T19:14:56Z</dcterms:created>
  <dcterms:modified xmlns:dcterms="http://purl.org/dc/terms/" xmlns:xsi="http://www.w3.org/2001/XMLSchema-instance" xsi:type="dcterms:W3CDTF">2026-09-06T19:14:56Z</dcterms:modified>
</cp:coreProperties>
</file>
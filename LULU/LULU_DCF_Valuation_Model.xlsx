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165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165" fontId="21" fillId="0" borderId="1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nasdaq.com/market-activity/stocks/lulu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tern.nyu.edu/~adamodar/New_Home_Page/datafile/Betas.html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28" customHeight="1">
      <c r="A6" s="16" t="inlineStr">
        <is>
          <t>Unlevered retail beta (Damodaran Special Lines)</t>
        </is>
      </c>
      <c r="B6" s="17" t="inlineStr">
        <is>
          <t>Damodaran unlevered Retail (Special Lines) β 0.95 is the starting point; we relever it for ASC 842 lease debt.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0.95. Relever for ASC 842 lease debt on the next row.</t>
        </is>
      </c>
      <c r="E6" s="22" t="n">
        <v>0.95</v>
      </c>
    </row>
    <row r="7" ht="28" customHeight="1">
      <c r="A7" s="16" t="inlineStr">
        <is>
          <t>Tax rate</t>
        </is>
      </c>
      <c r="B7" s="17" t="inlineStr">
        <is>
          <t>30% cash tax matches FY2026 guidance (“approximately 30%”); FY25 effective was 29.5%.</t>
        </is>
      </c>
      <c r="C7" s="18" t="inlineStr">
        <is>
          <t>Q2 FY2026 outlook: tax rate ≈ 30%</t>
        </is>
      </c>
      <c r="D7" s="19" t="inlineStr">
        <is>
          <t>Ctrl+F "a tax rate of approximately 30%" on the FY2026 outlook paragraph.</t>
        </is>
      </c>
      <c r="E7" s="20" t="n">
        <v>0.3</v>
      </c>
    </row>
    <row r="9">
      <c r="A9" s="14" t="inlineStr">
        <is>
          <t>Capital structure (market values)</t>
        </is>
      </c>
    </row>
    <row r="10" ht="42" customHeight="1">
      <c r="A10" s="16" t="inlineStr">
        <is>
          <t>Market value of equity (price × shares outstanding)</t>
        </is>
      </c>
      <c r="B10" s="19" t="inlineStr">
        <is>
          <t>Market equity = $100 share price × 111,380k shares outstanding (FY25 10-K). Capital-structure weighting numerator.
Also: 111,380k class A shares outstanding at FY25 year-end (10-K cover). Diluted WA 119,068 is for EPS, not market cap.</t>
        </is>
      </c>
      <c r="C10" s="23" t="inlineStr">
        <is>
          <t>NASDAQ LULU last sale (current price)
Also: LULU FY2025 10-K: shares outstanding</t>
        </is>
      </c>
      <c r="D10" s="19" t="inlineStr">
        <is>
          <t>Ctrl+F "closed at $100.61" → Last Sale $100.61 (NASDAQ). Model uses $100 rounded.
Also: Ctrl+F "111,380 and 116,166 issued and outstanding" → 111,380k class A shares (FY25 10-K cover).</t>
        </is>
      </c>
      <c r="E10" s="24">
        <f>100.0*111380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5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5" t="n">
        <v>0</v>
      </c>
    </row>
    <row r="14">
      <c r="A14" s="27" t="inlineStr">
        <is>
          <t>Total debt equivalents</t>
        </is>
      </c>
      <c r="E14" s="28">
        <f>E11+E13</f>
        <v/>
      </c>
    </row>
    <row r="16">
      <c r="A16" s="14" t="inlineStr">
        <is>
          <t>Cost of equity (CAPM) — relevered</t>
        </is>
      </c>
    </row>
    <row r="17" ht="150" customHeight="1">
      <c r="A17" s="27" t="inlineStr">
        <is>
          <t>Beta used (relevered for lease debt)</t>
        </is>
      </c>
      <c r="B17" s="17" t="inlineStr">
        <is>
          <t>Relevered β = βu × (1 + (1−T) × lease debt / market equity). No funded term loans — leases are the debt equivalent.</t>
        </is>
      </c>
      <c r="C17" s="18" t="inlineStr">
        <is>
          <t>Damodaran: relevered β for lease debt</t>
        </is>
      </c>
      <c r="D17" s="19" t="inlineStr">
        <is>
          <t>Relever Damodaran unlevered retail β for ASC 842 lease debt.
Unlevered β (Damodaran Jan 2026)
  Ctrl+F "Retail (Special Lines)"  →  Unlevered beta 0.95
  Do not take the levered Beta column (1.09)
Lease debt equivalent (FY25 10-K)
  Ctrl+F "Current lease liabilities"  →  298,724
  Ctrl+F "Non-current lease liabilities"  →  1,499,717
  Sum = 1,798,441 ($000). No funded term loans.
Company 5Y (StockAnalysis) — shown, not used
  Ctrl+F "Beta (5Y)"  →  0.86</t>
        </is>
      </c>
      <c r="E17" s="29">
        <f>E6*(1+(1-E7)*E11/E10)</f>
        <v/>
      </c>
    </row>
    <row r="18">
      <c r="A18" s="26" t="inlineStr">
        <is>
          <t xml:space="preserve">  memo: relever unlevered retail β for ASC 842 lease debt. βL = βu × (1 + (1−T) × D/E). No funded term loans.</t>
        </is>
      </c>
    </row>
    <row r="19">
      <c r="A19" s="27" t="inlineStr">
        <is>
          <t>Cost of equity = rf + β × ERP</t>
        </is>
      </c>
      <c r="E19" s="30">
        <f>E3+E17*E4</f>
        <v/>
      </c>
    </row>
    <row r="21">
      <c r="A21" s="14" t="inlineStr">
        <is>
          <t>Cost of debt (lease-equivalent)</t>
        </is>
      </c>
    </row>
    <row r="22" ht="28" customHeight="1">
      <c r="A22" s="16" t="inlineStr">
        <is>
          <t>Pre-tax cost of debt (lease-equivalent)</t>
        </is>
      </c>
      <c r="B22" s="17" t="inlineStr">
        <is>
          <t>5.0% pre-tax lease-equivalent borrowing cost; cheaper than equity. No funded revolver borrowings per FY25 10-K.</t>
        </is>
      </c>
      <c r="C22" s="18" t="inlineStr">
        <is>
          <t>LULU FY2025 10-K: lease liabilities &amp; no funded debt</t>
        </is>
      </c>
      <c r="D22" s="19" t="inlineStr">
        <is>
          <t>Ctrl+F "Current lease liabilities" + "Non-current lease liabilities" → debt equiv. 5.0% illustrative lease borrowing cost.</t>
        </is>
      </c>
      <c r="E22" s="20" t="n">
        <v>0.05</v>
      </c>
    </row>
    <row r="23">
      <c r="A23" s="16" t="inlineStr">
        <is>
          <t>After-tax cost of debt</t>
        </is>
      </c>
      <c r="E23" s="31">
        <f>E22*(1-E7)</f>
        <v/>
      </c>
    </row>
    <row r="25">
      <c r="A25" s="14" t="inlineStr">
        <is>
          <t>WACC weights</t>
        </is>
      </c>
    </row>
    <row r="26" ht="28" customHeight="1">
      <c r="A26" s="16" t="inlineStr">
        <is>
          <t>Equity weight</t>
        </is>
      </c>
      <c r="B26" s="17" t="inlineStr">
        <is>
          <t>Equity weight = market cap ÷ (market cap + lease debt). ~86% at $100 and FY25 lease balance.</t>
        </is>
      </c>
      <c r="C26" s="32" t="inlineStr">
        <is>
          <t>WACC tab: capital structure</t>
        </is>
      </c>
      <c r="D26" s="19" t="inlineStr">
        <is>
          <t>Equity weight = market cap ÷ (market cap + lease debt). Live formula on this tab.</t>
        </is>
      </c>
      <c r="E26" s="33">
        <f>E10/(E10+E14)</f>
        <v/>
      </c>
    </row>
    <row r="27" ht="28" customHeight="1">
      <c r="A27" s="16" t="inlineStr">
        <is>
          <t>Debt weight (leases + funded)</t>
        </is>
      </c>
      <c r="B27" s="17" t="inlineStr">
        <is>
          <t>Debt weight = lease liabilities ÷ (market cap + lease debt). ~14% — ASC 842 leases, not bank debt.</t>
        </is>
      </c>
      <c r="C27" s="18" t="inlineStr">
        <is>
          <t>LULU FY2025 10-K: operating lease liabilities</t>
        </is>
      </c>
      <c r="D27" s="19" t="inlineStr">
        <is>
          <t>Debt weight = lease liabilities ÷ (market cap + lease debt). ~14% at FY25 balances.</t>
        </is>
      </c>
      <c r="E27" s="33">
        <f>E14/(E10+E14)</f>
        <v/>
      </c>
    </row>
    <row r="28">
      <c r="A28" s="27" t="inlineStr">
        <is>
          <t>WACC</t>
        </is>
      </c>
      <c r="E28" s="34">
        <f>E26*E19+E27*E23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3" r:id="rId8"/>
    <hyperlink xmlns:r="http://schemas.openxmlformats.org/officeDocument/2006/relationships" ref="C17" r:id="rId9"/>
    <hyperlink xmlns:r="http://schemas.openxmlformats.org/officeDocument/2006/relationships" ref="C22" r:id="rId10"/>
    <hyperlink xmlns:r="http://schemas.openxmlformats.org/officeDocument/2006/relationships" ref="C27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5" t="inlineStr">
        <is>
          <t>Bear</t>
        </is>
      </c>
      <c r="G2" s="36" t="inlineStr">
        <is>
          <t>Base</t>
        </is>
      </c>
      <c r="H2" s="37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8" t="n">
        <v>134500</v>
      </c>
      <c r="G7" s="38" t="n">
        <v>134500</v>
      </c>
      <c r="H7" s="38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</v>
      </c>
      <c r="G9" s="33">
        <f>WACC!E28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3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7" t="inlineStr">
        <is>
          <t>Enterprise value (DCF)</t>
        </is>
      </c>
      <c r="F64" s="28">
        <f>NPV(F9,F58,F59,F60,F61,F62)+(F62*(1+F10)/(F9-F10))/(1+F9)^5</f>
        <v/>
      </c>
      <c r="G64" s="28">
        <f>NPV(G9,G58,G59,G60,G61,G62)+(G62*(1+G10)/(G9-G10))/(1+G9)^5</f>
        <v/>
      </c>
      <c r="H64" s="28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7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28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32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32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32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32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32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32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32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32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32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32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32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32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32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32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32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32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23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24">
        <f>Scenarios!G18</f>
        <v/>
      </c>
      <c r="G5" s="24">
        <f>Scenarios!G19</f>
        <v/>
      </c>
      <c r="H5" s="24">
        <f>Scenarios!G20</f>
        <v/>
      </c>
      <c r="I5" s="24">
        <f>Scenarios!G21</f>
        <v/>
      </c>
      <c r="J5" s="24">
        <f>Scenarios!G22</f>
        <v/>
      </c>
      <c r="K5" s="76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3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3">
        <f>F5/E5-1</f>
        <v/>
      </c>
      <c r="G6" s="33">
        <f>G5/F5-1</f>
        <v/>
      </c>
      <c r="H6" s="33">
        <f>H5/G5-1</f>
        <v/>
      </c>
      <c r="I6" s="33">
        <f>I5/H5-1</f>
        <v/>
      </c>
      <c r="J6" s="33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3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3">
        <f>Scenarios!G23</f>
        <v/>
      </c>
      <c r="G7" s="33">
        <f>Scenarios!G24</f>
        <v/>
      </c>
      <c r="H7" s="33">
        <f>Scenarios!G25</f>
        <v/>
      </c>
      <c r="I7" s="33">
        <f>Scenarios!G26</f>
        <v/>
      </c>
      <c r="J7" s="33">
        <f>Scenarios!G27</f>
        <v/>
      </c>
      <c r="K7" s="76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8">
        <f>Scenarios!$G$7</f>
        <v/>
      </c>
      <c r="G8" s="38" t="n">
        <v>0</v>
      </c>
      <c r="H8" s="38" t="n">
        <v>0</v>
      </c>
      <c r="I8" s="38" t="n">
        <v>0</v>
      </c>
      <c r="J8" s="38" t="n">
        <v>0</v>
      </c>
    </row>
    <row r="9">
      <c r="A9" s="27" t="inlineStr">
        <is>
          <t>EBIT (incl. FY26 refund)</t>
        </is>
      </c>
      <c r="E9" s="77" t="n">
        <v>2210615</v>
      </c>
      <c r="F9" s="28">
        <f>Scenarios!G28</f>
        <v/>
      </c>
      <c r="G9" s="28">
        <f>Scenarios!G29</f>
        <v/>
      </c>
      <c r="H9" s="28">
        <f>Scenarios!G30</f>
        <v/>
      </c>
      <c r="I9" s="28">
        <f>Scenarios!G31</f>
        <v/>
      </c>
      <c r="J9" s="28">
        <f>Scenarios!G32</f>
        <v/>
      </c>
      <c r="K9" s="78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9" t="n">
        <v>0.1991078666258354</v>
      </c>
      <c r="F10" s="33">
        <f>F9/F5</f>
        <v/>
      </c>
      <c r="G10" s="33">
        <f>G9/G5</f>
        <v/>
      </c>
      <c r="H10" s="33">
        <f>H9/H5</f>
        <v/>
      </c>
      <c r="I10" s="33">
        <f>I9/I5</f>
        <v/>
      </c>
      <c r="J10" s="33">
        <f>J9/J5</f>
        <v/>
      </c>
    </row>
    <row r="11">
      <c r="A11" s="16" t="inlineStr">
        <is>
          <t>Less: cash taxes on EBIT</t>
        </is>
      </c>
      <c r="F11" s="24">
        <f>-Scenarios!G28*Scenarios!$G$11</f>
        <v/>
      </c>
      <c r="G11" s="24">
        <f>-Scenarios!G29*Scenarios!$G$11</f>
        <v/>
      </c>
      <c r="H11" s="24">
        <f>-Scenarios!G30*Scenarios!$G$11</f>
        <v/>
      </c>
      <c r="I11" s="24">
        <f>-Scenarios!G31*Scenarios!$G$11</f>
        <v/>
      </c>
      <c r="J11" s="24">
        <f>-Scenarios!G32*Scenarios!$G$11</f>
        <v/>
      </c>
    </row>
    <row r="12">
      <c r="A12" s="27" t="inlineStr">
        <is>
          <t>NOPAT</t>
        </is>
      </c>
      <c r="F12" s="28">
        <f>Scenarios!G33</f>
        <v/>
      </c>
      <c r="G12" s="28">
        <f>Scenarios!G34</f>
        <v/>
      </c>
      <c r="H12" s="28">
        <f>Scenarios!G35</f>
        <v/>
      </c>
      <c r="I12" s="28">
        <f>Scenarios!G36</f>
        <v/>
      </c>
      <c r="J12" s="28">
        <f>Scenarios!G37</f>
        <v/>
      </c>
      <c r="K12" s="78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24">
        <f>Scenarios!G38</f>
        <v/>
      </c>
      <c r="G14" s="24">
        <f>Scenarios!G39</f>
        <v/>
      </c>
      <c r="H14" s="24">
        <f>Scenarios!G40</f>
        <v/>
      </c>
      <c r="I14" s="24">
        <f>Scenarios!G41</f>
        <v/>
      </c>
      <c r="J14" s="24">
        <f>Scenarios!G42</f>
        <v/>
      </c>
      <c r="K14" s="76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3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24">
        <f>-Scenarios!G43</f>
        <v/>
      </c>
      <c r="G16" s="24">
        <f>-Scenarios!G44</f>
        <v/>
      </c>
      <c r="H16" s="24">
        <f>-Scenarios!G45</f>
        <v/>
      </c>
      <c r="I16" s="24">
        <f>-Scenarios!G46</f>
        <v/>
      </c>
      <c r="J16" s="24">
        <f>-Scenarios!G47</f>
        <v/>
      </c>
      <c r="K16" s="76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24">
        <f>Scenarios!G48</f>
        <v/>
      </c>
      <c r="G19" s="24">
        <f>Scenarios!G49</f>
        <v/>
      </c>
      <c r="H19" s="24">
        <f>Scenarios!G50</f>
        <v/>
      </c>
      <c r="I19" s="24">
        <f>Scenarios!G51</f>
        <v/>
      </c>
      <c r="J19" s="24">
        <f>Scenarios!G52</f>
        <v/>
      </c>
      <c r="K19" s="76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24">
        <f>-Scenarios!G53</f>
        <v/>
      </c>
      <c r="G20" s="24">
        <f>-Scenarios!G54</f>
        <v/>
      </c>
      <c r="H20" s="24">
        <f>-Scenarios!G55</f>
        <v/>
      </c>
      <c r="I20" s="24">
        <f>-Scenarios!G56</f>
        <v/>
      </c>
      <c r="J20" s="24">
        <f>-Scenarios!G57</f>
        <v/>
      </c>
      <c r="K20" s="76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7" t="inlineStr">
        <is>
          <t>Unlevered free cash flow</t>
        </is>
      </c>
      <c r="F22" s="80">
        <f>Scenarios!G58</f>
        <v/>
      </c>
      <c r="G22" s="80">
        <f>Scenarios!G59</f>
        <v/>
      </c>
      <c r="H22" s="80">
        <f>Scenarios!G60</f>
        <v/>
      </c>
      <c r="I22" s="80">
        <f>Scenarios!G61</f>
        <v/>
      </c>
      <c r="J22" s="80">
        <f>Scenarios!G62</f>
        <v/>
      </c>
      <c r="K22" s="78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1" t="n">
        <v>1</v>
      </c>
      <c r="G23" s="81" t="n">
        <v>2</v>
      </c>
      <c r="H23" s="81" t="n">
        <v>3</v>
      </c>
      <c r="I23" s="81" t="n">
        <v>4</v>
      </c>
      <c r="J23" s="81" t="n">
        <v>5</v>
      </c>
    </row>
    <row r="24">
      <c r="A24" s="16" t="inlineStr">
        <is>
          <t>Discount factor @ WACC</t>
        </is>
      </c>
      <c r="F24" s="82">
        <f>1/(1+Scenarios!$G$9)^F23</f>
        <v/>
      </c>
      <c r="G24" s="82">
        <f>1/(1+Scenarios!$G$9)^G23</f>
        <v/>
      </c>
      <c r="H24" s="82">
        <f>1/(1+Scenarios!$G$9)^H23</f>
        <v/>
      </c>
      <c r="I24" s="82">
        <f>1/(1+Scenarios!$G$9)^I23</f>
        <v/>
      </c>
      <c r="J24" s="82">
        <f>1/(1+Scenarios!$G$9)^J23</f>
        <v/>
      </c>
    </row>
    <row r="25">
      <c r="A25" s="27" t="inlineStr">
        <is>
          <t>PV of unlevered FCF</t>
        </is>
      </c>
      <c r="F25" s="28">
        <f>F22*F24</f>
        <v/>
      </c>
      <c r="G25" s="28">
        <f>G22*G24</f>
        <v/>
      </c>
      <c r="H25" s="28">
        <f>H22*H24</f>
        <v/>
      </c>
      <c r="I25" s="28">
        <f>I22*I24</f>
        <v/>
      </c>
      <c r="J25" s="28">
        <f>J22*J24</f>
        <v/>
      </c>
    </row>
    <row r="27">
      <c r="A27" s="15" t="inlineStr">
        <is>
          <t>Scenarios linkage summary (column K should all read OK)</t>
        </is>
      </c>
      <c r="K27" s="83">
        <f>IF(COUNTIF(K5:K22,"CHECK")=0,"ALL OK","REVIEW")</f>
        <v/>
      </c>
    </row>
    <row r="28">
      <c r="A28" s="84" t="inlineStr">
        <is>
          <t>VALUATION — GORDON GROWTH (PERPETUITY) METHOD</t>
        </is>
      </c>
      <c r="B28" s="13" t="n"/>
      <c r="C28" s="13" t="n"/>
    </row>
    <row r="29">
      <c r="A29" s="27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3">
        <f>Scenarios!$G$10</f>
        <v/>
      </c>
    </row>
    <row r="31">
      <c r="A31" s="27" t="inlineStr">
        <is>
          <t>Terminal EBITDA (FY2030E EBIT + D&amp;A)</t>
        </is>
      </c>
      <c r="E31" s="28">
        <f>J9+J14</f>
        <v/>
      </c>
    </row>
    <row r="32">
      <c r="A32" s="16" t="inlineStr">
        <is>
          <t>Terminal value = FCF₅×(1+g)/(WACC−g)</t>
        </is>
      </c>
      <c r="E32" s="24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5">
        <f>E32/E31</f>
        <v/>
      </c>
    </row>
    <row r="34">
      <c r="A34" s="16" t="inlineStr">
        <is>
          <t xml:space="preserve">  memo: (UFCF₃₀ / EBITDA₃₀) × (1+g) / (WACC−g)</t>
        </is>
      </c>
      <c r="E34" s="85">
        <f>J22/E31*(1+Scenarios!$G$10)/(Scenarios!$G$9-Scenarios!$G$10)</f>
        <v/>
      </c>
    </row>
    <row r="35">
      <c r="A35" s="27" t="inlineStr">
        <is>
          <t>PV of terminal value</t>
        </is>
      </c>
      <c r="E35" s="66">
        <f>E32/(1+Scenarios!$G$9)^J23</f>
        <v/>
      </c>
    </row>
    <row r="36">
      <c r="A36" s="27" t="inlineStr">
        <is>
          <t>Enterprise value</t>
        </is>
      </c>
      <c r="E36" s="28">
        <f>E29+E35</f>
        <v/>
      </c>
    </row>
    <row r="37" ht="28" customHeight="1">
      <c r="A37" s="16" t="inlineStr">
        <is>
          <t>Plus: cash &amp; equivalents (FY2025)</t>
        </is>
      </c>
      <c r="C37" s="86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7" t="inlineStr">
        <is>
          <t>Equity value</t>
        </is>
      </c>
      <c r="E41" s="28">
        <f>E36+E37+E38</f>
        <v/>
      </c>
    </row>
    <row r="42" ht="28" customHeight="1">
      <c r="A42" s="16" t="inlineStr">
        <is>
          <t>Shares outstanding (000)</t>
        </is>
      </c>
      <c r="C42" s="86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7" t="inlineStr">
        <is>
          <t>Implied value per share</t>
        </is>
      </c>
      <c r="E43" s="87">
        <f>E41/E42</f>
        <v/>
      </c>
      <c r="K43" s="78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6" t="inlineStr">
        <is>
          <t>NASDAQ</t>
        </is>
      </c>
      <c r="D44" s="19" t="inlineStr">
        <is>
          <t>Ctrl+F "closed at $100.61" → Last Sale on NASDAQ quote page</t>
        </is>
      </c>
      <c r="E44" s="88" t="n">
        <v>100</v>
      </c>
    </row>
    <row r="45">
      <c r="A45" s="27" t="inlineStr">
        <is>
          <t>Implied upside / (downside)</t>
        </is>
      </c>
      <c r="E45" s="89">
        <f>E43/E44-1</f>
        <v/>
      </c>
    </row>
    <row r="46">
      <c r="A46" s="16" t="inlineStr">
        <is>
          <t xml:space="preserve">  memo: % of EV from terminal value</t>
        </is>
      </c>
      <c r="E46" s="33">
        <f>E35/E36</f>
        <v/>
      </c>
    </row>
    <row r="48">
      <c r="A48" s="84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5">
        <f>E33</f>
        <v/>
      </c>
      <c r="M50" s="86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24">
        <f>E31*E50</f>
        <v/>
      </c>
    </row>
    <row r="52">
      <c r="A52" s="16" t="inlineStr">
        <is>
          <t>PV of terminal value</t>
        </is>
      </c>
      <c r="E52" s="24">
        <f>E51/(1+Scenarios!$G$9)^J23</f>
        <v/>
      </c>
    </row>
    <row r="53">
      <c r="A53" s="27" t="inlineStr">
        <is>
          <t>Enterprise value (exit method)</t>
        </is>
      </c>
      <c r="E53" s="28">
        <f>E29+E52</f>
        <v/>
      </c>
    </row>
    <row r="54">
      <c r="A54" s="27" t="inlineStr">
        <is>
          <t>Implied value per share (exit method)</t>
        </is>
      </c>
      <c r="E54" s="90">
        <f>(E53+E37+E38)/E42</f>
        <v/>
      </c>
    </row>
    <row r="56">
      <c r="A56" s="84" t="inlineStr">
        <is>
          <t>TERMINAL VALUE RECONCILIATION (GORDON vs EXIT MULTIPLE)</t>
        </is>
      </c>
      <c r="B56" s="13" t="n"/>
      <c r="C56" s="13" t="n"/>
      <c r="D56" s="13" t="n"/>
    </row>
    <row r="57">
      <c r="A57" s="91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7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7" t="inlineStr">
        <is>
          <t>Exit EV/EBITDA (implied vs selected)</t>
        </is>
      </c>
      <c r="B59" s="92">
        <f>E33</f>
        <v/>
      </c>
      <c r="C59" s="92">
        <f>E50</f>
        <v/>
      </c>
      <c r="D59" s="92">
        <f>B59-C59</f>
        <v/>
      </c>
    </row>
    <row r="60">
      <c r="A60" s="16" t="inlineStr">
        <is>
          <t>Terminal value variance (%)</t>
        </is>
      </c>
      <c r="B60" s="33" t="inlineStr"/>
      <c r="C60" s="33" t="inlineStr"/>
      <c r="D60" s="33">
        <f>(B58-C58)/B58</f>
        <v/>
      </c>
    </row>
    <row r="61">
      <c r="A61" s="27" t="inlineStr">
        <is>
          <t>Implied share price</t>
        </is>
      </c>
      <c r="B61" s="93">
        <f>E43</f>
        <v/>
      </c>
      <c r="C61" s="93">
        <f>E54</f>
        <v/>
      </c>
      <c r="D61" s="93">
        <f>B61-C61</f>
        <v/>
      </c>
    </row>
    <row r="62">
      <c r="A62" s="64" t="inlineStr">
        <is>
          <t>Sanity check: multiples within ±1.5 turns?</t>
        </is>
      </c>
      <c r="B62" s="94">
        <f>IF(ABS(D59)&lt;=1.5,"PASS","REVIEW")</f>
        <v/>
      </c>
      <c r="C62" s="95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4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6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7" t="n">
        <v>0.015</v>
      </c>
      <c r="G66" s="97" t="n">
        <v>0.02</v>
      </c>
      <c r="H66" s="97" t="n">
        <v>0.0225</v>
      </c>
      <c r="I66" s="97" t="n">
        <v>0.025</v>
      </c>
      <c r="J66" s="97" t="n">
        <v>0.03</v>
      </c>
      <c r="L66" s="86" t="inlineStr">
        <is>
          <t>Scenarios: terminal g</t>
        </is>
      </c>
    </row>
    <row r="67" ht="28" customHeight="1">
      <c r="A67" s="97" t="n">
        <v>0.095</v>
      </c>
      <c r="C67" s="86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8">
        <f>(NPV(0.095,F22:J22)+(J22*(1+0.015)/(0.095-0.015))/(1+0.095)^5+E37+E38)/E42</f>
        <v/>
      </c>
      <c r="G67" s="98">
        <f>(NPV(0.095,F22:J22)+(J22*(1+0.02)/(0.095-0.02))/(1+0.095)^5+E37+E38)/E42</f>
        <v/>
      </c>
      <c r="H67" s="98">
        <f>(NPV(0.095,F22:J22)+(J22*(1+0.0225)/(0.095-0.0225))/(1+0.095)^5+E37+E38)/E42</f>
        <v/>
      </c>
      <c r="I67" s="98">
        <f>(NPV(0.095,F22:J22)+(J22*(1+0.025)/(0.095-0.025))/(1+0.095)^5+E37+E38)/E42</f>
        <v/>
      </c>
      <c r="J67" s="98">
        <f>(NPV(0.095,F22:J22)+(J22*(1+0.03)/(0.095-0.03))/(1+0.095)^5+E37+E38)/E42</f>
        <v/>
      </c>
      <c r="L67" s="86" t="inlineStr">
        <is>
          <t>WACC tab</t>
        </is>
      </c>
    </row>
    <row r="68" ht="28" customHeight="1">
      <c r="A68" s="97" t="n">
        <v>0.1</v>
      </c>
      <c r="D68" s="19" t="inlineStr">
        <is>
          <t>Ctrl+F "4.23%" (2025 implied ERP). Sensitivity WACC axis brackets the 10.5% base.</t>
        </is>
      </c>
      <c r="F68" s="98">
        <f>(NPV(0.1,F22:J22)+(J22*(1+0.015)/(0.1-0.015))/(1+0.1)^5+E37+E38)/E42</f>
        <v/>
      </c>
      <c r="G68" s="98">
        <f>(NPV(0.1,F22:J22)+(J22*(1+0.02)/(0.1-0.02))/(1+0.1)^5+E37+E38)/E42</f>
        <v/>
      </c>
      <c r="H68" s="98">
        <f>(NPV(0.1,F22:J22)+(J22*(1+0.0225)/(0.1-0.0225))/(1+0.1)^5+E37+E38)/E42</f>
        <v/>
      </c>
      <c r="I68" s="98">
        <f>(NPV(0.1,F22:J22)+(J22*(1+0.025)/(0.1-0.025))/(1+0.1)^5+E37+E38)/E42</f>
        <v/>
      </c>
      <c r="J68" s="98">
        <f>(NPV(0.1,F22:J22)+(J22*(1+0.03)/(0.1-0.03))/(1+0.1)^5+E37+E38)/E42</f>
        <v/>
      </c>
      <c r="L68" s="86" t="inlineStr">
        <is>
          <t>WACC tab</t>
        </is>
      </c>
    </row>
    <row r="69" ht="28" customHeight="1">
      <c r="A69" s="97" t="n">
        <v>0.105</v>
      </c>
      <c r="D69" s="19" t="inlineStr">
        <is>
          <t>Ctrl+F "4.23%" (2025 implied ERP). Sensitivity WACC axis brackets the 10.5% base.</t>
        </is>
      </c>
      <c r="F69" s="98">
        <f>(NPV(0.105,F22:J22)+(J22*(1+0.015)/(0.105-0.015))/(1+0.105)^5+E37+E38)/E42</f>
        <v/>
      </c>
      <c r="G69" s="98">
        <f>(NPV(0.105,F22:J22)+(J22*(1+0.02)/(0.105-0.02))/(1+0.105)^5+E37+E38)/E42</f>
        <v/>
      </c>
      <c r="H69" s="99">
        <f>(NPV(0.105,F22:J22)+(J22*(1+0.0225)/(0.105-0.0225))/(1+0.105)^5+E37+E38)/E42</f>
        <v/>
      </c>
      <c r="I69" s="98">
        <f>(NPV(0.105,F22:J22)+(J22*(1+0.025)/(0.105-0.025))/(1+0.105)^5+E37+E38)/E42</f>
        <v/>
      </c>
      <c r="J69" s="98">
        <f>(NPV(0.105,F22:J22)+(J22*(1+0.03)/(0.105-0.03))/(1+0.105)^5+E37+E38)/E42</f>
        <v/>
      </c>
      <c r="L69" s="86" t="inlineStr">
        <is>
          <t>WACC tab</t>
        </is>
      </c>
    </row>
    <row r="70" ht="28" customHeight="1">
      <c r="A70" s="97" t="n">
        <v>0.11</v>
      </c>
      <c r="D70" s="19" t="inlineStr">
        <is>
          <t>Ctrl+F "4.23%" (2025 implied ERP). Sensitivity WACC axis brackets the 10.5% base.</t>
        </is>
      </c>
      <c r="F70" s="98">
        <f>(NPV(0.11,F22:J22)+(J22*(1+0.015)/(0.11-0.015))/(1+0.11)^5+E37+E38)/E42</f>
        <v/>
      </c>
      <c r="G70" s="98">
        <f>(NPV(0.11,F22:J22)+(J22*(1+0.02)/(0.11-0.02))/(1+0.11)^5+E37+E38)/E42</f>
        <v/>
      </c>
      <c r="H70" s="98">
        <f>(NPV(0.11,F22:J22)+(J22*(1+0.0225)/(0.11-0.0225))/(1+0.11)^5+E37+E38)/E42</f>
        <v/>
      </c>
      <c r="I70" s="98">
        <f>(NPV(0.11,F22:J22)+(J22*(1+0.025)/(0.11-0.025))/(1+0.11)^5+E37+E38)/E42</f>
        <v/>
      </c>
      <c r="J70" s="98">
        <f>(NPV(0.11,F22:J22)+(J22*(1+0.03)/(0.11-0.03))/(1+0.11)^5+E37+E38)/E42</f>
        <v/>
      </c>
      <c r="L70" s="86" t="inlineStr">
        <is>
          <t>WACC tab</t>
        </is>
      </c>
    </row>
    <row r="71" ht="28" customHeight="1">
      <c r="A71" s="97" t="n">
        <v>0.115</v>
      </c>
      <c r="D71" s="19" t="inlineStr">
        <is>
          <t>Ctrl+F "4.23%" (2025 implied ERP). Sensitivity WACC axis brackets the 10.5% base.</t>
        </is>
      </c>
      <c r="F71" s="98">
        <f>(NPV(0.115,F22:J22)+(J22*(1+0.015)/(0.115-0.015))/(1+0.115)^5+E37+E38)/E42</f>
        <v/>
      </c>
      <c r="G71" s="98">
        <f>(NPV(0.115,F22:J22)+(J22*(1+0.02)/(0.115-0.02))/(1+0.115)^5+E37+E38)/E42</f>
        <v/>
      </c>
      <c r="H71" s="98">
        <f>(NPV(0.115,F22:J22)+(J22*(1+0.0225)/(0.115-0.0225))/(1+0.115)^5+E37+E38)/E42</f>
        <v/>
      </c>
      <c r="I71" s="98">
        <f>(NPV(0.115,F22:J22)+(J22*(1+0.025)/(0.115-0.025))/(1+0.115)^5+E37+E38)/E42</f>
        <v/>
      </c>
      <c r="J71" s="98">
        <f>(NPV(0.115,F22:J22)+(J22*(1+0.03)/(0.115-0.03))/(1+0.115)^5+E37+E38)/E42</f>
        <v/>
      </c>
      <c r="L71" s="86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6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28"/>
    <hyperlink ref="L68" location="'WACC'!E28"/>
    <hyperlink ref="L69" location="'WACC'!E28"/>
    <hyperlink ref="L70" location="'WACC'!E28"/>
    <hyperlink ref="L71" location="'WACC'!E28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6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24">
        <f>2210615+496228</f>
        <v/>
      </c>
    </row>
    <row r="6">
      <c r="A6" s="16" t="inlineStr">
        <is>
          <t>FY2030E terminal EBITDA (DCF EBIT + D&amp;A)</t>
        </is>
      </c>
      <c r="C6" s="86" t="inlineStr">
        <is>
          <t>↳ DCF base case</t>
        </is>
      </c>
      <c r="E6" s="24">
        <f>DCF!E31</f>
        <v/>
      </c>
    </row>
    <row r="7" ht="28" customHeight="1">
      <c r="A7" s="16" t="inlineStr">
        <is>
          <t>FY2026E diluted EPS (guidance midpoint)</t>
        </is>
      </c>
      <c r="C7" s="86" t="inlineStr">
        <is>
          <t>Release</t>
        </is>
      </c>
      <c r="D7" s="19" t="inlineStr">
        <is>
          <t>Ctrl+F "$9.48 to $9.73" → FY2026 diluted EPS guidance; model midpoint $9.61</t>
        </is>
      </c>
      <c r="E7" s="88" t="n">
        <v>9.609999999999999</v>
      </c>
    </row>
    <row r="8" ht="28" customHeight="1">
      <c r="A8" s="16" t="inlineStr">
        <is>
          <t>Cash &amp; equivalents</t>
        </is>
      </c>
      <c r="C8" s="86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6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6" t="inlineStr">
        <is>
          <t>NASDAQ</t>
        </is>
      </c>
      <c r="D10" s="19" t="inlineStr">
        <is>
          <t>Ctrl+F "closed at $100.61" → Last Sale on NASDAQ quote page</t>
        </is>
      </c>
      <c r="E10" s="88" t="n">
        <v>100</v>
      </c>
    </row>
    <row r="11">
      <c r="A11" s="95" t="inlineStr">
        <is>
          <t xml:space="preserve">  memo: current EV / EBITDA</t>
        </is>
      </c>
      <c r="E11" s="100">
        <f>(E10*E9-E8)/E5</f>
        <v/>
      </c>
    </row>
    <row r="12">
      <c r="A12" s="95" t="inlineStr">
        <is>
          <t xml:space="preserve">  memo: current P / E (FY2026E)</t>
        </is>
      </c>
      <c r="E12" s="100">
        <f>E10/E7</f>
        <v/>
      </c>
    </row>
    <row r="14">
      <c r="A14" s="14" t="inlineStr">
        <is>
          <t>EXIT MULTIPLE BUILD — FY2030E TERMINAL YEAR</t>
        </is>
      </c>
    </row>
    <row r="15">
      <c r="A15" s="95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1" t="inlineStr">
        <is>
          <t>Company</t>
        </is>
      </c>
      <c r="B18" s="101" t="inlineStr">
        <is>
          <t>Justification</t>
        </is>
      </c>
      <c r="C18" s="101" t="inlineStr">
        <is>
          <t>Source</t>
        </is>
      </c>
      <c r="D18" s="101" t="inlineStr">
        <is>
          <t>Ctrl+F / proof</t>
        </is>
      </c>
      <c r="E18" s="102" t="inlineStr">
        <is>
          <t>EV/EBITDA</t>
        </is>
      </c>
      <c r="I18" s="102" t="inlineStr">
        <is>
          <t>EV ($000)</t>
        </is>
      </c>
      <c r="J18" s="102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32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3">
        <f>IF(J19&lt;=0,"n.m.",I19/J19)</f>
        <v/>
      </c>
      <c r="I19" s="104" t="n">
        <v>11890440</v>
      </c>
      <c r="J19" s="104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32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3">
        <f>IF(J20&lt;=0,"n.m.",I20/J20)</f>
        <v/>
      </c>
      <c r="I20" s="104" t="n">
        <v>3208397</v>
      </c>
      <c r="J20" s="104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32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3">
        <f>IF(J21&lt;=0,"n.m.",I21/J21)</f>
        <v/>
      </c>
      <c r="I21" s="104" t="n">
        <v>35661944</v>
      </c>
      <c r="J21" s="104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32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3">
        <f>IF(J22&lt;=0,"n.m.",I22/J22)</f>
        <v/>
      </c>
      <c r="I22" s="104" t="n">
        <v>58972350</v>
      </c>
      <c r="J22" s="104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32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3">
        <f>IF(J23&lt;=0,"n.m.",I23/J23)</f>
        <v/>
      </c>
      <c r="I23" s="104" t="n">
        <v>10555510</v>
      </c>
      <c r="J23" s="104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32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3">
        <f>IF(J24&lt;=0,"n.m.",I24/J24)</f>
        <v/>
      </c>
      <c r="I24" s="104" t="n">
        <v>27284350</v>
      </c>
      <c r="J24" s="104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32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3">
        <f>IF(J25&lt;=0,"n.m.",I25/J25)</f>
        <v/>
      </c>
      <c r="I25" s="104" t="n">
        <v>7153911</v>
      </c>
      <c r="J25" s="104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32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3">
        <f>IF(J26&lt;=0,"n.m.",I26/J26)</f>
        <v/>
      </c>
      <c r="I26" s="104" t="n">
        <v>616045</v>
      </c>
      <c r="J26" s="104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32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3">
        <f>IF(J27&lt;=0,"n.m.",I27/J27)</f>
        <v/>
      </c>
      <c r="I27" s="104" t="n">
        <v>9422753</v>
      </c>
      <c r="J27" s="104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32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3">
        <f>IF(J28&lt;=0,"n.m.",I28/J28)</f>
        <v/>
      </c>
      <c r="I28" s="104" t="n">
        <v>1598873</v>
      </c>
      <c r="J28" s="104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32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3">
        <f>IF(J29&lt;=0,"n.m.",I29/J29)</f>
        <v/>
      </c>
      <c r="I29" s="104" t="n">
        <v>5236269</v>
      </c>
      <c r="J29" s="104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3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5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5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6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6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7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3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3">
        <f>AVERAGE(E19,E21,E22,E23,E24,E25,E26,E27,E28,E29)</f>
        <v/>
      </c>
    </row>
    <row r="41">
      <c r="A41" s="95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5">
        <f>DCF!E33</f>
        <v/>
      </c>
    </row>
    <row r="45">
      <c r="A45" s="64" t="inlineStr">
        <is>
          <t>Selected exit multiple (base case)</t>
        </is>
      </c>
      <c r="E45" s="92">
        <f>DCF!E50</f>
        <v/>
      </c>
    </row>
    <row r="46">
      <c r="A46" s="16" t="inlineStr">
        <is>
          <t>Spread (selected − Gordon implied)</t>
        </is>
      </c>
      <c r="E46" s="85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1" t="inlineStr">
        <is>
          <t>Method</t>
        </is>
      </c>
      <c r="B56" s="101" t="inlineStr">
        <is>
          <t>Justification</t>
        </is>
      </c>
      <c r="C56" s="101" t="inlineStr">
        <is>
          <t>Source</t>
        </is>
      </c>
      <c r="D56" s="101" t="inlineStr">
        <is>
          <t>Ctrl+F</t>
        </is>
      </c>
      <c r="E56" s="102" t="inlineStr">
        <is>
          <t>Low mult.</t>
        </is>
      </c>
      <c r="F56" s="102" t="inlineStr">
        <is>
          <t>High mult.</t>
        </is>
      </c>
      <c r="G56" s="102" t="inlineStr">
        <is>
          <t>Implied px (low)</t>
        </is>
      </c>
      <c r="H56" s="102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8" t="n">
        <v>5</v>
      </c>
      <c r="F57" s="108" t="n">
        <v>8</v>
      </c>
      <c r="G57" s="109">
        <f>(E6*E57+E8)/E9</f>
        <v/>
      </c>
      <c r="H57" s="109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6">
        <f>DCF!E50</f>
        <v/>
      </c>
      <c r="G58" s="110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8" t="n">
        <v>10</v>
      </c>
      <c r="F59" s="108" t="n">
        <v>18</v>
      </c>
      <c r="G59" s="109">
        <f>E7*E59</f>
        <v/>
      </c>
      <c r="H59" s="109">
        <f>E7*F59</f>
        <v/>
      </c>
    </row>
    <row r="60">
      <c r="A60" s="16" t="inlineStr">
        <is>
          <t>DCF (bear – bull)</t>
        </is>
      </c>
      <c r="E60" s="111" t="inlineStr">
        <is>
          <t>—</t>
        </is>
      </c>
      <c r="F60" s="111" t="inlineStr">
        <is>
          <t>—</t>
        </is>
      </c>
      <c r="G60" s="109">
        <f>Scenarios!F65</f>
        <v/>
      </c>
      <c r="H60" s="109">
        <f>Scenarios!H65</f>
        <v/>
      </c>
    </row>
    <row r="62" ht="28" customHeight="1">
      <c r="A62" s="112" t="inlineStr">
        <is>
          <t>Current price</t>
        </is>
      </c>
      <c r="C62" s="86" t="inlineStr">
        <is>
          <t>NASDAQ</t>
        </is>
      </c>
      <c r="D62" s="19" t="inlineStr">
        <is>
          <t>Ctrl+F "closed at $100.61" → Last Sale on NASDAQ quote page</t>
        </is>
      </c>
      <c r="E62" s="113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2026-09-07T22:24:54Z</dcterms:created>
  <dcterms:modified xmlns:dcterms="http://purl.org/dc/terms/" xmlns:xsi="http://www.w3.org/2001/XMLSchema-instance" xsi:type="dcterms:W3CDTF">2026-09-07T22:24:54Z</dcterms:modified>
</cp:coreProperties>
</file>
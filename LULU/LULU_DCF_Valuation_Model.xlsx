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stern.nyu.edu/~adamodar/New_Home_Page/datafile/Betas.html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(5Y) — levered βL</t>
        </is>
      </c>
      <c r="B17" s="17" t="inlineStr">
        <is>
          <t>Step 0: StockAnalysis Beta (5Y) = 0.86. This is levered equity βL from a 5-year regression vs the market — not unlevered.</t>
        </is>
      </c>
      <c r="C17" s="18" t="inlineStr">
        <is>
          <t>StockAnalysis: LULU Beta (5Y)</t>
        </is>
      </c>
      <c r="D17" s="19" t="inlineStr">
        <is>
          <t>Ctrl+F "Beta (5Y)" → 0.86. Levered equity βL — starting point (StockAnalysis).</t>
        </is>
      </c>
      <c r="E17" s="27" t="n">
        <v>0.86</v>
      </c>
    </row>
    <row r="18" ht="28" customHeight="1">
      <c r="A18" s="16" t="inlineStr">
        <is>
          <t>D/E for unlever (StockAnalysis; source of βL)</t>
        </is>
      </c>
      <c r="B18" s="17" t="inlineStr">
        <is>
          <t>Step 1a: Source D/E = 0.45 on StockAnalysis ($2.14B total debt ÷ $4.79B book equity) — the leverage paired with βL on that page.</t>
        </is>
      </c>
      <c r="C18" s="18" t="inlineStr">
        <is>
          <t>StockAnalysis: LULU Debt / Equity</t>
        </is>
      </c>
      <c r="D18" s="19" t="inlineStr">
        <is>
          <t>Ctrl+F "Debt / Equity" → 0.45. = $2.14B total debt ÷ $4.79B book equity (source page).</t>
        </is>
      </c>
      <c r="E18" s="27" t="n">
        <v>0.45</v>
      </c>
    </row>
    <row r="19" ht="28" customHeight="1">
      <c r="A19" s="16" t="inlineStr">
        <is>
          <t>Unlevered βu</t>
        </is>
      </c>
      <c r="B19" s="17" t="inlineStr">
        <is>
          <t>Step 1b: βu = 0.86 ÷ [1 + (1−T)×0.45]. With T=30% → (1−T)=0.70. Denominator = 1.315 → βu ≈ 0.65 (pure business risk).</t>
        </is>
      </c>
      <c r="C19" s="24" t="inlineStr">
        <is>
          <t>WACC tab: Hamada unlever (source D/E)</t>
        </is>
      </c>
      <c r="D19" s="19" t="inlineStr">
        <is>
          <t>Formula: βu = βL ÷ [1 + (1−T) × D/E]. (1−T) = 0.70 at 30% tax. 0.86 ÷ 1.315 ≈ 0.65.</t>
        </is>
      </c>
      <c r="E19" s="28">
        <f>E17/(1+(1-E5)*E18)</f>
        <v/>
      </c>
    </row>
    <row r="20" ht="28" customHeight="1">
      <c r="A20" s="16" t="inlineStr">
        <is>
          <t>D/E for relever (WACC: FY25 lease debt / market equity)</t>
        </is>
      </c>
      <c r="B20" s="17" t="inlineStr">
        <is>
          <t>Step 2a: WACC D/E = FY25 lease debt ($1,798,441k) ÷ market cap ($100 × 111,380k shares) ≈ 0.16 — our modeled capital structure.</t>
        </is>
      </c>
      <c r="C20" s="24" t="inlineStr">
        <is>
          <t>WACC tab: FY25 lease debt / market equity</t>
        </is>
      </c>
      <c r="D20" s="19" t="inlineStr">
        <is>
          <t>Formula: D/E = E[lease debt] ÷ E[market equity]. 1,798,441 ÷ 11,138,000 ≈ 0.16 (10-K + NASDAQ).</t>
        </is>
      </c>
      <c r="E20" s="28">
        <f>E14/E10</f>
        <v/>
      </c>
    </row>
    <row r="21" ht="28" customHeight="1">
      <c r="A21" s="16" t="inlineStr">
        <is>
          <t>Sector βu benchmark (Damodaran Special Lines) — not used</t>
        </is>
      </c>
      <c r="B21" s="17" t="inlineStr">
        <is>
          <t>Benchmark only: Damodaran unlevered Retail (Special Lines) βu = 0.95. Not used — we derive βu from company βL instead.</t>
        </is>
      </c>
      <c r="C21" s="18" t="inlineStr">
        <is>
          <t>Damodaran: US betas by sector (Jan 2026)</t>
        </is>
      </c>
      <c r="D21" s="19" t="inlineStr">
        <is>
          <t>Ctrl+F "Retail (Special Lines)" → 0.95 βu. Sector benchmark — not used in WACC.</t>
        </is>
      </c>
      <c r="E21" s="27" t="n">
        <v>0.95</v>
      </c>
    </row>
    <row r="22" ht="150" customHeight="1">
      <c r="A22" s="23" t="inlineStr">
        <is>
          <t>Beta used (relevered for WACC capital structure)</t>
        </is>
      </c>
      <c r="B22" s="17" t="inlineStr">
        <is>
          <t>Step 2b: β used = 0.65 × [1 + 0.70×0.16] ≈ 0.73. This relevered βL feeds CAPM: CoE = rf + β×ERP.</t>
        </is>
      </c>
      <c r="C22" s="24" t="inlineStr">
        <is>
          <t>WACC tab: Hamada relever (total D/E incl. leases)</t>
        </is>
      </c>
      <c r="D22" s="19" t="inlineStr">
        <is>
          <t>HOW WE GET β USED IN WACC (Hamada)
STEP 0 — Start with observed levered βL (StockAnalysis)
  Ctrl+F "Beta (5Y)"  →  0.86
  5-year regression vs market. Already includes equity risk at source leverage.
STEP 1 — UNLEVER at source D/E (strip leverage from βL)
  Ctrl+F "Debt / Equity"  →  0.45  (= $2.14B debt ÷ $4.79B book equity)
  Ctrl+F "Total Debt"  →  2.14B
  Formula:  βu = βL ÷ [1 + (1−T) × D/E]
  (1−T) = 0.70  because tax rate T = 30% on this tab
  0.45 = source D/E from StockAnalysis (same page as βL)
  βu = 0.86 ÷ [1 + 0.70 × 0.45] = 0.86 ÷ 1.315  ≈  0.65
STEP 2 — RELEVER at WACC D/E (our modeled lease debt)
  D/E = FY25 lease debt equiv. ÷ market equity (rows above)
  Ctrl+F "Current lease liabilities"  →  298,724
  Ctrl+F "Non-current lease liabilities"  →  1,499,717
  Sum = 1,798,441 ($000). Market cap = $100 × 111,380k shares.
  D/E ≈ 0.16.  Formula:  β used = βu × [1 + 0.70 × D/E]
  β used = 0.65 × [1 + 0.70 × 0.16]  ≈  0.73  →  CoE = rf + β × ERP
Benchmark (not used): Damodaran Retail βu 0.95
  Ctrl+F "Retail (Special Lines)"  →  0.95</t>
        </is>
      </c>
      <c r="E22" s="29">
        <f>E19*(1+(1-E5)*E20)</f>
        <v/>
      </c>
    </row>
    <row r="23">
      <c r="A23" s="26" t="inlineStr">
        <is>
          <t xml:space="preserve">  β walkthrough (Hamada):</t>
        </is>
      </c>
    </row>
    <row r="24">
      <c r="A24" s="26" t="inlineStr">
        <is>
          <t xml:space="preserve">  (0) StockAnalysis βL = 0.86 (levered; 5Y regression vs market).</t>
        </is>
      </c>
    </row>
    <row r="25">
      <c r="A25" s="26" t="inlineStr">
        <is>
          <t xml:space="preserve">  (1) Unlever at source D/E = 0.45 [(1−T)=0.70 at 30% tax] → βu = 0.86 ÷ 1.315 ≈ 0.65.</t>
        </is>
      </c>
    </row>
    <row r="26">
      <c r="A26" s="26" t="inlineStr">
        <is>
          <t xml:space="preserve">  (2) Relever at WACC D/E = FY25 lease debt ÷ market cap ≈ 0.16 → β used ≈ 0.73 in CAPM below.</t>
        </is>
      </c>
    </row>
    <row r="27">
      <c r="A27" s="14" t="inlineStr">
        <is>
          <t>Cost of equity (CAPM)</t>
        </is>
      </c>
    </row>
    <row r="28">
      <c r="A28" s="23" t="inlineStr">
        <is>
          <t>Cost of equity = rf + β × ERP</t>
        </is>
      </c>
      <c r="E28" s="30">
        <f>E3+E22*E4</f>
        <v/>
      </c>
    </row>
    <row r="30">
      <c r="A30" s="14" t="inlineStr">
        <is>
          <t>Cost of debt (lease-equivalent)</t>
        </is>
      </c>
    </row>
    <row r="31" ht="28" customHeight="1">
      <c r="A31" s="16" t="inlineStr">
        <is>
          <t>Pre-tax cost of debt (lease-equivalent)</t>
        </is>
      </c>
      <c r="B31" s="17" t="inlineStr">
        <is>
          <t>5.0% pre-tax lease-equivalent borrowing cost; cheaper than equity. No funded revolver borrowings per FY25 10-K.</t>
        </is>
      </c>
      <c r="C31" s="18" t="inlineStr">
        <is>
          <t>LULU FY2025 10-K: lease liabilities &amp; no funded debt</t>
        </is>
      </c>
      <c r="D31" s="19" t="inlineStr">
        <is>
          <t>Ctrl+F "Current lease liabilities" + "Non-current lease liabilities" → debt equiv. 5.0% illustrative lease borrowing cost.</t>
        </is>
      </c>
      <c r="E31" s="20" t="n">
        <v>0.05</v>
      </c>
    </row>
    <row r="32">
      <c r="A32" s="16" t="inlineStr">
        <is>
          <t>After-tax cost of debt</t>
        </is>
      </c>
      <c r="E32" s="31">
        <f>E31*(1-E5)</f>
        <v/>
      </c>
    </row>
    <row r="34">
      <c r="A34" s="14" t="inlineStr">
        <is>
          <t>WACC weights</t>
        </is>
      </c>
    </row>
    <row r="35" ht="28" customHeight="1">
      <c r="A35" s="16" t="inlineStr">
        <is>
          <t>Equity weight</t>
        </is>
      </c>
      <c r="B35" s="17" t="inlineStr">
        <is>
          <t>Equity weight = market cap ÷ (market cap + lease debt). ~86% at $100 and FY25 lease balance.</t>
        </is>
      </c>
      <c r="C35" s="24" t="inlineStr">
        <is>
          <t>WACC tab: capital structure</t>
        </is>
      </c>
      <c r="D35" s="19" t="inlineStr">
        <is>
          <t>Equity weight = market cap ÷ (market cap + lease debt). Live formula on this tab.</t>
        </is>
      </c>
      <c r="E35" s="32">
        <f>E10/(E10+E14)</f>
        <v/>
      </c>
    </row>
    <row r="36" ht="28" customHeight="1">
      <c r="A36" s="16" t="inlineStr">
        <is>
          <t>Debt weight (leases + funded)</t>
        </is>
      </c>
      <c r="B36" s="17" t="inlineStr">
        <is>
          <t>Debt weight = lease liabilities ÷ (market cap + lease debt). ~14% — ASC 842 leases, not bank debt.</t>
        </is>
      </c>
      <c r="C36" s="18" t="inlineStr">
        <is>
          <t>LULU FY2025 10-K: operating lease liabilities</t>
        </is>
      </c>
      <c r="D36" s="19" t="inlineStr">
        <is>
          <t>Debt weight = lease liabilities ÷ (market cap + lease debt). ~14% at FY25 balances.</t>
        </is>
      </c>
      <c r="E36" s="32">
        <f>E14/(E10+E14)</f>
        <v/>
      </c>
    </row>
    <row r="37">
      <c r="A37" s="23" t="inlineStr">
        <is>
          <t>WACC</t>
        </is>
      </c>
      <c r="E37" s="33">
        <f>E35*E28+E36*E32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21" r:id="rId10"/>
    <hyperlink xmlns:r="http://schemas.openxmlformats.org/officeDocument/2006/relationships" ref="C31" r:id="rId11"/>
    <hyperlink xmlns:r="http://schemas.openxmlformats.org/officeDocument/2006/relationships" ref="C36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WACC!E37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3" t="inlineStr">
        <is>
          <t>Enterprise value (DCF)</t>
        </is>
      </c>
      <c r="F64" s="25">
        <f>NPV(F9,F58,F59,F60,F61,F62)+(F62*(1+F10)/(F9-F10))/(1+F9)^5</f>
        <v/>
      </c>
      <c r="G64" s="25">
        <f>NPV(G9,G58,G59,G60,G61,G62)+(G62*(1+G10)/(G9-G10))/(1+G9)^5</f>
        <v/>
      </c>
      <c r="H64" s="25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3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37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76">
        <f>Scenarios!G18</f>
        <v/>
      </c>
      <c r="G5" s="76">
        <f>Scenarios!G19</f>
        <v/>
      </c>
      <c r="H5" s="76">
        <f>Scenarios!G20</f>
        <v/>
      </c>
      <c r="I5" s="76">
        <f>Scenarios!G21</f>
        <v/>
      </c>
      <c r="J5" s="76">
        <f>Scenarios!G22</f>
        <v/>
      </c>
      <c r="K5" s="77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7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3" t="inlineStr">
        <is>
          <t>EBIT (incl. FY26 refund)</t>
        </is>
      </c>
      <c r="E9" s="78" t="n">
        <v>2210615</v>
      </c>
      <c r="F9" s="25">
        <f>Scenarios!G28</f>
        <v/>
      </c>
      <c r="G9" s="25">
        <f>Scenarios!G29</f>
        <v/>
      </c>
      <c r="H9" s="25">
        <f>Scenarios!G30</f>
        <v/>
      </c>
      <c r="I9" s="25">
        <f>Scenarios!G31</f>
        <v/>
      </c>
      <c r="J9" s="25">
        <f>Scenarios!G32</f>
        <v/>
      </c>
      <c r="K9" s="79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80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76">
        <f>-Scenarios!G28*Scenarios!$G$11</f>
        <v/>
      </c>
      <c r="G11" s="76">
        <f>-Scenarios!G29*Scenarios!$G$11</f>
        <v/>
      </c>
      <c r="H11" s="76">
        <f>-Scenarios!G30*Scenarios!$G$11</f>
        <v/>
      </c>
      <c r="I11" s="76">
        <f>-Scenarios!G31*Scenarios!$G$11</f>
        <v/>
      </c>
      <c r="J11" s="76">
        <f>-Scenarios!G32*Scenarios!$G$11</f>
        <v/>
      </c>
    </row>
    <row r="12">
      <c r="A12" s="23" t="inlineStr">
        <is>
          <t>NOPAT</t>
        </is>
      </c>
      <c r="F12" s="25">
        <f>Scenarios!G33</f>
        <v/>
      </c>
      <c r="G12" s="25">
        <f>Scenarios!G34</f>
        <v/>
      </c>
      <c r="H12" s="25">
        <f>Scenarios!G35</f>
        <v/>
      </c>
      <c r="I12" s="25">
        <f>Scenarios!G36</f>
        <v/>
      </c>
      <c r="J12" s="25">
        <f>Scenarios!G37</f>
        <v/>
      </c>
      <c r="K12" s="79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6">
        <f>Scenarios!G38</f>
        <v/>
      </c>
      <c r="G14" s="76">
        <f>Scenarios!G39</f>
        <v/>
      </c>
      <c r="H14" s="76">
        <f>Scenarios!G40</f>
        <v/>
      </c>
      <c r="I14" s="76">
        <f>Scenarios!G41</f>
        <v/>
      </c>
      <c r="J14" s="76">
        <f>Scenarios!G42</f>
        <v/>
      </c>
      <c r="K14" s="77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6">
        <f>-Scenarios!G43</f>
        <v/>
      </c>
      <c r="G16" s="76">
        <f>-Scenarios!G44</f>
        <v/>
      </c>
      <c r="H16" s="76">
        <f>-Scenarios!G45</f>
        <v/>
      </c>
      <c r="I16" s="76">
        <f>-Scenarios!G46</f>
        <v/>
      </c>
      <c r="J16" s="76">
        <f>-Scenarios!G47</f>
        <v/>
      </c>
      <c r="K16" s="77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76">
        <f>Scenarios!G48</f>
        <v/>
      </c>
      <c r="G19" s="76">
        <f>Scenarios!G49</f>
        <v/>
      </c>
      <c r="H19" s="76">
        <f>Scenarios!G50</f>
        <v/>
      </c>
      <c r="I19" s="76">
        <f>Scenarios!G51</f>
        <v/>
      </c>
      <c r="J19" s="76">
        <f>Scenarios!G52</f>
        <v/>
      </c>
      <c r="K19" s="77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6">
        <f>-Scenarios!G53</f>
        <v/>
      </c>
      <c r="G20" s="76">
        <f>-Scenarios!G54</f>
        <v/>
      </c>
      <c r="H20" s="76">
        <f>-Scenarios!G55</f>
        <v/>
      </c>
      <c r="I20" s="76">
        <f>-Scenarios!G56</f>
        <v/>
      </c>
      <c r="J20" s="76">
        <f>-Scenarios!G57</f>
        <v/>
      </c>
      <c r="K20" s="77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3" t="inlineStr">
        <is>
          <t>Unlevered free cash flow</t>
        </is>
      </c>
      <c r="F22" s="81">
        <f>Scenarios!G58</f>
        <v/>
      </c>
      <c r="G22" s="81">
        <f>Scenarios!G59</f>
        <v/>
      </c>
      <c r="H22" s="81">
        <f>Scenarios!G60</f>
        <v/>
      </c>
      <c r="I22" s="81">
        <f>Scenarios!G61</f>
        <v/>
      </c>
      <c r="J22" s="81">
        <f>Scenarios!G62</f>
        <v/>
      </c>
      <c r="K22" s="79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2" t="n">
        <v>1</v>
      </c>
      <c r="G23" s="82" t="n">
        <v>2</v>
      </c>
      <c r="H23" s="82" t="n">
        <v>3</v>
      </c>
      <c r="I23" s="82" t="n">
        <v>4</v>
      </c>
      <c r="J23" s="82" t="n">
        <v>5</v>
      </c>
    </row>
    <row r="24">
      <c r="A24" s="16" t="inlineStr">
        <is>
          <t>Discount factor @ WACC</t>
        </is>
      </c>
      <c r="F24" s="83">
        <f>1/(1+Scenarios!$G$9)^F23</f>
        <v/>
      </c>
      <c r="G24" s="83">
        <f>1/(1+Scenarios!$G$9)^G23</f>
        <v/>
      </c>
      <c r="H24" s="83">
        <f>1/(1+Scenarios!$G$9)^H23</f>
        <v/>
      </c>
      <c r="I24" s="83">
        <f>1/(1+Scenarios!$G$9)^I23</f>
        <v/>
      </c>
      <c r="J24" s="83">
        <f>1/(1+Scenarios!$G$9)^J23</f>
        <v/>
      </c>
    </row>
    <row r="25">
      <c r="A25" s="23" t="inlineStr">
        <is>
          <t>PV of unlevered FCF</t>
        </is>
      </c>
      <c r="F25" s="25">
        <f>F22*F24</f>
        <v/>
      </c>
      <c r="G25" s="25">
        <f>G22*G24</f>
        <v/>
      </c>
      <c r="H25" s="25">
        <f>H22*H24</f>
        <v/>
      </c>
      <c r="I25" s="25">
        <f>I22*I24</f>
        <v/>
      </c>
      <c r="J25" s="25">
        <f>J22*J24</f>
        <v/>
      </c>
    </row>
    <row r="27">
      <c r="A27" s="15" t="inlineStr">
        <is>
          <t>Scenarios linkage summary (column K should all read OK)</t>
        </is>
      </c>
      <c r="K27" s="84">
        <f>IF(COUNTIF(K5:K22,"CHECK")=0,"ALL OK","REVIEW")</f>
        <v/>
      </c>
    </row>
    <row r="28">
      <c r="A28" s="85" t="inlineStr">
        <is>
          <t>VALUATION — GORDON GROWTH (PERPETUITY) METHOD</t>
        </is>
      </c>
      <c r="B28" s="13" t="n"/>
      <c r="C28" s="13" t="n"/>
    </row>
    <row r="29">
      <c r="A29" s="23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3" t="inlineStr">
        <is>
          <t>Terminal EBITDA (FY2030E EBIT + D&amp;A)</t>
        </is>
      </c>
      <c r="E31" s="25">
        <f>J9+J14</f>
        <v/>
      </c>
    </row>
    <row r="32">
      <c r="A32" s="16" t="inlineStr">
        <is>
          <t>Terminal value = FCF₅×(1+g)/(WACC−g)</t>
        </is>
      </c>
      <c r="E32" s="76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6">
        <f>E32/E31</f>
        <v/>
      </c>
    </row>
    <row r="34">
      <c r="A34" s="16" t="inlineStr">
        <is>
          <t xml:space="preserve">  memo: (UFCF₃₀ / EBITDA₃₀) × (1+g) / (WACC−g)</t>
        </is>
      </c>
      <c r="E34" s="86">
        <f>J22/E31*(1+Scenarios!$G$10)/(Scenarios!$G$9-Scenarios!$G$10)</f>
        <v/>
      </c>
    </row>
    <row r="35">
      <c r="A35" s="23" t="inlineStr">
        <is>
          <t>PV of terminal value</t>
        </is>
      </c>
      <c r="E35" s="66">
        <f>E32/(1+Scenarios!$G$9)^J23</f>
        <v/>
      </c>
    </row>
    <row r="36">
      <c r="A36" s="23" t="inlineStr">
        <is>
          <t>Enterprise value</t>
        </is>
      </c>
      <c r="E36" s="25">
        <f>E29+E35</f>
        <v/>
      </c>
    </row>
    <row r="37" ht="28" customHeight="1">
      <c r="A37" s="16" t="inlineStr">
        <is>
          <t>Plus: cash &amp; equivalents (FY2025)</t>
        </is>
      </c>
      <c r="C37" s="87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6" t="inlineStr">
        <is>
          <t xml:space="preserve">  memo: funded term debt $0. Operating leases $298,724k current + $1,499,717k non-current = $1,798,441k (ASC 842 debt equivalent).</t>
        </is>
      </c>
    </row>
    <row r="40">
      <c r="A40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3" t="inlineStr">
        <is>
          <t>Equity value</t>
        </is>
      </c>
      <c r="E41" s="25">
        <f>E36+E37+E38</f>
        <v/>
      </c>
    </row>
    <row r="42" ht="28" customHeight="1">
      <c r="A42" s="16" t="inlineStr">
        <is>
          <t>Shares outstanding (000)</t>
        </is>
      </c>
      <c r="C42" s="87" t="inlineStr">
        <is>
          <t>10-K</t>
        </is>
      </c>
      <c r="D42" s="19" t="inlineStr">
        <is>
          <t>Ctrl+F "111,380 and 116,166 issued and outstanding" → 111,380k class A (FY25 10-K cover)</t>
        </is>
      </c>
      <c r="E42" s="75" t="n">
        <v>111380</v>
      </c>
    </row>
    <row r="43">
      <c r="A43" s="23" t="inlineStr">
        <is>
          <t>Implied value per share</t>
        </is>
      </c>
      <c r="E43" s="88">
        <f>E41/E42</f>
        <v/>
      </c>
      <c r="K43" s="79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7" t="inlineStr">
        <is>
          <t>NASDAQ</t>
        </is>
      </c>
      <c r="D44" s="19" t="inlineStr">
        <is>
          <t>Ctrl+F "closed at $100.61" → Last Sale on NASDAQ quote page</t>
        </is>
      </c>
      <c r="E44" s="89" t="n">
        <v>100</v>
      </c>
    </row>
    <row r="45">
      <c r="A45" s="23" t="inlineStr">
        <is>
          <t>Implied upside / (downside)</t>
        </is>
      </c>
      <c r="E45" s="90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5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6">
        <f>E33</f>
        <v/>
      </c>
      <c r="M50" s="87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76">
        <f>E31*E50</f>
        <v/>
      </c>
    </row>
    <row r="52">
      <c r="A52" s="16" t="inlineStr">
        <is>
          <t>PV of terminal value</t>
        </is>
      </c>
      <c r="E52" s="76">
        <f>E51/(1+Scenarios!$G$9)^J23</f>
        <v/>
      </c>
    </row>
    <row r="53">
      <c r="A53" s="23" t="inlineStr">
        <is>
          <t>Enterprise value (exit method)</t>
        </is>
      </c>
      <c r="E53" s="25">
        <f>E29+E52</f>
        <v/>
      </c>
    </row>
    <row r="54">
      <c r="A54" s="23" t="inlineStr">
        <is>
          <t>Implied value per share (exit method)</t>
        </is>
      </c>
      <c r="E54" s="91">
        <f>(E53+E37+E38)/E42</f>
        <v/>
      </c>
    </row>
    <row r="56">
      <c r="A56" s="85" t="inlineStr">
        <is>
          <t>TERMINAL VALUE RECONCILIATION (GORDON vs EXIT MULTIPLE)</t>
        </is>
      </c>
      <c r="B56" s="13" t="n"/>
      <c r="C56" s="13" t="n"/>
      <c r="D56" s="13" t="n"/>
    </row>
    <row r="57">
      <c r="A57" s="92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3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3" t="inlineStr">
        <is>
          <t>Exit EV/EBITDA (implied vs selected)</t>
        </is>
      </c>
      <c r="B59" s="93">
        <f>E33</f>
        <v/>
      </c>
      <c r="C59" s="93">
        <f>E50</f>
        <v/>
      </c>
      <c r="D59" s="93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3" t="inlineStr">
        <is>
          <t>Implied share price</t>
        </is>
      </c>
      <c r="B61" s="94">
        <f>E43</f>
        <v/>
      </c>
      <c r="C61" s="94">
        <f>E54</f>
        <v/>
      </c>
      <c r="D61" s="94">
        <f>B61-C61</f>
        <v/>
      </c>
    </row>
    <row r="62">
      <c r="A62" s="64" t="inlineStr">
        <is>
          <t>Sanity check: multiples within ±1.5 turns?</t>
        </is>
      </c>
      <c r="B62" s="95">
        <f>IF(ABS(D59)&lt;=1.5,"PASS","REVIEW")</f>
        <v/>
      </c>
      <c r="C62" s="96">
        <f>TEXT(D59,"0.0")&amp;"x spread vs Gordon-implied exit"</f>
        <v/>
      </c>
      <c r="D62" s="26" t="inlineStr">
        <is>
          <t>Selected exit is the Gordon identity, so spread should be 0</t>
        </is>
      </c>
    </row>
    <row r="65">
      <c r="A65" s="85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7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8" t="n">
        <v>0.015</v>
      </c>
      <c r="G66" s="98" t="n">
        <v>0.02</v>
      </c>
      <c r="H66" s="98" t="n">
        <v>0.0225</v>
      </c>
      <c r="I66" s="98" t="n">
        <v>0.025</v>
      </c>
      <c r="J66" s="98" t="n">
        <v>0.03</v>
      </c>
      <c r="L66" s="87" t="inlineStr">
        <is>
          <t>Scenarios: terminal g</t>
        </is>
      </c>
    </row>
    <row r="67" ht="28" customHeight="1">
      <c r="A67" s="98" t="n">
        <v>0.095</v>
      </c>
      <c r="C67" s="87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9">
        <f>(NPV(0.095,F22:J22)+(J22*(1+0.015)/(0.095-0.015))/(1+0.095)^5+E37+E38)/E42</f>
        <v/>
      </c>
      <c r="G67" s="99">
        <f>(NPV(0.095,F22:J22)+(J22*(1+0.02)/(0.095-0.02))/(1+0.095)^5+E37+E38)/E42</f>
        <v/>
      </c>
      <c r="H67" s="99">
        <f>(NPV(0.095,F22:J22)+(J22*(1+0.0225)/(0.095-0.0225))/(1+0.095)^5+E37+E38)/E42</f>
        <v/>
      </c>
      <c r="I67" s="99">
        <f>(NPV(0.095,F22:J22)+(J22*(1+0.025)/(0.095-0.025))/(1+0.095)^5+E37+E38)/E42</f>
        <v/>
      </c>
      <c r="J67" s="99">
        <f>(NPV(0.095,F22:J22)+(J22*(1+0.03)/(0.095-0.03))/(1+0.095)^5+E37+E38)/E42</f>
        <v/>
      </c>
      <c r="L67" s="87" t="inlineStr">
        <is>
          <t>WACC tab</t>
        </is>
      </c>
    </row>
    <row r="68" ht="28" customHeight="1">
      <c r="A68" s="98" t="n">
        <v>0.1</v>
      </c>
      <c r="D68" s="19" t="inlineStr">
        <is>
          <t>Ctrl+F "4.23%" (2025 implied ERP). Sensitivity WACC axis brackets the 10.5% base.</t>
        </is>
      </c>
      <c r="F68" s="99">
        <f>(NPV(0.1,F22:J22)+(J22*(1+0.015)/(0.1-0.015))/(1+0.1)^5+E37+E38)/E42</f>
        <v/>
      </c>
      <c r="G68" s="99">
        <f>(NPV(0.1,F22:J22)+(J22*(1+0.02)/(0.1-0.02))/(1+0.1)^5+E37+E38)/E42</f>
        <v/>
      </c>
      <c r="H68" s="99">
        <f>(NPV(0.1,F22:J22)+(J22*(1+0.0225)/(0.1-0.0225))/(1+0.1)^5+E37+E38)/E42</f>
        <v/>
      </c>
      <c r="I68" s="99">
        <f>(NPV(0.1,F22:J22)+(J22*(1+0.025)/(0.1-0.025))/(1+0.1)^5+E37+E38)/E42</f>
        <v/>
      </c>
      <c r="J68" s="99">
        <f>(NPV(0.1,F22:J22)+(J22*(1+0.03)/(0.1-0.03))/(1+0.1)^5+E37+E38)/E42</f>
        <v/>
      </c>
      <c r="L68" s="87" t="inlineStr">
        <is>
          <t>WACC tab</t>
        </is>
      </c>
    </row>
    <row r="69" ht="28" customHeight="1">
      <c r="A69" s="98" t="n">
        <v>0.105</v>
      </c>
      <c r="D69" s="19" t="inlineStr">
        <is>
          <t>Ctrl+F "4.23%" (2025 implied ERP). Sensitivity WACC axis brackets the 10.5% base.</t>
        </is>
      </c>
      <c r="F69" s="99">
        <f>(NPV(0.105,F22:J22)+(J22*(1+0.015)/(0.105-0.015))/(1+0.105)^5+E37+E38)/E42</f>
        <v/>
      </c>
      <c r="G69" s="99">
        <f>(NPV(0.105,F22:J22)+(J22*(1+0.02)/(0.105-0.02))/(1+0.105)^5+E37+E38)/E42</f>
        <v/>
      </c>
      <c r="H69" s="100">
        <f>(NPV(0.105,F22:J22)+(J22*(1+0.0225)/(0.105-0.0225))/(1+0.105)^5+E37+E38)/E42</f>
        <v/>
      </c>
      <c r="I69" s="99">
        <f>(NPV(0.105,F22:J22)+(J22*(1+0.025)/(0.105-0.025))/(1+0.105)^5+E37+E38)/E42</f>
        <v/>
      </c>
      <c r="J69" s="99">
        <f>(NPV(0.105,F22:J22)+(J22*(1+0.03)/(0.105-0.03))/(1+0.105)^5+E37+E38)/E42</f>
        <v/>
      </c>
      <c r="L69" s="87" t="inlineStr">
        <is>
          <t>WACC tab</t>
        </is>
      </c>
    </row>
    <row r="70" ht="28" customHeight="1">
      <c r="A70" s="98" t="n">
        <v>0.11</v>
      </c>
      <c r="D70" s="19" t="inlineStr">
        <is>
          <t>Ctrl+F "4.23%" (2025 implied ERP). Sensitivity WACC axis brackets the 10.5% base.</t>
        </is>
      </c>
      <c r="F70" s="99">
        <f>(NPV(0.11,F22:J22)+(J22*(1+0.015)/(0.11-0.015))/(1+0.11)^5+E37+E38)/E42</f>
        <v/>
      </c>
      <c r="G70" s="99">
        <f>(NPV(0.11,F22:J22)+(J22*(1+0.02)/(0.11-0.02))/(1+0.11)^5+E37+E38)/E42</f>
        <v/>
      </c>
      <c r="H70" s="99">
        <f>(NPV(0.11,F22:J22)+(J22*(1+0.0225)/(0.11-0.0225))/(1+0.11)^5+E37+E38)/E42</f>
        <v/>
      </c>
      <c r="I70" s="99">
        <f>(NPV(0.11,F22:J22)+(J22*(1+0.025)/(0.11-0.025))/(1+0.11)^5+E37+E38)/E42</f>
        <v/>
      </c>
      <c r="J70" s="99">
        <f>(NPV(0.11,F22:J22)+(J22*(1+0.03)/(0.11-0.03))/(1+0.11)^5+E37+E38)/E42</f>
        <v/>
      </c>
      <c r="L70" s="87" t="inlineStr">
        <is>
          <t>WACC tab</t>
        </is>
      </c>
    </row>
    <row r="71" ht="28" customHeight="1">
      <c r="A71" s="98" t="n">
        <v>0.115</v>
      </c>
      <c r="D71" s="19" t="inlineStr">
        <is>
          <t>Ctrl+F "4.23%" (2025 implied ERP). Sensitivity WACC axis brackets the 10.5% base.</t>
        </is>
      </c>
      <c r="F71" s="99">
        <f>(NPV(0.115,F22:J22)+(J22*(1+0.015)/(0.115-0.015))/(1+0.115)^5+E37+E38)/E42</f>
        <v/>
      </c>
      <c r="G71" s="99">
        <f>(NPV(0.115,F22:J22)+(J22*(1+0.02)/(0.115-0.02))/(1+0.115)^5+E37+E38)/E42</f>
        <v/>
      </c>
      <c r="H71" s="99">
        <f>(NPV(0.115,F22:J22)+(J22*(1+0.0225)/(0.115-0.0225))/(1+0.115)^5+E37+E38)/E42</f>
        <v/>
      </c>
      <c r="I71" s="99">
        <f>(NPV(0.115,F22:J22)+(J22*(1+0.025)/(0.115-0.025))/(1+0.115)^5+E37+E38)/E42</f>
        <v/>
      </c>
      <c r="J71" s="99">
        <f>(NPV(0.115,F22:J22)+(J22*(1+0.03)/(0.115-0.03))/(1+0.115)^5+E37+E38)/E42</f>
        <v/>
      </c>
      <c r="L71" s="87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7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37"/>
    <hyperlink ref="L68" location="'WACC'!E37"/>
    <hyperlink ref="L69" location="'WACC'!E37"/>
    <hyperlink ref="L70" location="'WACC'!E37"/>
    <hyperlink ref="L71" location="'WACC'!E37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7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76">
        <f>2210615+496228</f>
        <v/>
      </c>
    </row>
    <row r="6">
      <c r="A6" s="16" t="inlineStr">
        <is>
          <t>FY2030E terminal EBITDA (DCF EBIT + D&amp;A)</t>
        </is>
      </c>
      <c r="C6" s="87" t="inlineStr">
        <is>
          <t>↳ DCF base case</t>
        </is>
      </c>
      <c r="E6" s="76">
        <f>DCF!E31</f>
        <v/>
      </c>
    </row>
    <row r="7" ht="28" customHeight="1">
      <c r="A7" s="16" t="inlineStr">
        <is>
          <t>FY2026E diluted EPS (guidance midpoint)</t>
        </is>
      </c>
      <c r="C7" s="87" t="inlineStr">
        <is>
          <t>Release</t>
        </is>
      </c>
      <c r="D7" s="19" t="inlineStr">
        <is>
          <t>Ctrl+F "$9.48 to $9.73" → FY2026 diluted EPS guidance; model midpoint $9.61</t>
        </is>
      </c>
      <c r="E7" s="89" t="n">
        <v>9.609999999999999</v>
      </c>
    </row>
    <row r="8" ht="28" customHeight="1">
      <c r="A8" s="16" t="inlineStr">
        <is>
          <t>Cash &amp; equivalents</t>
        </is>
      </c>
      <c r="C8" s="87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Shares outstanding (000)</t>
        </is>
      </c>
      <c r="C9" s="87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7" t="inlineStr">
        <is>
          <t>NASDAQ</t>
        </is>
      </c>
      <c r="D10" s="19" t="inlineStr">
        <is>
          <t>Ctrl+F "closed at $100.61" → Last Sale on NASDAQ quote page</t>
        </is>
      </c>
      <c r="E10" s="89" t="n">
        <v>100</v>
      </c>
    </row>
    <row r="11">
      <c r="A11" s="96" t="inlineStr">
        <is>
          <t xml:space="preserve">  memo: current EV / EBITDA</t>
        </is>
      </c>
      <c r="E11" s="101">
        <f>(E10*E9-E8)/E5</f>
        <v/>
      </c>
    </row>
    <row r="12">
      <c r="A12" s="96" t="inlineStr">
        <is>
          <t xml:space="preserve">  memo: current P / E (FY2026E)</t>
        </is>
      </c>
      <c r="E12" s="101">
        <f>E10/E7</f>
        <v/>
      </c>
    </row>
    <row r="14">
      <c r="A14" s="14" t="inlineStr">
        <is>
          <t>EXIT MULTIPLE BUILD — FY2030E TERMINAL YEAR</t>
        </is>
      </c>
    </row>
    <row r="15">
      <c r="A15" s="9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2" t="inlineStr">
        <is>
          <t>Company</t>
        </is>
      </c>
      <c r="B18" s="102" t="inlineStr">
        <is>
          <t>Justification</t>
        </is>
      </c>
      <c r="C18" s="102" t="inlineStr">
        <is>
          <t>Source</t>
        </is>
      </c>
      <c r="D18" s="102" t="inlineStr">
        <is>
          <t>Ctrl+F / proof</t>
        </is>
      </c>
      <c r="E18" s="103" t="inlineStr">
        <is>
          <t>EV/EBITDA</t>
        </is>
      </c>
      <c r="I18" s="103" t="inlineStr">
        <is>
          <t>EV ($000)</t>
        </is>
      </c>
      <c r="J18" s="10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4">
        <f>IF(J19&lt;=0,"n.m.",I19/J19)</f>
        <v/>
      </c>
      <c r="I19" s="105" t="n">
        <v>11890440</v>
      </c>
      <c r="J19" s="10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4">
        <f>IF(J20&lt;=0,"n.m.",I20/J20)</f>
        <v/>
      </c>
      <c r="I20" s="105" t="n">
        <v>3208397</v>
      </c>
      <c r="J20" s="10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4">
        <f>IF(J21&lt;=0,"n.m.",I21/J21)</f>
        <v/>
      </c>
      <c r="I21" s="105" t="n">
        <v>35661944</v>
      </c>
      <c r="J21" s="10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4">
        <f>IF(J22&lt;=0,"n.m.",I22/J22)</f>
        <v/>
      </c>
      <c r="I22" s="105" t="n">
        <v>58972350</v>
      </c>
      <c r="J22" s="10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4">
        <f>IF(J23&lt;=0,"n.m.",I23/J23)</f>
        <v/>
      </c>
      <c r="I23" s="105" t="n">
        <v>10555510</v>
      </c>
      <c r="J23" s="10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4">
        <f>IF(J24&lt;=0,"n.m.",I24/J24)</f>
        <v/>
      </c>
      <c r="I24" s="105" t="n">
        <v>27284350</v>
      </c>
      <c r="J24" s="10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4">
        <f>IF(J25&lt;=0,"n.m.",I25/J25)</f>
        <v/>
      </c>
      <c r="I25" s="105" t="n">
        <v>7153911</v>
      </c>
      <c r="J25" s="10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4">
        <f>IF(J26&lt;=0,"n.m.",I26/J26)</f>
        <v/>
      </c>
      <c r="I26" s="105" t="n">
        <v>616045</v>
      </c>
      <c r="J26" s="10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4">
        <f>IF(J27&lt;=0,"n.m.",I27/J27)</f>
        <v/>
      </c>
      <c r="I27" s="105" t="n">
        <v>9422753</v>
      </c>
      <c r="J27" s="10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4">
        <f>IF(J28&lt;=0,"n.m.",I28/J28)</f>
        <v/>
      </c>
      <c r="I28" s="105" t="n">
        <v>1598873</v>
      </c>
      <c r="J28" s="10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4">
        <f>IF(J29&lt;=0,"n.m.",I29/J29)</f>
        <v/>
      </c>
      <c r="I29" s="105" t="n">
        <v>5236269</v>
      </c>
      <c r="J29" s="10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6" t="n">
        <v>2</v>
      </c>
    </row>
    <row r="35" ht="28" customHeight="1">
      <c r="A35" s="64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7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7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4">
        <f>AVERAGE(E19,E21,E22,E23,E24,E25,E26,E27,E28,E29)</f>
        <v/>
      </c>
    </row>
    <row r="41">
      <c r="A41" s="9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6">
        <f>DCF!E33</f>
        <v/>
      </c>
    </row>
    <row r="45">
      <c r="A45" s="64" t="inlineStr">
        <is>
          <t>Selected exit multiple (base case)</t>
        </is>
      </c>
      <c r="E45" s="93">
        <f>DCF!E50</f>
        <v/>
      </c>
    </row>
    <row r="46">
      <c r="A46" s="16" t="inlineStr">
        <is>
          <t>Spread (selected − Gordon implied)</t>
        </is>
      </c>
      <c r="E46" s="86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2" t="inlineStr">
        <is>
          <t>Method</t>
        </is>
      </c>
      <c r="B56" s="102" t="inlineStr">
        <is>
          <t>Justification</t>
        </is>
      </c>
      <c r="C56" s="102" t="inlineStr">
        <is>
          <t>Source</t>
        </is>
      </c>
      <c r="D56" s="102" t="inlineStr">
        <is>
          <t>Ctrl+F</t>
        </is>
      </c>
      <c r="E56" s="103" t="inlineStr">
        <is>
          <t>Low mult.</t>
        </is>
      </c>
      <c r="F56" s="103" t="inlineStr">
        <is>
          <t>High mult.</t>
        </is>
      </c>
      <c r="G56" s="103" t="inlineStr">
        <is>
          <t>Implied px (low)</t>
        </is>
      </c>
      <c r="H56" s="10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9" t="n">
        <v>5</v>
      </c>
      <c r="F57" s="109" t="n">
        <v>8</v>
      </c>
      <c r="G57" s="110">
        <f>(E6*E57+E8)/E9</f>
        <v/>
      </c>
      <c r="H57" s="110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7">
        <f>DCF!E50</f>
        <v/>
      </c>
      <c r="G58" s="11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9" t="n">
        <v>10</v>
      </c>
      <c r="F59" s="109" t="n">
        <v>18</v>
      </c>
      <c r="G59" s="110">
        <f>E7*E59</f>
        <v/>
      </c>
      <c r="H59" s="110">
        <f>E7*F59</f>
        <v/>
      </c>
    </row>
    <row r="60">
      <c r="A60" s="16" t="inlineStr">
        <is>
          <t>DCF (bear – bull)</t>
        </is>
      </c>
      <c r="E60" s="112" t="inlineStr">
        <is>
          <t>—</t>
        </is>
      </c>
      <c r="F60" s="112" t="inlineStr">
        <is>
          <t>—</t>
        </is>
      </c>
      <c r="G60" s="110">
        <f>Scenarios!F65</f>
        <v/>
      </c>
      <c r="H60" s="110">
        <f>Scenarios!H65</f>
        <v/>
      </c>
    </row>
    <row r="62" ht="28" customHeight="1">
      <c r="A62" s="113" t="inlineStr">
        <is>
          <t>Current price</t>
        </is>
      </c>
      <c r="C62" s="87" t="inlineStr">
        <is>
          <t>NASDAQ</t>
        </is>
      </c>
      <c r="D62" s="19" t="inlineStr">
        <is>
          <t>Ctrl+F "closed at $100.61" → Last Sale on NASDAQ quote page</t>
        </is>
      </c>
      <c r="E62" s="11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2026-09-07T22:44:49Z</dcterms:created>
  <dcterms:modified xmlns:dcterms="http://purl.org/dc/terms/" xmlns:xsi="http://www.w3.org/2001/XMLSchema-instance" xsi:type="dcterms:W3CDTF">2026-09-07T22:44:49Z</dcterms:modified>
</cp:coreProperties>
</file>
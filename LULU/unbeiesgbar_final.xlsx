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  <font>
      <b val="1"/>
      <sz val="10"/>
    </font>
    <font>
      <i val="1"/>
      <color rgb="000563C1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1" fillId="0" borderId="0" pivotButton="0" quotePrefix="0" xfId="0"/>
    <xf numFmtId="3" fontId="60" fillId="0" borderId="0" pivotButton="0" quotePrefix="0" xfId="0"/>
    <xf numFmtId="0" fontId="7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27" authorId="0" shapeId="0">
      <text>
        <t>Held flat vs FY25 actuals.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EBIT_norm × (1 − t_operating).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46" authorId="0" shapeId="0">
      <text>
        <t>=E45
Source: =E83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79" authorId="0" shapeId="0">
      <text>
        <t>FY25 reported diluted EPS (10-K).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inance.yahoo.com/quote/LULU/key-statistics/" TargetMode="External" Id="rId6"/><Relationship Type="http://schemas.openxmlformats.org/officeDocument/2006/relationships/hyperlink" Target="https://finance.yahoo.com/quote/LULU/key-statistics/" TargetMode="External" Id="rId7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investors/news-events/press-releases" TargetMode="External" Id="rId1"/><Relationship Type="http://schemas.openxmlformats.org/officeDocument/2006/relationships/hyperlink" Target="https://stockanalysis.com/stocks/lulu/forecast/" TargetMode="External" Id="rId2"/><Relationship Type="http://schemas.openxmlformats.org/officeDocument/2006/relationships/hyperlink" Target="https://corporate.lululemon.com/investors/news-events/press-releases" TargetMode="External" Id="rId3"/><Relationship Type="http://schemas.openxmlformats.org/officeDocument/2006/relationships/hyperlink" Target="https://corporate.lululemon.com/investors/news-events/press-releases" TargetMode="External" Id="rId4"/><Relationship Type="http://schemas.openxmlformats.org/officeDocument/2006/relationships/hyperlink" Target="https://www.sec.gov/cgi-bin/browse-edgar?action=getcompany&amp;CIK=0001397187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cgi-bin/browse-edgar?action=getcompany&amp;CIK=0001397187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cgi-bin/browse-edgar?action=getcompany&amp;CIK=0001397187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cgi-bin/browse-edgar?action=getcompany&amp;CIK=0001397187" TargetMode="External" Id="rId17"/><Relationship Type="http://schemas.openxmlformats.org/officeDocument/2006/relationships/hyperlink" Target="https://www.sec.gov/cgi-bin/browse-edgar?action=getcompany&amp;CIK=0001397187" TargetMode="External" Id="rId18"/><Relationship Type="http://schemas.openxmlformats.org/officeDocument/2006/relationships/hyperlink" Target="https://www.sec.gov/cgi-bin/browse-edgar?action=getcompany&amp;CIK=0001397187" TargetMode="External" Id="rId19"/><Relationship Type="http://schemas.openxmlformats.org/officeDocument/2006/relationships/hyperlink" Target="https://www.sec.gov/cgi-bin/browse-edgar?action=getcompany&amp;CIK=0001397187" TargetMode="External" Id="rId20"/><Relationship Type="http://schemas.openxmlformats.org/officeDocument/2006/relationships/hyperlink" Target="https://www.sec.gov/cgi-bin/browse-edgar?action=getcompany&amp;CIK=0001397187" TargetMode="External" Id="rId2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browse-edgar?action=getcompany&amp;CIK=0001397187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finance.yahoo.com/quote/LULU/key-statistics/" TargetMode="External" Id="rId6"/><Relationship Type="http://schemas.openxmlformats.org/officeDocument/2006/relationships/hyperlink" Target="https://finance.yahoo.com/quote/UAA/key-statistics/" TargetMode="External" Id="rId7"/><Relationship Type="http://schemas.openxmlformats.org/officeDocument/2006/relationships/hyperlink" Target="https://finance.yahoo.com/quote/ADS.DE/key-statistics/" TargetMode="External" Id="rId8"/><Relationship Type="http://schemas.openxmlformats.org/officeDocument/2006/relationships/hyperlink" Target="https://finance.yahoo.com/quote/NKE/key-statistics/" TargetMode="External" Id="rId9"/><Relationship Type="http://schemas.openxmlformats.org/officeDocument/2006/relationships/hyperlink" Target="https://finance.yahoo.com/quote/DECK/key-statistics/" TargetMode="External" Id="rId10"/><Relationship Type="http://schemas.openxmlformats.org/officeDocument/2006/relationships/hyperlink" Target="https://finance.yahoo.com/quote/WSM/key-statistics/" TargetMode="External" Id="rId11"/><Relationship Type="http://schemas.openxmlformats.org/officeDocument/2006/relationships/hyperlink" Target="https://finance.yahoo.com/quote/CROX/key-statistics/" TargetMode="External" Id="rId12"/><Relationship Type="http://schemas.openxmlformats.org/officeDocument/2006/relationships/hyperlink" Target="https://finance.yahoo.com/quote/MOV/key-statistics/" TargetMode="External" Id="rId13"/><Relationship Type="http://schemas.openxmlformats.org/officeDocument/2006/relationships/hyperlink" Target="https://finance.yahoo.com/quote/LEVI/key-statistics/" TargetMode="External" Id="rId14"/><Relationship Type="http://schemas.openxmlformats.org/officeDocument/2006/relationships/hyperlink" Target="https://finance.yahoo.com/quote/LZB/key-statistics/" TargetMode="External" Id="rId15"/><Relationship Type="http://schemas.openxmlformats.org/officeDocument/2006/relationships/hyperlink" Target="https://finance.yahoo.com/quote/KTB/key-statistics/" TargetMode="External" Id="rId16"/><Relationship Type="http://schemas.openxmlformats.org/officeDocument/2006/relationships/hyperlink" Target="https://www.reuters.com/markets/deals/alo-yoga-parent-seeks-investment-10-bln-valuation-sources-2023-10-30/" TargetMode="External" Id="rId17"/><Relationship Type="http://schemas.openxmlformats.org/officeDocument/2006/relationships/hyperlink" Target="https://www.forbes.com/sites/jemimamcevoy/2025/04/01/the-founders-of-this-lululemon-rival-are-worth-nearly-5-billion-each/" TargetMode="External" Id="rId18"/><Relationship Type="http://schemas.openxmlformats.org/officeDocument/2006/relationships/hyperlink" Target="https://stockanalysis.com/stocks/lulu/statistics/" TargetMode="External" Id="rId19"/><Relationship Type="http://schemas.openxmlformats.org/officeDocument/2006/relationships/hyperlink" Target="https://stockanalysis.com/stocks/lulu/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C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  <c r="C1" s="176" t="n"/>
    </row>
    <row r="2">
      <c r="A2" s="127" t="inlineStr">
        <is>
          <t>Cost of equity (CAPM)</t>
        </is>
      </c>
      <c r="B2" s="176" t="n"/>
      <c r="C2" s="224" t="inlineStr">
        <is>
          <t>Source</t>
        </is>
      </c>
    </row>
    <row r="3" ht="28" customHeight="1">
      <c r="A3" s="16" t="inlineStr">
        <is>
          <t>Risk-free rate (10-yr UST)</t>
        </is>
      </c>
      <c r="B3" s="32" t="n">
        <v>0.048</v>
      </c>
      <c r="C3" s="188" t="inlineStr">
        <is>
          <t>FRED: 10Y Treasury (DGS10)</t>
        </is>
      </c>
    </row>
    <row r="4" ht="28" customHeight="1">
      <c r="A4" s="16" t="inlineStr">
        <is>
          <t>Equity risk premium</t>
        </is>
      </c>
      <c r="B4" s="32" t="n">
        <v>0.06</v>
      </c>
      <c r="C4" s="188" t="inlineStr">
        <is>
          <t>Damodaran: Historical Implied ERP</t>
        </is>
      </c>
    </row>
    <row r="5" ht="28" customHeight="1">
      <c r="A5" s="16" t="inlineStr">
        <is>
          <t>Tax rate</t>
        </is>
      </c>
      <c r="B5" s="32" t="n">
        <v>0.3</v>
      </c>
      <c r="C5" s="188" t="inlineStr">
        <is>
          <t>Q2 FY2026 outlook: tax rate ≈ 30%</t>
        </is>
      </c>
    </row>
    <row r="6">
      <c r="A6" s="176" t="n"/>
      <c r="B6" s="176" t="n"/>
      <c r="C6" s="176" t="n"/>
    </row>
    <row r="7">
      <c r="A7" s="127" t="inlineStr">
        <is>
          <t>Capital structure (market values)</t>
        </is>
      </c>
      <c r="B7" s="176" t="n"/>
      <c r="C7" s="176" t="n"/>
    </row>
    <row r="8" ht="28" customHeight="1">
      <c r="A8" s="16" t="inlineStr">
        <is>
          <t>Share price ($)</t>
        </is>
      </c>
      <c r="B8" s="99" t="n">
        <v>100</v>
      </c>
      <c r="C8" s="188" t="inlineStr">
        <is>
          <t>NASDAQ LULU last sale (current price)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88" t="inlineStr">
        <is>
          <t>LULU FY2025 10-K: shares outstanding</t>
        </is>
      </c>
    </row>
    <row r="10" ht="28" customHeight="1">
      <c r="A10" s="68" t="inlineStr">
        <is>
          <t>Market value of equity</t>
        </is>
      </c>
      <c r="B10" s="130">
        <f>B8*B9</f>
        <v/>
      </c>
      <c r="C10" s="176" t="n"/>
    </row>
    <row r="11" ht="28" customHeight="1">
      <c r="A11" s="16" t="inlineStr">
        <is>
          <t>Capitalized Operating Leases</t>
        </is>
      </c>
      <c r="B11" s="75" t="n">
        <v>1798441</v>
      </c>
      <c r="C11" s="176" t="n"/>
    </row>
    <row r="12">
      <c r="A12" s="16" t="inlineStr">
        <is>
          <t>Funded Debt</t>
        </is>
      </c>
      <c r="B12" s="75" t="n">
        <v>0</v>
      </c>
      <c r="C12" s="176" t="n"/>
    </row>
    <row r="13" ht="28" customHeight="1">
      <c r="A13" s="68" t="inlineStr">
        <is>
          <t>Total debt equivalents</t>
        </is>
      </c>
      <c r="B13" s="130">
        <f>B11+B12</f>
        <v/>
      </c>
      <c r="C13" s="176" t="n"/>
    </row>
    <row r="14">
      <c r="A14" s="176" t="n"/>
      <c r="B14" s="176" t="n"/>
      <c r="C14" s="176" t="n"/>
    </row>
    <row r="15">
      <c r="A15" s="127" t="inlineStr">
        <is>
          <t>Beta (unlever to relever)</t>
        </is>
      </c>
      <c r="B15" s="176" t="n"/>
      <c r="C15" s="176" t="n"/>
    </row>
    <row r="16">
      <c r="A16" s="16" t="inlineStr">
        <is>
          <t>Observed Beta (5Y) - levered beta L</t>
        </is>
      </c>
      <c r="B16" s="28" t="n">
        <v>0.86</v>
      </c>
      <c r="C16" s="188" t="inlineStr">
        <is>
          <t>Yahoo Finance: LULU Beta (5Y Monthly)</t>
        </is>
      </c>
    </row>
    <row r="17" ht="28" customHeight="1">
      <c r="A17" s="16" t="inlineStr">
        <is>
          <t>Total debt equivalents (for beta unlever)</t>
        </is>
      </c>
      <c r="B17" s="75">
        <f>B13</f>
        <v/>
      </c>
      <c r="C17" s="176" t="inlineStr">
        <is>
          <t>Model: lease debt + funded debt (row 13)</t>
        </is>
      </c>
    </row>
    <row r="18" ht="28" customHeight="1">
      <c r="A18" s="16" t="inlineStr">
        <is>
          <t>Market value of equity (for beta unlever)</t>
        </is>
      </c>
      <c r="B18" s="75">
        <f>B10</f>
        <v/>
      </c>
      <c r="C18" s="176" t="inlineStr">
        <is>
          <t>Model: share price × shares (row 10)</t>
        </is>
      </c>
    </row>
    <row r="19" ht="28" customHeight="1">
      <c r="A19" s="16" t="inlineStr">
        <is>
          <t>Target Debt-to-Equity</t>
        </is>
      </c>
      <c r="B19" s="28">
        <f>B17/B18</f>
        <v/>
      </c>
      <c r="C19" s="176" t="n"/>
    </row>
    <row r="20" ht="28" customHeight="1">
      <c r="A20" s="16" t="inlineStr">
        <is>
          <t>Yahoo book D/E (mrq) - reference only</t>
        </is>
      </c>
      <c r="B20" s="28" t="n">
        <v>0.4469</v>
      </c>
      <c r="C20" s="188" t="inlineStr">
        <is>
          <t>Yahoo Finance: Total Debt/Equity (mrq)</t>
        </is>
      </c>
    </row>
    <row r="21" ht="28" customHeight="1">
      <c r="A21" s="16" t="inlineStr">
        <is>
          <t>Unlevered beta-u</t>
        </is>
      </c>
      <c r="B21" s="28">
        <f>B16/(1+(1-B5)*B19)</f>
        <v/>
      </c>
      <c r="C21" s="176" t="n"/>
    </row>
    <row r="22" ht="28" customHeight="1">
      <c r="A22" s="16" t="inlineStr">
        <is>
          <t>D/E (Relever)</t>
        </is>
      </c>
      <c r="B22" s="28">
        <f>B13/B10</f>
        <v/>
      </c>
      <c r="C22" s="176" t="n"/>
    </row>
    <row r="23" ht="28" customHeight="1">
      <c r="A23" s="16" t="inlineStr">
        <is>
          <t>Sector Beta (unused)</t>
        </is>
      </c>
      <c r="B23" s="28" t="n">
        <v>0.95</v>
      </c>
      <c r="C23" s="176" t="n"/>
    </row>
    <row r="24" ht="28" customHeight="1">
      <c r="A24" s="68" t="inlineStr">
        <is>
          <t>Relevered Beta</t>
        </is>
      </c>
      <c r="B24" s="131">
        <f>B21*(1+(1-B5)*B22)</f>
        <v/>
      </c>
      <c r="C24" s="176" t="n"/>
    </row>
    <row r="25" ht="15" customHeight="1">
      <c r="A25" s="26" t="n"/>
      <c r="B25" s="176" t="n"/>
      <c r="C25" s="176" t="n"/>
    </row>
    <row r="26">
      <c r="A26" s="127" t="inlineStr">
        <is>
          <t>Cost of equity (CAPM)</t>
        </is>
      </c>
      <c r="B26" s="176" t="n"/>
      <c r="C26" s="176" t="n"/>
    </row>
    <row r="27">
      <c r="A27" s="68" t="inlineStr">
        <is>
          <t>Cost of Equity</t>
        </is>
      </c>
      <c r="B27" s="31">
        <f>B3+B24*B4</f>
        <v/>
      </c>
      <c r="C27" s="176" t="n"/>
    </row>
    <row r="28">
      <c r="A28" s="176" t="n"/>
      <c r="B28" s="176" t="n"/>
      <c r="C28" s="176" t="n"/>
    </row>
    <row r="29">
      <c r="A29" s="127" t="inlineStr">
        <is>
          <t>Cost of debt (lease-equivalent)</t>
        </is>
      </c>
      <c r="B29" s="176" t="n"/>
      <c r="C29" s="176" t="n"/>
    </row>
    <row r="30">
      <c r="A30" s="16" t="inlineStr">
        <is>
          <t>Pre-Tax Cost of Debt</t>
        </is>
      </c>
      <c r="B30" s="32" t="n">
        <v>0.05</v>
      </c>
      <c r="C30" s="176" t="n"/>
    </row>
    <row r="31">
      <c r="A31" s="16" t="inlineStr">
        <is>
          <t>After-Tax Cost of Debt</t>
        </is>
      </c>
      <c r="B31" s="31">
        <f>B30*(1-B5)</f>
        <v/>
      </c>
      <c r="C31" s="176" t="n"/>
    </row>
    <row r="32">
      <c r="A32" s="176" t="n"/>
      <c r="B32" s="176" t="n"/>
      <c r="C32" s="176" t="n"/>
    </row>
    <row r="33">
      <c r="A33" s="127" t="inlineStr">
        <is>
          <t>WACC weights</t>
        </is>
      </c>
      <c r="B33" s="176" t="n"/>
      <c r="C33" s="176" t="n"/>
    </row>
    <row r="34">
      <c r="A34" s="16" t="inlineStr">
        <is>
          <t>Equity weight</t>
        </is>
      </c>
      <c r="B34" s="32">
        <f>B10/(B10+B13)</f>
        <v/>
      </c>
      <c r="C34" s="176" t="n"/>
    </row>
    <row r="35" ht="28" customHeight="1">
      <c r="A35" s="16" t="inlineStr">
        <is>
          <t>Debt weight (leases + funded)</t>
        </is>
      </c>
      <c r="B35" s="32">
        <f>B13/(B10+B13)</f>
        <v/>
      </c>
      <c r="C35" s="176" t="n"/>
    </row>
    <row r="36">
      <c r="A36" s="68" t="inlineStr">
        <is>
          <t>WACC</t>
        </is>
      </c>
      <c r="B36" s="132">
        <f>B34*B27+B35*B31</f>
        <v/>
      </c>
      <c r="C36" s="176" t="n"/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6" r:id="rId6"/>
    <hyperlink xmlns:r="http://schemas.openxmlformats.org/officeDocument/2006/relationships" ref="C20" r:id="rId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H20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  <c r="H1" s="176" t="n"/>
    </row>
    <row r="2">
      <c r="A2" s="176" t="n"/>
      <c r="B2" s="224" t="inlineStr">
        <is>
          <t>Source</t>
        </is>
      </c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  <c r="H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  <c r="H3" s="176" t="n"/>
    </row>
    <row r="4" ht="28" customHeight="1">
      <c r="A4" s="16" t="inlineStr">
        <is>
          <t>FY26 Rev Growth</t>
        </is>
      </c>
      <c r="B4" s="188" t="inlineStr">
        <is>
          <t>LULU Q2 FY2026 earnings release</t>
        </is>
      </c>
      <c r="C4" s="32" t="n">
        <v>-0.09</v>
      </c>
      <c r="D4" s="32" t="n">
        <v>-0.061</v>
      </c>
      <c r="E4" s="32" t="n">
        <v>-0.04</v>
      </c>
      <c r="F4" s="176" t="n"/>
      <c r="G4" s="103" t="n"/>
      <c r="H4" s="176" t="n"/>
    </row>
    <row r="5" ht="28" customHeight="1">
      <c r="A5" s="16" t="inlineStr">
        <is>
          <t>FY27-30 Rev Growth</t>
        </is>
      </c>
      <c r="B5" s="188" t="inlineStr">
        <is>
          <t>StockAnalysis: LULU 3Y revenue forecast</t>
        </is>
      </c>
      <c r="C5" s="32" t="n">
        <v>-0.01</v>
      </c>
      <c r="D5" s="32" t="n">
        <v>0.023</v>
      </c>
      <c r="E5" s="32" t="n">
        <v>0.06</v>
      </c>
      <c r="F5" s="176" t="n"/>
      <c r="G5" s="176" t="n"/>
      <c r="H5" s="176" t="n"/>
    </row>
    <row r="6" ht="28" customHeight="1">
      <c r="A6" s="16" t="inlineStr">
        <is>
          <t>Run-Rate EBIT Margin</t>
        </is>
      </c>
      <c r="B6" s="188" t="inlineStr">
        <is>
          <t>Q2 FY2026 release: run-rate operating margin</t>
        </is>
      </c>
      <c r="C6" s="32" t="n">
        <v>0.12</v>
      </c>
      <c r="D6" s="32" t="n">
        <v>0.132</v>
      </c>
      <c r="E6" s="32" t="n">
        <v>0.145</v>
      </c>
      <c r="F6" s="176" t="n"/>
      <c r="G6" s="176" t="n"/>
      <c r="H6" s="176" t="n"/>
    </row>
    <row r="7" ht="28" customHeight="1">
      <c r="A7" s="16" t="inlineStr">
        <is>
          <t>FY26 Tariff Refund</t>
        </is>
      </c>
      <c r="B7" s="188" t="inlineStr">
        <is>
          <t>Q2 FY2026 release: $134.5M IEEPA tariff refunds</t>
        </is>
      </c>
      <c r="C7" s="75" t="n">
        <v>134500</v>
      </c>
      <c r="D7" s="75" t="n">
        <v>134500</v>
      </c>
      <c r="E7" s="75" t="n">
        <v>134500</v>
      </c>
      <c r="F7" s="176" t="n"/>
      <c r="G7" s="176" t="n"/>
      <c r="H7" s="176" t="n"/>
    </row>
    <row r="8" ht="28" customHeight="1">
      <c r="A8" s="16" t="inlineStr">
        <is>
          <t>Terminal EBIT Margin</t>
        </is>
      </c>
      <c r="B8" s="188" t="inlineStr">
        <is>
          <t>FY2025 10-K: operating margin benchmark</t>
        </is>
      </c>
      <c r="C8" s="32" t="n">
        <v>0.12</v>
      </c>
      <c r="D8" s="32" t="n">
        <v>0.155</v>
      </c>
      <c r="E8" s="32" t="n">
        <v>0.19</v>
      </c>
      <c r="F8" s="176" t="n"/>
      <c r="G8" s="176" t="n"/>
      <c r="H8" s="176" t="n"/>
    </row>
    <row r="9" ht="28" customHeight="1">
      <c r="A9" s="16" t="inlineStr">
        <is>
          <t>WACC</t>
        </is>
      </c>
      <c r="B9" s="188" t="inlineStr">
        <is>
          <t>WACC tab: CAPM build</t>
        </is>
      </c>
      <c r="C9" s="32" t="n">
        <v>0.11</v>
      </c>
      <c r="D9" s="32">
        <f>WACC!B36</f>
        <v/>
      </c>
      <c r="E9" s="32" t="n">
        <v>0.095</v>
      </c>
      <c r="F9" s="176" t="n"/>
      <c r="G9" s="176" t="n"/>
      <c r="H9" s="176" t="n"/>
    </row>
    <row r="10" ht="28" customHeight="1">
      <c r="A10" s="16" t="inlineStr">
        <is>
          <t>Terminal growth</t>
        </is>
      </c>
      <c r="B10" s="188" t="inlineStr">
        <is>
          <t>FRED: Real GDP (GDPC1)</t>
        </is>
      </c>
      <c r="C10" s="32" t="n">
        <v>0.015</v>
      </c>
      <c r="D10" s="32" t="n">
        <v>0.0225</v>
      </c>
      <c r="E10" s="32" t="n">
        <v>0.03</v>
      </c>
      <c r="F10" s="176" t="n"/>
      <c r="G10" s="176" t="n"/>
      <c r="H10" s="176" t="n"/>
    </row>
    <row r="11" ht="28" customHeight="1">
      <c r="A11" s="16" t="inlineStr">
        <is>
          <t>Cash tax rate</t>
        </is>
      </c>
      <c r="B11" s="188" t="inlineStr">
        <is>
          <t>Q2 FY2026 outlook: tax rate ≈ 30%</t>
        </is>
      </c>
      <c r="C11" s="32" t="n">
        <v>0.32</v>
      </c>
      <c r="D11" s="32" t="n">
        <v>0.3</v>
      </c>
      <c r="E11" s="32" t="n">
        <v>0.28</v>
      </c>
      <c r="F11" s="176" t="n"/>
      <c r="G11" s="176" t="n"/>
      <c r="H11" s="176" t="n"/>
    </row>
    <row r="12" ht="28" customHeight="1">
      <c r="A12" s="16" t="inlineStr">
        <is>
          <t>D&amp;A % of revenue</t>
        </is>
      </c>
      <c r="B12" s="188" t="inlineStr">
        <is>
          <t>LULU CF statement (10-K)</t>
        </is>
      </c>
      <c r="C12" s="32" t="n">
        <v>0.045</v>
      </c>
      <c r="D12" s="32">
        <f>DCF!B15/DCF!$B$6</f>
        <v/>
      </c>
      <c r="E12" s="32" t="n">
        <v>0.045</v>
      </c>
      <c r="F12" s="176" t="n"/>
      <c r="G12" s="176" t="n"/>
      <c r="H12" s="176" t="n"/>
    </row>
    <row r="13" ht="15" customHeight="1">
      <c r="A13" s="16" t="inlineStr">
        <is>
          <t>Capex % of revenue</t>
        </is>
      </c>
      <c r="B13" s="188" t="inlineStr">
        <is>
          <t>LULU 10-K: 2026 capex guide $725–745M Also: Q2 FY2026 outlook: $10.350B–$10.500B sales</t>
        </is>
      </c>
      <c r="C13" s="32" t="n">
        <v>0.07000000000000001</v>
      </c>
      <c r="D13" s="32" t="n">
        <v>0.055</v>
      </c>
      <c r="E13" s="32" t="n">
        <v>0.045</v>
      </c>
      <c r="F13" s="176" t="n"/>
      <c r="G13" s="176" t="n"/>
      <c r="H13" s="176" t="n"/>
    </row>
    <row r="14" ht="15" customHeight="1">
      <c r="A14" s="16" t="inlineStr">
        <is>
          <t>Gross margin %</t>
        </is>
      </c>
      <c r="B14" s="188" t="inlineStr">
        <is>
          <t>LULU FY2025 10-K: Gross profit &amp; COGS</t>
        </is>
      </c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  <c r="H14" s="176" t="n"/>
    </row>
    <row r="15" ht="15" customHeight="1">
      <c r="A15" s="16" t="inlineStr">
        <is>
          <t>DSO (days)</t>
        </is>
      </c>
      <c r="B15" s="188" t="inlineStr">
        <is>
          <t>LULU FY2025 10-K: Accounts receivable, net</t>
        </is>
      </c>
      <c r="C15" s="193" t="n">
        <v>6.3</v>
      </c>
      <c r="D15" s="193" t="n">
        <v>6.3</v>
      </c>
      <c r="E15" s="193" t="n">
        <v>6.3</v>
      </c>
      <c r="F15" s="176" t="n"/>
      <c r="G15" s="176" t="n"/>
      <c r="H15" s="176" t="n"/>
    </row>
    <row r="16" ht="15" customHeight="1">
      <c r="A16" s="16" t="inlineStr">
        <is>
          <t>FY25 DIO anchor (days)</t>
        </is>
      </c>
      <c r="B16" s="188" t="inlineStr">
        <is>
          <t>LULU FY2025 10-K: Inventories &amp; COGS</t>
        </is>
      </c>
      <c r="C16" s="193" t="n">
        <v>128.8</v>
      </c>
      <c r="D16" s="193" t="n">
        <v>128.8</v>
      </c>
      <c r="E16" s="193" t="n">
        <v>128.8</v>
      </c>
      <c r="F16" s="176" t="n"/>
      <c r="G16" s="176" t="n"/>
      <c r="H16" s="176" t="n"/>
    </row>
    <row r="17" ht="15" customHeight="1">
      <c r="A17" s="16" t="inlineStr">
        <is>
          <t>DIO decline (days / forecast yr)</t>
        </is>
      </c>
      <c r="B17" s="188" t="inlineStr">
        <is>
          <t>LULU FY2025 10-K: inventory &amp; markdown outlook</t>
        </is>
      </c>
      <c r="C17" s="193" t="n">
        <v>1</v>
      </c>
      <c r="D17" s="193" t="n">
        <v>1</v>
      </c>
      <c r="E17" s="193" t="n">
        <v>1</v>
      </c>
      <c r="F17" s="176" t="n"/>
      <c r="G17" s="176" t="n"/>
      <c r="H17" s="176" t="n"/>
    </row>
    <row r="18" ht="15" customHeight="1">
      <c r="A18" s="16" t="inlineStr">
        <is>
          <t>DPO (days)</t>
        </is>
      </c>
      <c r="B18" s="188" t="inlineStr">
        <is>
          <t>LULU FY2025 10-K: Accounts payable &amp; COGS</t>
        </is>
      </c>
      <c r="C18" s="193" t="n">
        <v>25.1</v>
      </c>
      <c r="D18" s="193" t="n">
        <v>25.1</v>
      </c>
      <c r="E18" s="193" t="n">
        <v>25.1</v>
      </c>
      <c r="F18" s="176" t="n"/>
      <c r="G18" s="176" t="n"/>
      <c r="H18" s="176" t="n"/>
    </row>
    <row r="19" ht="15" customHeight="1">
      <c r="A19" s="16" t="inlineStr">
        <is>
          <t>Prepaid expenses (% of revenue)</t>
        </is>
      </c>
      <c r="B19" s="188" t="inlineStr">
        <is>
          <t>LULU FY2025 10-K: other current assets (residual)</t>
        </is>
      </c>
      <c r="C19" s="32" t="n">
        <v>0.051</v>
      </c>
      <c r="D19" s="32" t="n">
        <v>0.051</v>
      </c>
      <c r="E19" s="32" t="n">
        <v>0.051</v>
      </c>
      <c r="F19" s="176" t="n"/>
      <c r="G19" s="176" t="n"/>
      <c r="H19" s="176" t="n"/>
    </row>
    <row r="20" ht="15" customHeight="1">
      <c r="A20" s="16" t="inlineStr">
        <is>
          <t>Accrued liabilities (% of revenue)</t>
        </is>
      </c>
      <c r="B20" s="188" t="inlineStr">
        <is>
          <t>LULU FY2025 10-K: Accrued liabilities and other</t>
        </is>
      </c>
      <c r="C20" s="32" t="n">
        <v>0.06</v>
      </c>
      <c r="D20" s="32" t="n">
        <v>0.06</v>
      </c>
      <c r="E20" s="32" t="n">
        <v>0.06</v>
      </c>
      <c r="F20" s="176" t="n"/>
      <c r="G20" s="176" t="n"/>
      <c r="H20" s="176" t="n"/>
    </row>
    <row r="21">
      <c r="A21" s="16" t="inlineStr">
        <is>
          <t>Fixed buyback ($k/yr)</t>
        </is>
      </c>
      <c r="B21" s="188" t="inlineStr">
        <is>
          <t>Pitch deck: $750M/yr buyback (bear/base)</t>
        </is>
      </c>
      <c r="C21" s="75" t="n">
        <v>750000</v>
      </c>
      <c r="D21" s="75" t="n">
        <v>750000</v>
      </c>
      <c r="E21" s="75" t="n">
        <v>0</v>
      </c>
      <c r="F21" s="176" t="n"/>
      <c r="G21" s="176" t="n"/>
      <c r="H21" s="176" t="n"/>
    </row>
    <row r="22">
      <c r="A22" s="16" t="inlineStr">
        <is>
          <t>% of FCF to buybacks (bull)</t>
        </is>
      </c>
      <c r="B22" s="188" t="inlineStr">
        <is>
          <t>Pitch deck: 75% of FCF to buybacks (bull case)</t>
        </is>
      </c>
      <c r="C22" s="32" t="n">
        <v>0</v>
      </c>
      <c r="D22" s="32" t="n">
        <v>0</v>
      </c>
      <c r="E22" s="32" t="n">
        <v>0.75</v>
      </c>
      <c r="F22" s="176" t="n"/>
      <c r="G22" s="176" t="n"/>
      <c r="H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  <c r="H23" s="176" t="n"/>
    </row>
    <row r="24">
      <c r="A24" s="127" t="inlineStr">
        <is>
          <t>Base case forecast ($000)</t>
        </is>
      </c>
      <c r="B24" s="176" t="n"/>
      <c r="C24" s="176" t="n"/>
      <c r="D24" s="176" t="inlineStr">
        <is>
          <t>FY26E</t>
        </is>
      </c>
      <c r="E24" s="176" t="inlineStr">
        <is>
          <t>FY27E</t>
        </is>
      </c>
      <c r="F24" s="176" t="inlineStr">
        <is>
          <t>FY28E</t>
        </is>
      </c>
      <c r="G24" s="176" t="inlineStr">
        <is>
          <t>FY29E</t>
        </is>
      </c>
      <c r="H24" s="176" t="inlineStr">
        <is>
          <t>FY30E</t>
        </is>
      </c>
    </row>
    <row r="25">
      <c r="A25" s="41" t="inlineStr">
        <is>
          <t>Net revenue ($000)</t>
        </is>
      </c>
      <c r="B25" s="176" t="n"/>
      <c r="C25" s="75">
        <f>DCF!$B$6*(1+C4)</f>
        <v/>
      </c>
      <c r="D25" s="75">
        <f>DCF!C6</f>
        <v/>
      </c>
      <c r="E25" s="75">
        <f>DCF!D6</f>
        <v/>
      </c>
      <c r="F25" s="176">
        <f>DCF!E6</f>
        <v/>
      </c>
      <c r="G25" s="176">
        <f>DCF!F6</f>
        <v/>
      </c>
      <c r="H25" s="176">
        <f>DCF!G6</f>
        <v/>
      </c>
    </row>
    <row r="26">
      <c r="A26" s="41" t="inlineStr">
        <is>
          <t>COGS ($000)</t>
        </is>
      </c>
      <c r="B26" s="176" t="n"/>
      <c r="C26" s="75">
        <f>C25*(1+C5)</f>
        <v/>
      </c>
      <c r="D26" s="75">
        <f>DCF!C8</f>
        <v/>
      </c>
      <c r="E26" s="75">
        <f>DCF!D8</f>
        <v/>
      </c>
      <c r="F26" s="176">
        <f>DCF!E8</f>
        <v/>
      </c>
      <c r="G26" s="176">
        <f>DCF!F8</f>
        <v/>
      </c>
      <c r="H26" s="176">
        <f>DCF!G8</f>
        <v/>
      </c>
    </row>
    <row r="27">
      <c r="A27" s="41" t="inlineStr">
        <is>
          <t>Gross margin %</t>
        </is>
      </c>
      <c r="B27" s="176" t="n"/>
      <c r="C27" s="32">
        <f>C26*(1+C5)</f>
        <v/>
      </c>
      <c r="D27" s="32">
        <f>DCF!C7</f>
        <v/>
      </c>
      <c r="E27" s="32">
        <f>DCF!D7</f>
        <v/>
      </c>
      <c r="F27" s="176">
        <f>DCF!E7</f>
        <v/>
      </c>
      <c r="G27" s="176">
        <f>DCF!F7</f>
        <v/>
      </c>
      <c r="H27" s="176">
        <f>DCF!G7</f>
        <v/>
      </c>
    </row>
    <row r="28">
      <c r="A28" s="41" t="inlineStr">
        <is>
          <t>EBIT margin %</t>
        </is>
      </c>
      <c r="B28" s="176" t="n"/>
      <c r="C28" s="32">
        <f>C27*(1+C5)</f>
        <v/>
      </c>
      <c r="D28" s="32">
        <f>DCF!C9</f>
        <v/>
      </c>
      <c r="E28" s="32">
        <f>DCF!D9</f>
        <v/>
      </c>
      <c r="F28" s="176">
        <f>DCF!E9</f>
        <v/>
      </c>
      <c r="G28" s="176">
        <f>DCF!F9</f>
        <v/>
      </c>
      <c r="H28" s="176">
        <f>DCF!G9</f>
        <v/>
      </c>
    </row>
    <row r="29">
      <c r="A29" s="41" t="inlineStr">
        <is>
          <t>EBIT ($000)</t>
        </is>
      </c>
      <c r="B29" s="176" t="n"/>
      <c r="C29" s="75">
        <f>C28*(1+C5)</f>
        <v/>
      </c>
      <c r="D29" s="75">
        <f>DCF!C11</f>
        <v/>
      </c>
      <c r="E29" s="75">
        <f>DCF!D11</f>
        <v/>
      </c>
      <c r="F29" s="176">
        <f>DCF!E11</f>
        <v/>
      </c>
      <c r="G29" s="176">
        <f>DCF!F11</f>
        <v/>
      </c>
      <c r="H29" s="176">
        <f>DCF!G11</f>
        <v/>
      </c>
    </row>
    <row r="30">
      <c r="A30" s="41" t="inlineStr">
        <is>
          <t>NOPAT ($000)</t>
        </is>
      </c>
      <c r="B30" s="176" t="n"/>
      <c r="C30" s="75">
        <f>C14</f>
        <v/>
      </c>
      <c r="D30" s="75">
        <f>DCF!C14</f>
        <v/>
      </c>
      <c r="E30" s="75">
        <f>DCF!D14</f>
        <v/>
      </c>
      <c r="F30" s="176">
        <f>DCF!E14</f>
        <v/>
      </c>
      <c r="G30" s="176">
        <f>DCF!F14</f>
        <v/>
      </c>
      <c r="H30" s="176">
        <f>DCF!G14</f>
        <v/>
      </c>
    </row>
    <row r="31">
      <c r="A31" s="41" t="inlineStr">
        <is>
          <t>D&amp;A ($000)</t>
        </is>
      </c>
      <c r="B31" s="176" t="n"/>
      <c r="C31" s="75">
        <f>C14</f>
        <v/>
      </c>
      <c r="D31" s="75">
        <f>DCF!C17</f>
        <v/>
      </c>
      <c r="E31" s="75">
        <f>DCF!D17</f>
        <v/>
      </c>
      <c r="F31" s="176">
        <f>DCF!E17</f>
        <v/>
      </c>
      <c r="G31" s="176">
        <f>DCF!F17</f>
        <v/>
      </c>
      <c r="H31" s="176">
        <f>DCF!G17</f>
        <v/>
      </c>
    </row>
    <row r="32">
      <c r="A32" s="41" t="inlineStr">
        <is>
          <t>Capex ($000)</t>
        </is>
      </c>
      <c r="B32" s="176" t="n"/>
      <c r="C32" s="75">
        <f>C14</f>
        <v/>
      </c>
      <c r="D32" s="75">
        <f>DCF!C19</f>
        <v/>
      </c>
      <c r="E32" s="75">
        <f>DCF!D19</f>
        <v/>
      </c>
      <c r="F32" s="176">
        <f>DCF!E19</f>
        <v/>
      </c>
      <c r="G32" s="176">
        <f>DCF!F19</f>
        <v/>
      </c>
      <c r="H32" s="176">
        <f>DCF!G19</f>
        <v/>
      </c>
    </row>
    <row r="33">
      <c r="A33" s="41" t="inlineStr">
        <is>
          <t>Unlevered FCF ($000)</t>
        </is>
      </c>
      <c r="B33" s="176" t="n"/>
      <c r="C33" s="75">
        <f>C14</f>
        <v/>
      </c>
      <c r="D33" s="75">
        <f>DCF!C36</f>
        <v/>
      </c>
      <c r="E33" s="75">
        <f>DCF!D36</f>
        <v/>
      </c>
      <c r="F33" s="176">
        <f>DCF!E36</f>
        <v/>
      </c>
      <c r="G33" s="176">
        <f>DCF!F36</f>
        <v/>
      </c>
      <c r="H33" s="176">
        <f>DCF!G36</f>
        <v/>
      </c>
    </row>
    <row r="34">
      <c r="A34" s="41" t="n"/>
      <c r="B34" s="176" t="n"/>
      <c r="C34" s="32" t="n"/>
      <c r="D34" s="32" t="n"/>
      <c r="E34" s="32" t="n"/>
      <c r="F34" s="176" t="n"/>
      <c r="G34" s="176" t="n"/>
      <c r="H34" s="176" t="n"/>
    </row>
    <row r="35">
      <c r="A35" s="41" t="n"/>
      <c r="B35" s="176" t="n"/>
      <c r="C35" s="75" t="n"/>
      <c r="D35" s="75" t="n"/>
      <c r="E35" s="75" t="n"/>
      <c r="F35" s="176" t="n"/>
      <c r="G35" s="176" t="n"/>
      <c r="H35" s="176" t="n"/>
    </row>
    <row r="36">
      <c r="A36" s="41" t="n"/>
      <c r="B36" s="176" t="n"/>
      <c r="C36" s="75" t="n"/>
      <c r="D36" s="75" t="n"/>
      <c r="E36" s="75" t="n"/>
      <c r="F36" s="176" t="n"/>
      <c r="G36" s="176" t="n"/>
      <c r="H36" s="176" t="n"/>
    </row>
    <row r="37">
      <c r="A37" s="41" t="n"/>
      <c r="B37" s="176" t="n"/>
      <c r="C37" s="75" t="n"/>
      <c r="D37" s="75" t="n"/>
      <c r="E37" s="75" t="n"/>
      <c r="F37" s="176" t="n"/>
      <c r="G37" s="176" t="n"/>
      <c r="H37" s="176" t="n"/>
    </row>
    <row r="38">
      <c r="A38" s="41" t="n"/>
      <c r="B38" s="176" t="n"/>
      <c r="C38" s="75" t="n"/>
      <c r="D38" s="75" t="n"/>
      <c r="E38" s="75" t="n"/>
      <c r="F38" s="176" t="n"/>
      <c r="G38" s="176" t="n"/>
      <c r="H38" s="176" t="n"/>
    </row>
    <row r="39">
      <c r="A39" s="41" t="n"/>
      <c r="B39" s="176" t="n"/>
      <c r="C39" s="75" t="n"/>
      <c r="D39" s="75" t="n"/>
      <c r="E39" s="75" t="n"/>
      <c r="F39" s="176" t="n"/>
      <c r="G39" s="176" t="n"/>
      <c r="H39" s="176" t="n"/>
    </row>
    <row r="40">
      <c r="A40" s="41" t="n"/>
      <c r="B40" s="176" t="n"/>
      <c r="C40" s="32" t="n"/>
      <c r="D40" s="32" t="n"/>
      <c r="E40" s="32" t="n"/>
      <c r="F40" s="176" t="n"/>
      <c r="G40" s="176" t="n"/>
      <c r="H40" s="176" t="n"/>
    </row>
    <row r="41">
      <c r="A41" s="41" t="n"/>
      <c r="B41" s="176" t="n"/>
      <c r="C41" s="32" t="n"/>
      <c r="D41" s="32" t="n"/>
      <c r="E41" s="32" t="n"/>
      <c r="F41" s="176" t="n"/>
      <c r="G41" s="176" t="n"/>
      <c r="H41" s="176" t="n"/>
    </row>
    <row r="42">
      <c r="A42" s="41" t="n"/>
      <c r="B42" s="176" t="n"/>
      <c r="C42" s="32" t="n"/>
      <c r="D42" s="32" t="n"/>
      <c r="E42" s="32" t="n"/>
      <c r="F42" s="176" t="n"/>
      <c r="G42" s="176" t="n"/>
      <c r="H42" s="176" t="n"/>
    </row>
    <row r="43">
      <c r="A43" s="41" t="n"/>
      <c r="B43" s="176" t="n"/>
      <c r="C43" s="32" t="n"/>
      <c r="D43" s="32" t="n"/>
      <c r="E43" s="32" t="n"/>
      <c r="F43" s="176" t="n"/>
      <c r="G43" s="176" t="n"/>
      <c r="H43" s="176" t="n"/>
    </row>
    <row r="44">
      <c r="A44" s="41" t="n"/>
      <c r="B44" s="176" t="n"/>
      <c r="C44" s="32" t="n"/>
      <c r="D44" s="32" t="n"/>
      <c r="E44" s="32" t="n"/>
      <c r="F44" s="176" t="n"/>
      <c r="G44" s="176" t="n"/>
      <c r="H44" s="176" t="n"/>
    </row>
    <row r="45">
      <c r="A45" s="41" t="n"/>
      <c r="B45" s="176" t="n"/>
      <c r="C45" s="75" t="n"/>
      <c r="D45" s="75" t="n"/>
      <c r="E45" s="75" t="n"/>
      <c r="F45" s="176" t="n"/>
      <c r="G45" s="176" t="n"/>
      <c r="H45" s="176" t="n"/>
    </row>
    <row r="46">
      <c r="A46" s="41" t="n"/>
      <c r="B46" s="176" t="n"/>
      <c r="C46" s="75" t="n"/>
      <c r="D46" s="75" t="n"/>
      <c r="E46" s="75" t="n"/>
      <c r="F46" s="176" t="n"/>
      <c r="G46" s="176" t="n"/>
      <c r="H46" s="176" t="n"/>
    </row>
    <row r="47">
      <c r="A47" s="41" t="n"/>
      <c r="B47" s="176" t="n"/>
      <c r="C47" s="75" t="n"/>
      <c r="D47" s="75" t="n"/>
      <c r="E47" s="75" t="n"/>
      <c r="F47" s="176" t="n"/>
      <c r="G47" s="176" t="n"/>
      <c r="H47" s="176" t="n"/>
    </row>
    <row r="48">
      <c r="A48" s="41" t="n"/>
      <c r="B48" s="176" t="n"/>
      <c r="C48" s="75" t="n"/>
      <c r="D48" s="75" t="n"/>
      <c r="E48" s="75" t="n"/>
      <c r="F48" s="176" t="n"/>
      <c r="G48" s="176" t="n"/>
      <c r="H48" s="176" t="n"/>
    </row>
    <row r="49">
      <c r="A49" s="41" t="n"/>
      <c r="B49" s="176" t="n"/>
      <c r="C49" s="75" t="n"/>
      <c r="D49" s="75" t="n"/>
      <c r="E49" s="75" t="n"/>
      <c r="F49" s="176" t="n"/>
      <c r="G49" s="176" t="n"/>
      <c r="H49" s="176" t="n"/>
    </row>
    <row r="50">
      <c r="A50" s="41" t="n"/>
      <c r="B50" s="176" t="n"/>
      <c r="C50" s="75" t="n"/>
      <c r="D50" s="75" t="n"/>
      <c r="E50" s="75" t="n"/>
      <c r="F50" s="176" t="n"/>
      <c r="G50" s="176" t="n"/>
      <c r="H50" s="176" t="n"/>
    </row>
    <row r="51">
      <c r="A51" s="41" t="n"/>
      <c r="B51" s="176" t="n"/>
      <c r="C51" s="75" t="n"/>
      <c r="D51" s="75" t="n"/>
      <c r="E51" s="75" t="n"/>
      <c r="F51" s="176" t="n"/>
      <c r="G51" s="176" t="n"/>
      <c r="H51" s="176" t="n"/>
    </row>
    <row r="52">
      <c r="A52" s="41" t="n"/>
      <c r="B52" s="176" t="n"/>
      <c r="C52" s="75" t="n"/>
      <c r="D52" s="75" t="n"/>
      <c r="E52" s="75" t="n"/>
      <c r="F52" s="176" t="n"/>
      <c r="G52" s="176" t="n"/>
      <c r="H52" s="176" t="n"/>
    </row>
    <row r="53">
      <c r="A53" s="41" t="n"/>
      <c r="B53" s="176" t="n"/>
      <c r="C53" s="75" t="n"/>
      <c r="D53" s="75" t="n"/>
      <c r="E53" s="75" t="n"/>
      <c r="F53" s="176" t="n"/>
      <c r="G53" s="176" t="n"/>
      <c r="H53" s="176" t="n"/>
    </row>
    <row r="54">
      <c r="A54" s="41" t="n"/>
      <c r="B54" s="176" t="n"/>
      <c r="C54" s="75" t="n"/>
      <c r="D54" s="75" t="n"/>
      <c r="E54" s="75" t="n"/>
      <c r="F54" s="176" t="n"/>
      <c r="G54" s="176" t="n"/>
      <c r="H54" s="176" t="n"/>
    </row>
    <row r="55">
      <c r="A55" s="41" t="n"/>
      <c r="B55" s="176" t="n"/>
      <c r="C55" s="75" t="n"/>
      <c r="D55" s="75" t="n"/>
      <c r="E55" s="75" t="n"/>
      <c r="F55" s="176" t="n"/>
      <c r="G55" s="176" t="n"/>
      <c r="H55" s="176" t="n"/>
    </row>
    <row r="56">
      <c r="A56" s="41" t="n"/>
      <c r="B56" s="176" t="n"/>
      <c r="C56" s="75" t="n"/>
      <c r="D56" s="75" t="n"/>
      <c r="E56" s="75" t="n"/>
      <c r="F56" s="176" t="n"/>
      <c r="G56" s="176" t="n"/>
      <c r="H56" s="176" t="n"/>
    </row>
    <row r="57">
      <c r="A57" s="41" t="n"/>
      <c r="B57" s="176" t="n"/>
      <c r="C57" s="75" t="n"/>
      <c r="D57" s="75" t="n"/>
      <c r="E57" s="75" t="n"/>
      <c r="F57" s="176" t="n"/>
      <c r="G57" s="176" t="n"/>
      <c r="H57" s="176" t="n"/>
    </row>
    <row r="58">
      <c r="A58" s="41" t="n"/>
      <c r="B58" s="176" t="n"/>
      <c r="C58" s="75" t="n"/>
      <c r="D58" s="75" t="n"/>
      <c r="E58" s="75" t="n"/>
      <c r="F58" s="176" t="n"/>
      <c r="G58" s="176" t="n"/>
      <c r="H58" s="176" t="n"/>
    </row>
    <row r="59">
      <c r="A59" s="41" t="n"/>
      <c r="B59" s="176" t="n"/>
      <c r="C59" s="75" t="n"/>
      <c r="D59" s="75" t="n"/>
      <c r="E59" s="75" t="n"/>
      <c r="F59" s="176" t="n"/>
      <c r="G59" s="176" t="n"/>
      <c r="H59" s="176" t="n"/>
    </row>
    <row r="60">
      <c r="A60" s="41" t="n"/>
      <c r="B60" s="176" t="n"/>
      <c r="C60" s="75" t="n"/>
      <c r="D60" s="75" t="n"/>
      <c r="E60" s="75" t="n"/>
      <c r="F60" s="176" t="n"/>
      <c r="G60" s="176" t="n"/>
      <c r="H60" s="176" t="n"/>
    </row>
    <row r="61">
      <c r="A61" s="41" t="n"/>
      <c r="B61" s="176" t="n"/>
      <c r="C61" s="75" t="n"/>
      <c r="D61" s="75" t="n"/>
      <c r="E61" s="75" t="n"/>
      <c r="F61" s="176" t="n"/>
      <c r="G61" s="176" t="n"/>
      <c r="H61" s="176" t="n"/>
    </row>
    <row r="62">
      <c r="A62" s="41" t="n"/>
      <c r="B62" s="176" t="n"/>
      <c r="C62" s="75" t="n"/>
      <c r="D62" s="75" t="n"/>
      <c r="E62" s="75" t="n"/>
      <c r="F62" s="176" t="n"/>
      <c r="G62" s="176" t="n"/>
      <c r="H62" s="176" t="n"/>
    </row>
    <row r="63">
      <c r="A63" s="41" t="n"/>
      <c r="B63" s="176" t="n"/>
      <c r="C63" s="75" t="n"/>
      <c r="D63" s="75" t="n"/>
      <c r="E63" s="75" t="n"/>
      <c r="F63" s="176" t="n"/>
      <c r="G63" s="176" t="n"/>
      <c r="H63" s="176" t="n"/>
    </row>
    <row r="64">
      <c r="A64" s="41" t="n"/>
      <c r="B64" s="176" t="n"/>
      <c r="C64" s="75" t="n"/>
      <c r="D64" s="75" t="n"/>
      <c r="E64" s="75" t="n"/>
      <c r="F64" s="176" t="n"/>
      <c r="G64" s="176" t="n"/>
      <c r="H64" s="176" t="n"/>
    </row>
    <row r="65">
      <c r="A65" s="41" t="inlineStr">
        <is>
          <t>DSO (days) - year 1</t>
        </is>
      </c>
      <c r="B65" s="176" t="n"/>
      <c r="C65" s="193">
        <f>C15</f>
        <v/>
      </c>
      <c r="D65" s="193">
        <f>D15</f>
        <v/>
      </c>
      <c r="E65" s="193">
        <f>E15</f>
        <v/>
      </c>
      <c r="F65" s="176" t="n"/>
      <c r="G65" s="176" t="n"/>
      <c r="H65" s="176" t="n"/>
    </row>
    <row r="66">
      <c r="A66" s="41" t="inlineStr">
        <is>
          <t>DSO (days) - year 2</t>
        </is>
      </c>
      <c r="B66" s="176" t="n"/>
      <c r="C66" s="193">
        <f>C15</f>
        <v/>
      </c>
      <c r="D66" s="193">
        <f>D15</f>
        <v/>
      </c>
      <c r="E66" s="193">
        <f>E15</f>
        <v/>
      </c>
      <c r="F66" s="176" t="n"/>
      <c r="G66" s="176" t="n"/>
      <c r="H66" s="176" t="n"/>
    </row>
    <row r="67">
      <c r="A67" s="41" t="inlineStr">
        <is>
          <t>DSO (days) - year 3</t>
        </is>
      </c>
      <c r="B67" s="176" t="n"/>
      <c r="C67" s="193">
        <f>C15</f>
        <v/>
      </c>
      <c r="D67" s="193">
        <f>D15</f>
        <v/>
      </c>
      <c r="E67" s="193">
        <f>E15</f>
        <v/>
      </c>
      <c r="F67" s="176" t="n"/>
      <c r="G67" s="176" t="n"/>
      <c r="H67" s="176" t="n"/>
    </row>
    <row r="68">
      <c r="A68" s="41" t="inlineStr">
        <is>
          <t>DSO (days) - year 4</t>
        </is>
      </c>
      <c r="B68" s="176" t="n"/>
      <c r="C68" s="193">
        <f>C15</f>
        <v/>
      </c>
      <c r="D68" s="193">
        <f>D15</f>
        <v/>
      </c>
      <c r="E68" s="193">
        <f>E15</f>
        <v/>
      </c>
      <c r="F68" s="176" t="n"/>
      <c r="G68" s="176" t="n"/>
      <c r="H68" s="176" t="n"/>
    </row>
    <row r="69">
      <c r="A69" s="41" t="inlineStr">
        <is>
          <t>DSO (days) - year 5</t>
        </is>
      </c>
      <c r="B69" s="176" t="n"/>
      <c r="C69" s="193">
        <f>C15</f>
        <v/>
      </c>
      <c r="D69" s="193">
        <f>D15</f>
        <v/>
      </c>
      <c r="E69" s="193">
        <f>E15</f>
        <v/>
      </c>
      <c r="F69" s="176" t="n"/>
      <c r="G69" s="176" t="n"/>
      <c r="H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  <c r="H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  <c r="H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  <c r="H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  <c r="H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  <c r="H74" s="176" t="n"/>
    </row>
    <row r="75">
      <c r="A75" s="41" t="inlineStr">
        <is>
          <t>DIO (days) - year 1</t>
        </is>
      </c>
      <c r="B75" s="176" t="n"/>
      <c r="C75" s="193">
        <f>C16-C17*1</f>
        <v/>
      </c>
      <c r="D75" s="193">
        <f>D16-D17*1</f>
        <v/>
      </c>
      <c r="E75" s="193">
        <f>E16-E17*1</f>
        <v/>
      </c>
      <c r="F75" s="176" t="n"/>
      <c r="G75" s="176" t="n"/>
      <c r="H75" s="176" t="n"/>
    </row>
    <row r="76">
      <c r="A76" s="41" t="inlineStr">
        <is>
          <t>DIO (days) - year 2</t>
        </is>
      </c>
      <c r="B76" s="176" t="n"/>
      <c r="C76" s="193">
        <f>C16-C17*2</f>
        <v/>
      </c>
      <c r="D76" s="193">
        <f>D16-D17*2</f>
        <v/>
      </c>
      <c r="E76" s="193">
        <f>E16-E17*2</f>
        <v/>
      </c>
      <c r="F76" s="176" t="n"/>
      <c r="G76" s="176" t="n"/>
      <c r="H76" s="176" t="n"/>
    </row>
    <row r="77">
      <c r="A77" s="41" t="inlineStr">
        <is>
          <t>DIO (days) - year 3</t>
        </is>
      </c>
      <c r="B77" s="176" t="n"/>
      <c r="C77" s="193">
        <f>C16-C17*3</f>
        <v/>
      </c>
      <c r="D77" s="193">
        <f>D16-D17*3</f>
        <v/>
      </c>
      <c r="E77" s="193">
        <f>E16-E17*3</f>
        <v/>
      </c>
      <c r="F77" s="176" t="n"/>
      <c r="G77" s="176" t="n"/>
      <c r="H77" s="176" t="n"/>
    </row>
    <row r="78">
      <c r="A78" s="41" t="inlineStr">
        <is>
          <t>DIO (days) - year 4</t>
        </is>
      </c>
      <c r="B78" s="176" t="n"/>
      <c r="C78" s="193">
        <f>C16-C17*4</f>
        <v/>
      </c>
      <c r="D78" s="193">
        <f>D16-D17*4</f>
        <v/>
      </c>
      <c r="E78" s="193">
        <f>E16-E17*4</f>
        <v/>
      </c>
      <c r="F78" s="176" t="n"/>
      <c r="G78" s="176" t="n"/>
      <c r="H78" s="176" t="n"/>
    </row>
    <row r="79">
      <c r="A79" s="41" t="inlineStr">
        <is>
          <t>DIO (days) - year 5</t>
        </is>
      </c>
      <c r="B79" s="176" t="n"/>
      <c r="C79" s="193">
        <f>C16-C17*5</f>
        <v/>
      </c>
      <c r="D79" s="193">
        <f>D16-D17*5</f>
        <v/>
      </c>
      <c r="E79" s="193">
        <f>E16-E17*5</f>
        <v/>
      </c>
      <c r="F79" s="176" t="n"/>
      <c r="G79" s="176" t="n"/>
      <c r="H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  <c r="H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  <c r="H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  <c r="H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  <c r="H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  <c r="H84" s="176" t="n"/>
    </row>
    <row r="85">
      <c r="A85" s="41" t="inlineStr">
        <is>
          <t>DPO (days) - year 1</t>
        </is>
      </c>
      <c r="B85" s="176" t="n"/>
      <c r="C85" s="193">
        <f>C18</f>
        <v/>
      </c>
      <c r="D85" s="193">
        <f>D18</f>
        <v/>
      </c>
      <c r="E85" s="193">
        <f>E18</f>
        <v/>
      </c>
      <c r="F85" s="176" t="n"/>
      <c r="G85" s="176" t="n"/>
      <c r="H85" s="176" t="n"/>
    </row>
    <row r="86">
      <c r="A86" s="41" t="inlineStr">
        <is>
          <t>DPO (days) - year 2</t>
        </is>
      </c>
      <c r="B86" s="176" t="n"/>
      <c r="C86" s="193">
        <f>C18</f>
        <v/>
      </c>
      <c r="D86" s="193">
        <f>D18</f>
        <v/>
      </c>
      <c r="E86" s="193">
        <f>E18</f>
        <v/>
      </c>
      <c r="F86" s="176" t="n"/>
      <c r="G86" s="176" t="n"/>
      <c r="H86" s="176" t="n"/>
    </row>
    <row r="87">
      <c r="A87" s="41" t="inlineStr">
        <is>
          <t>DPO (days) - year 3</t>
        </is>
      </c>
      <c r="B87" s="176" t="n"/>
      <c r="C87" s="193">
        <f>C18</f>
        <v/>
      </c>
      <c r="D87" s="193">
        <f>D18</f>
        <v/>
      </c>
      <c r="E87" s="193">
        <f>E18</f>
        <v/>
      </c>
      <c r="F87" s="176" t="n"/>
      <c r="G87" s="176" t="n"/>
      <c r="H87" s="176" t="n"/>
    </row>
    <row r="88">
      <c r="A88" s="41" t="inlineStr">
        <is>
          <t>DPO (days) - year 4</t>
        </is>
      </c>
      <c r="B88" s="176" t="n"/>
      <c r="C88" s="193">
        <f>C18</f>
        <v/>
      </c>
      <c r="D88" s="193">
        <f>D18</f>
        <v/>
      </c>
      <c r="E88" s="193">
        <f>E18</f>
        <v/>
      </c>
      <c r="F88" s="176" t="n"/>
      <c r="G88" s="176" t="n"/>
      <c r="H88" s="176" t="n"/>
    </row>
    <row r="89">
      <c r="A89" s="41" t="inlineStr">
        <is>
          <t>DPO (days) - year 5</t>
        </is>
      </c>
      <c r="B89" s="176" t="n"/>
      <c r="C89" s="193">
        <f>C18</f>
        <v/>
      </c>
      <c r="D89" s="193">
        <f>D18</f>
        <v/>
      </c>
      <c r="E89" s="193">
        <f>E18</f>
        <v/>
      </c>
      <c r="F89" s="176" t="n"/>
      <c r="G89" s="176" t="n"/>
      <c r="H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  <c r="H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  <c r="H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  <c r="H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  <c r="H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  <c r="H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  <c r="H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  <c r="H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  <c r="H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  <c r="H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  <c r="H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  <c r="H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  <c r="H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  <c r="H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  <c r="H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  <c r="H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  <c r="H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  <c r="H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  <c r="H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  <c r="H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  <c r="H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  <c r="H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  <c r="H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  <c r="H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  <c r="H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  <c r="H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  <c r="H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  <c r="H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  <c r="H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  <c r="H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  <c r="H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  <c r="H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  <c r="H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  <c r="H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  <c r="H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  <c r="H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  <c r="H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  <c r="H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  <c r="H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  <c r="H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  <c r="H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  <c r="H130" s="176" t="n"/>
    </row>
    <row r="131">
      <c r="A131" s="68" t="inlineStr">
        <is>
          <t>Enterprise value (DCF)</t>
        </is>
      </c>
      <c r="B131" s="176" t="n"/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31">
        <f>NPV(E9,E125,E126,E127,E128,E129)+(E129*(1+E10)/(E9-E10))/(1+E9)^5</f>
        <v/>
      </c>
      <c r="F131" s="176" t="n"/>
      <c r="G131" s="176" t="n"/>
      <c r="H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  <c r="H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  <c r="H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  <c r="H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  <c r="H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  <c r="H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  <c r="H137" s="176" t="n"/>
    </row>
    <row r="138">
      <c r="A138" s="41" t="inlineStr">
        <is>
          <t>Other income - year 1</t>
        </is>
      </c>
      <c r="B138" s="188" t="inlineStr">
        <is>
          <t>LULU FY2025 10-K: other income</t>
        </is>
      </c>
      <c r="C138" s="187" t="n">
        <v>45000</v>
      </c>
      <c r="D138" s="187" t="n">
        <v>45000</v>
      </c>
      <c r="E138" s="187" t="n">
        <v>45000</v>
      </c>
      <c r="F138" s="176" t="n"/>
      <c r="G138" s="176" t="n"/>
      <c r="H138" s="176" t="n"/>
    </row>
    <row r="139">
      <c r="A139" s="41" t="inlineStr">
        <is>
          <t>Other income - year 2</t>
        </is>
      </c>
      <c r="B139" s="188" t="inlineStr">
        <is>
          <t>LULU FY2025 10-K: other income</t>
        </is>
      </c>
      <c r="C139" s="187" t="n">
        <v>40000</v>
      </c>
      <c r="D139" s="187" t="n">
        <v>40000</v>
      </c>
      <c r="E139" s="187" t="n">
        <v>40000</v>
      </c>
      <c r="F139" s="176" t="n"/>
      <c r="G139" s="176" t="n"/>
      <c r="H139" s="176" t="n"/>
    </row>
    <row r="140">
      <c r="A140" s="41" t="inlineStr">
        <is>
          <t>Other income - year 3</t>
        </is>
      </c>
      <c r="B140" s="188" t="inlineStr">
        <is>
          <t>LULU FY2025 10-K: other income</t>
        </is>
      </c>
      <c r="C140" s="187" t="n">
        <v>35000</v>
      </c>
      <c r="D140" s="187" t="n">
        <v>35000</v>
      </c>
      <c r="E140" s="187" t="n">
        <v>35000</v>
      </c>
      <c r="F140" s="176" t="n"/>
      <c r="G140" s="176" t="n"/>
      <c r="H140" s="176" t="n"/>
    </row>
    <row r="141">
      <c r="A141" s="41" t="inlineStr">
        <is>
          <t>Other income - year 4</t>
        </is>
      </c>
      <c r="B141" s="188" t="inlineStr">
        <is>
          <t>LULU FY2025 10-K: other income</t>
        </is>
      </c>
      <c r="C141" s="187" t="n">
        <v>30000</v>
      </c>
      <c r="D141" s="187" t="n">
        <v>30000</v>
      </c>
      <c r="E141" s="187" t="n">
        <v>30000</v>
      </c>
      <c r="F141" s="176" t="n"/>
      <c r="G141" s="176" t="n"/>
      <c r="H141" s="176" t="n"/>
    </row>
    <row r="142">
      <c r="A142" s="41" t="inlineStr">
        <is>
          <t>Other income - year 5</t>
        </is>
      </c>
      <c r="B142" s="188" t="inlineStr">
        <is>
          <t>LULU FY2025 10-K: other income</t>
        </is>
      </c>
      <c r="C142" s="187" t="n">
        <v>25000</v>
      </c>
      <c r="D142" s="187" t="n">
        <v>25000</v>
      </c>
      <c r="E142" s="187" t="n">
        <v>25000</v>
      </c>
      <c r="F142" s="176" t="n"/>
      <c r="G142" s="176" t="n"/>
      <c r="H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  <c r="H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  <c r="H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  <c r="H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  <c r="H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  <c r="H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  <c r="H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  <c r="H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  <c r="H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  <c r="H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  <c r="H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  <c r="H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  <c r="H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  <c r="H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  <c r="H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  <c r="H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  <c r="H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  <c r="H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  <c r="H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  <c r="H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  <c r="H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  <c r="H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  <c r="H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  <c r="H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  <c r="H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  <c r="H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  <c r="H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  <c r="H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  <c r="H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  <c r="H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  <c r="H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  <c r="H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  <c r="H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  <c r="H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  <c r="H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  <c r="H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  <c r="H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  <c r="H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  <c r="H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  <c r="H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  <c r="H182" s="176" t="n"/>
    </row>
    <row r="183">
      <c r="A183" s="41" t="inlineStr">
        <is>
          <t>Diluted shares (000) - year 1</t>
        </is>
      </c>
      <c r="B183" s="176" t="n"/>
      <c r="C183" s="187">
        <f>$B$197-C21/$B$198</f>
        <v/>
      </c>
      <c r="D183" s="187">
        <f>$B$197-D21/$B$198</f>
        <v/>
      </c>
      <c r="E183" s="187">
        <f>$B$197-ROUND(E22*E153,0)/$B$198</f>
        <v/>
      </c>
      <c r="F183" s="176" t="n"/>
      <c r="G183" s="176" t="n"/>
      <c r="H183" s="176" t="n"/>
    </row>
    <row r="184">
      <c r="A184" s="41" t="inlineStr">
        <is>
          <t>Diluted shares (000) - year 2</t>
        </is>
      </c>
      <c r="B184" s="176" t="n"/>
      <c r="C184" s="187">
        <f>C183-C21/$B$199</f>
        <v/>
      </c>
      <c r="D184" s="187">
        <f>D183-D21/$B$199</f>
        <v/>
      </c>
      <c r="E184" s="187">
        <f>E183-ROUND(E22*E154,0)/$B$199</f>
        <v/>
      </c>
      <c r="F184" s="176" t="n"/>
      <c r="G184" s="176" t="n"/>
      <c r="H184" s="176" t="n"/>
    </row>
    <row r="185">
      <c r="A185" s="41" t="inlineStr">
        <is>
          <t>Diluted shares (000) - year 3</t>
        </is>
      </c>
      <c r="B185" s="176" t="n"/>
      <c r="C185" s="187">
        <f>C184-C21/$B$200</f>
        <v/>
      </c>
      <c r="D185" s="187">
        <f>D184-D21/$B$200</f>
        <v/>
      </c>
      <c r="E185" s="187">
        <f>E184-ROUND(E22*E155,0)/$B$200</f>
        <v/>
      </c>
      <c r="F185" s="176" t="n"/>
      <c r="G185" s="176" t="n"/>
      <c r="H185" s="176" t="n"/>
    </row>
    <row r="186">
      <c r="A186" s="41" t="inlineStr">
        <is>
          <t>Diluted shares (000) - year 4</t>
        </is>
      </c>
      <c r="B186" s="176" t="n"/>
      <c r="C186" s="187">
        <f>C185-C21/$B$201</f>
        <v/>
      </c>
      <c r="D186" s="187">
        <f>D185-D21/$B$201</f>
        <v/>
      </c>
      <c r="E186" s="187">
        <f>E185-ROUND(E22*E156,0)/$B$201</f>
        <v/>
      </c>
      <c r="F186" s="176" t="n"/>
      <c r="G186" s="176" t="n"/>
      <c r="H186" s="176" t="n"/>
    </row>
    <row r="187">
      <c r="A187" s="41" t="inlineStr">
        <is>
          <t>Diluted shares (000) - year 5</t>
        </is>
      </c>
      <c r="B187" s="176" t="n"/>
      <c r="C187" s="187">
        <f>C186-C21/$B$202</f>
        <v/>
      </c>
      <c r="D187" s="187">
        <f>D186-D21/$B$202</f>
        <v/>
      </c>
      <c r="E187" s="187">
        <f>E186-ROUND(E22*E157,0)/$B$202</f>
        <v/>
      </c>
      <c r="F187" s="176" t="n"/>
      <c r="G187" s="176" t="n"/>
      <c r="H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  <c r="H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  <c r="H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  <c r="H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  <c r="H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  <c r="H192" s="176" t="n"/>
    </row>
    <row r="193">
      <c r="A193" s="26" t="inlineStr">
        <is>
          <t>Assumptions (FY25 anchors &amp; repurchase prices)</t>
        </is>
      </c>
      <c r="B193" s="176" t="n"/>
      <c r="C193" s="176" t="n"/>
      <c r="D193" s="176" t="n"/>
      <c r="E193" s="176" t="n"/>
      <c r="F193" s="176" t="n"/>
      <c r="G193" s="176" t="n"/>
      <c r="H193" s="176" t="n"/>
    </row>
    <row r="194">
      <c r="A194" s="176" t="inlineStr">
        <is>
          <t>FY25 total assets ($000)</t>
        </is>
      </c>
      <c r="B194" s="218" t="n">
        <v>8456743</v>
      </c>
      <c r="C194" s="176" t="n"/>
      <c r="D194" s="176" t="n"/>
      <c r="E194" s="176" t="n"/>
      <c r="F194" s="176" t="n"/>
      <c r="G194" s="176" t="n"/>
      <c r="H194" s="176" t="n"/>
    </row>
    <row r="195">
      <c r="A195" s="176" t="inlineStr">
        <is>
          <t>FY25 total liabilities ($000)</t>
        </is>
      </c>
      <c r="B195" s="218" t="n">
        <v>3494903</v>
      </c>
      <c r="C195" s="176" t="n"/>
      <c r="D195" s="176" t="n"/>
      <c r="E195" s="176" t="n"/>
      <c r="F195" s="176" t="n"/>
      <c r="G195" s="176" t="n"/>
      <c r="H195" s="176" t="n"/>
    </row>
    <row r="196">
      <c r="A196" s="176" t="inlineStr">
        <is>
          <t>FY25 total equity ($000)</t>
        </is>
      </c>
      <c r="B196" s="218" t="n">
        <v>4961840</v>
      </c>
      <c r="C196" s="176" t="n"/>
      <c r="D196" s="176" t="n"/>
      <c r="E196" s="176" t="n"/>
      <c r="F196" s="176" t="n"/>
      <c r="G196" s="176" t="n"/>
      <c r="H196" s="176" t="n"/>
    </row>
    <row r="197">
      <c r="A197" s="176" t="inlineStr">
        <is>
          <t>FY25 diluted shares (000)</t>
        </is>
      </c>
      <c r="B197" s="225" t="n">
        <v>119068</v>
      </c>
      <c r="C197" s="176" t="n"/>
      <c r="D197" s="176" t="n"/>
      <c r="E197" s="176" t="n"/>
      <c r="F197" s="176" t="n"/>
      <c r="G197" s="176" t="n"/>
      <c r="H197" s="176" t="n"/>
    </row>
    <row r="198">
      <c r="A198" s="176" t="inlineStr">
        <is>
          <t>Repurchase avg price Y1 ($/sh)</t>
        </is>
      </c>
      <c r="B198" s="218" t="n">
        <v>100</v>
      </c>
      <c r="C198" s="176" t="n"/>
      <c r="D198" s="176" t="n"/>
      <c r="E198" s="176" t="n"/>
      <c r="F198" s="176" t="n"/>
      <c r="G198" s="176" t="n"/>
      <c r="H198" s="176" t="n"/>
    </row>
    <row r="199">
      <c r="A199" s="176" t="inlineStr">
        <is>
          <t>Repurchase avg price Y2 ($/sh)</t>
        </is>
      </c>
      <c r="B199" s="218" t="n">
        <v>108</v>
      </c>
      <c r="C199" s="176" t="n"/>
      <c r="D199" s="176" t="n"/>
      <c r="E199" s="176" t="n"/>
      <c r="F199" s="176" t="n"/>
      <c r="G199" s="176" t="n"/>
      <c r="H199" s="176" t="n"/>
    </row>
    <row r="200">
      <c r="A200" s="176" t="inlineStr">
        <is>
          <t>Repurchase avg price Y3 ($/sh)</t>
        </is>
      </c>
      <c r="B200" s="218" t="n">
        <v>115</v>
      </c>
      <c r="C200" s="176" t="n"/>
      <c r="D200" s="176" t="n"/>
      <c r="E200" s="176" t="n"/>
      <c r="F200" s="176" t="n"/>
      <c r="G200" s="176" t="n"/>
      <c r="H200" s="176" t="n"/>
    </row>
    <row r="201">
      <c r="A201" s="176" t="inlineStr">
        <is>
          <t>Repurchase avg price Y4 ($/sh)</t>
        </is>
      </c>
      <c r="B201" s="218" t="n">
        <v>122</v>
      </c>
      <c r="C201" s="176" t="n"/>
      <c r="D201" s="176" t="n"/>
      <c r="E201" s="176" t="n"/>
      <c r="F201" s="176" t="n"/>
      <c r="G201" s="176" t="n"/>
      <c r="H201" s="176" t="n"/>
    </row>
    <row r="202">
      <c r="A202" s="176" t="inlineStr">
        <is>
          <t>Repurchase avg price Y5 ($/sh)</t>
        </is>
      </c>
      <c r="B202" s="218" t="n">
        <v>130</v>
      </c>
      <c r="C202" s="176" t="n"/>
      <c r="D202" s="176" t="n"/>
      <c r="E202" s="176" t="n"/>
      <c r="F202" s="176" t="n"/>
      <c r="G202" s="176" t="n"/>
      <c r="H202" s="176" t="n"/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ref="B9" location="'WACC'!E41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138" r:id="rId17"/>
    <hyperlink xmlns:r="http://schemas.openxmlformats.org/officeDocument/2006/relationships" ref="B139" r:id="rId18"/>
    <hyperlink xmlns:r="http://schemas.openxmlformats.org/officeDocument/2006/relationships" ref="B140" r:id="rId19"/>
    <hyperlink xmlns:r="http://schemas.openxmlformats.org/officeDocument/2006/relationships" ref="B141" r:id="rId20"/>
    <hyperlink xmlns:r="http://schemas.openxmlformats.org/officeDocument/2006/relationships" ref="B14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Revenue drivers (FY26–30)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224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69" t="inlineStr">
        <is>
          <t>LULU FY2025 10-K: store roll-forward (Item 2)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Americas: ~6–8 net new stores/yr (slower than China).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69" t="inlineStr">
        <is>
          <t>LULU FY2025 10-K: company-operated store count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69" t="inlineStr">
        <is>
          <t>LULU FY2025 10-K: store roll-forward (Item 2)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China: ~20 store openings in FY26 (expansion plan).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69" t="inlineStr">
        <is>
          <t>LULU FY2025 10-K: company-operated store count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69" t="inlineStr">
        <is>
          <t>LULU FY2025 10-K: store roll-forward (Item 2)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RoW: ~4–6 net new stores/yr.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69" t="inlineStr">
        <is>
          <t>LULU FY2025 10-K: company-operated store count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69" t="inlineStr">
        <is>
          <t>LULU FY2025 10-K: total company-operated stores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69" t="inlineStr">
        <is>
          <t>LULU FY2025 10-K: sales per square foot &amp; store count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Consolidated revenue check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DCF!C6</f>
        <v/>
      </c>
      <c r="D56" s="75">
        <f>DCF!D6</f>
        <v/>
      </c>
      <c r="E56" s="75">
        <f>DCF!E6</f>
        <v/>
      </c>
      <c r="F56" s="75">
        <f>DCF!F6</f>
        <v/>
      </c>
      <c r="G56" s="75">
        <f>DCF!G6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vs scenarios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  <c r="J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  <c r="J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  <c r="I62" s="176" t="n"/>
      <c r="J62" s="176" t="n"/>
    </row>
    <row r="63">
      <c r="A63" s="176" t="n"/>
      <c r="B63" s="176" t="n"/>
      <c r="C63" s="176" t="n"/>
      <c r="D63" s="176" t="n"/>
      <c r="E63" s="176" t="n"/>
      <c r="F63" s="176" t="n"/>
      <c r="G63" s="176" t="n"/>
      <c r="H63" s="176" t="n"/>
      <c r="I63" s="176" t="n"/>
      <c r="J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  <c r="J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  <c r="I65" s="176" t="n"/>
      <c r="J65" s="176" t="n"/>
    </row>
    <row r="66">
      <c r="A66" s="176" t="n"/>
      <c r="B66" s="176" t="n"/>
      <c r="C66" s="176" t="n"/>
      <c r="D66" s="176" t="n"/>
      <c r="E66" s="176" t="n"/>
      <c r="F66" s="176" t="n"/>
      <c r="G66" s="176" t="n"/>
      <c r="H66" s="176" t="n"/>
      <c r="I66" s="176" t="n"/>
      <c r="J66" s="176" t="n"/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  <c r="J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  <c r="I68" s="176" t="n"/>
      <c r="J68" s="176" t="n"/>
    </row>
    <row r="69">
      <c r="A69" s="176" t="n"/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</row>
    <row r="70">
      <c r="A70" s="176" t="n"/>
      <c r="B70" s="176" t="n"/>
      <c r="C70" s="176" t="n"/>
      <c r="D70" s="176" t="n"/>
      <c r="E70" s="176" t="n"/>
      <c r="F70" s="176" t="n"/>
      <c r="G70" s="176" t="n"/>
      <c r="H70" s="176" t="n"/>
      <c r="I70" s="176" t="n"/>
      <c r="J70" s="176" t="n"/>
    </row>
    <row r="71">
      <c r="A71" s="176" t="inlineStr">
        <is>
          <t>Americas comp mix %</t>
        </is>
      </c>
      <c r="B71" s="220" t="n">
        <v>0.71</v>
      </c>
      <c r="C71" s="176" t="n"/>
      <c r="D71" s="176" t="n"/>
      <c r="E71" s="176" t="n"/>
      <c r="F71" s="176" t="n"/>
      <c r="G71" s="176" t="n"/>
      <c r="H71" s="176" t="n"/>
      <c r="I71" s="176" t="n"/>
      <c r="J71" s="176" t="n"/>
    </row>
    <row r="72">
      <c r="A72" s="176" t="inlineStr">
        <is>
          <t>China comp mix %</t>
        </is>
      </c>
      <c r="B72" s="220" t="n">
        <v>0.16</v>
      </c>
      <c r="C72" s="176" t="n"/>
      <c r="D72" s="176" t="n"/>
      <c r="E72" s="176" t="n"/>
      <c r="F72" s="176" t="n"/>
      <c r="G72" s="176" t="n"/>
      <c r="H72" s="176" t="n"/>
      <c r="I72" s="176" t="n"/>
      <c r="J72" s="176" t="n"/>
    </row>
    <row r="73">
      <c r="A73" s="176" t="inlineStr">
        <is>
          <t>RoW comp mix %</t>
        </is>
      </c>
      <c r="B73" s="220" t="n">
        <v>0.13</v>
      </c>
      <c r="C73" s="176" t="n"/>
      <c r="D73" s="176" t="n"/>
      <c r="E73" s="176" t="n"/>
      <c r="F73" s="176" t="n"/>
      <c r="G73" s="176" t="n"/>
      <c r="H73" s="176" t="n"/>
      <c r="I73" s="176" t="n"/>
      <c r="J73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H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bridge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  <c r="H3" s="176" t="n"/>
    </row>
    <row r="4">
      <c r="A4" s="26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  <c r="H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  <c r="H7" s="188" t="inlineStr">
        <is>
          <t>LULU CF statement (10-K): stock-based compensation</t>
        </is>
      </c>
    </row>
    <row r="8">
      <c r="A8" s="26" t="n"/>
      <c r="B8" s="176" t="n"/>
      <c r="C8" s="176" t="n"/>
      <c r="D8" s="176" t="n"/>
      <c r="E8" s="176" t="n"/>
      <c r="F8" s="176" t="n"/>
      <c r="G8" s="176" t="n"/>
      <c r="H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188" t="inlineStr">
        <is>
          <t>FY2025 10-K: company-operated stores net revenue</t>
        </is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188" t="inlineStr">
        <is>
          <t>FY2025 10-K: e-commerce net revenue</t>
        </is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188" t="inlineStr">
        <is>
          <t>FY2025 10-K: other channels (residual)</t>
        </is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  <c r="H12" s="188" t="inlineStr">
        <is>
          <t>Q2 FY2026 outlook: tax rate ≈ 30%</t>
        </is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  <c r="H13" s="188" t="inlineStr">
        <is>
          <t>NOPAT Bridge: capitalization convention</t>
        </is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DCF!C11</f>
        <v/>
      </c>
      <c r="D16" s="75">
        <f>DCF!D11</f>
        <v/>
      </c>
      <c r="E16" s="75">
        <f>DCF!E11</f>
        <v/>
      </c>
      <c r="F16" s="75">
        <f>DCF!F11</f>
        <v/>
      </c>
      <c r="G16" s="75">
        <f>DCF!G11</f>
        <v/>
      </c>
      <c r="H16" s="188" t="inlineStr">
        <is>
          <t>LULU FY2025 10-K: Income from operations</t>
        </is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  <c r="H17" s="188" t="inlineStr">
        <is>
          <t>LULU FY2025 10-K: amortization of intangible assets</t>
        </is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  <c r="H18" s="188" t="inlineStr">
        <is>
          <t>LULU FY2025 10-K: restructuring charges</t>
        </is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  <c r="H19" s="188" t="inlineStr">
        <is>
          <t>LULU FY2025 10-K: SG&amp;A one-offs</t>
        </is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IF($B$7=1,DCF!C6*$B$20/DCF!$B$6,0)</f>
        <v/>
      </c>
      <c r="D20" s="75">
        <f>IF($B$7=1,DCF!D6*$B$20/DCF!$B$6,0)</f>
        <v/>
      </c>
      <c r="E20" s="75">
        <f>IF($B$7=1,DCF!E6*$B$20/DCF!$B$6,0)</f>
        <v/>
      </c>
      <c r="F20" s="75">
        <f>IF($B$7=1,DCF!F6*$B$20/DCF!$B$6,0)</f>
        <v/>
      </c>
      <c r="G20" s="75">
        <f>IF($B$7=1,DCF!G6*$B$20/DCF!$B$6,0)</f>
        <v/>
      </c>
      <c r="H20" s="188" t="inlineStr">
        <is>
          <t>LULU CF statement (10-K): stock-based compensation</t>
        </is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  <c r="H21" s="176" t="n"/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  <c r="H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$B$23*(DCF!C6/DCF!$B$6)</f>
        <v/>
      </c>
      <c r="D23" s="75">
        <f>$B$23*(DCF!D6/DCF!$B$6)</f>
        <v/>
      </c>
      <c r="E23" s="75">
        <f>$B$23*(DCF!E6/DCF!$B$6)</f>
        <v/>
      </c>
      <c r="F23" s="75">
        <f>$B$23*(DCF!F6/DCF!$B$6)</f>
        <v/>
      </c>
      <c r="G23" s="75">
        <f>$B$23*(DCF!G6/DCF!$B$6)</f>
        <v/>
      </c>
      <c r="H23" s="188" t="inlineStr">
        <is>
          <t>LULU FY2025 10-K: interest on lease liabilities (supplemental)</t>
        </is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  <c r="H24" s="188" t="inlineStr">
        <is>
          <t>LULU FY2025 10-K: R&amp;D / software expense</t>
        </is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  <c r="H25" s="188" t="inlineStr">
        <is>
          <t>LULU FY2025 10-K: intangible amortization</t>
        </is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  <c r="H26" s="176" t="n"/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  <c r="H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  <c r="H28" s="188" t="inlineStr">
        <is>
          <t>Revenue Drivers tab: store-channel revenue</t>
        </is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  <c r="H29" s="188" t="inlineStr">
        <is>
          <t>Revenue Drivers tab: e-commerce revenue</t>
        </is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  <c r="H30" s="188" t="inlineStr">
        <is>
          <t>Revenue Drivers tab: other channels revenue</t>
        </is>
      </c>
    </row>
    <row r="31" ht="15" customHeight="1">
      <c r="A31" s="16" t="inlineStr">
        <is>
          <t>Store-channel EBIT (= Rev x store margin)</t>
        </is>
      </c>
      <c r="B31" s="75">
        <f>C31</f>
        <v/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  <c r="H31" s="176" t="n"/>
    </row>
    <row r="32" ht="15" customHeight="1">
      <c r="A32" s="16" t="inlineStr">
        <is>
          <t>E-commerce EBIT (= Rev x e-comm margin)</t>
        </is>
      </c>
      <c r="B32" s="75">
        <f>C32</f>
        <v/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  <c r="H32" s="176" t="n"/>
    </row>
    <row r="33" ht="15" customHeight="1">
      <c r="A33" s="16" t="inlineStr">
        <is>
          <t>Other-channels EBIT (= Rev x other margin)</t>
        </is>
      </c>
      <c r="B33" s="75">
        <f>C33</f>
        <v/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  <c r="H33" s="176" t="n"/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  <c r="H34" s="176" t="n"/>
    </row>
    <row r="35" ht="28" customHeight="1">
      <c r="A35" s="68" t="inlineStr">
        <is>
          <t>EBIT after channel mix</t>
        </is>
      </c>
      <c r="B35" s="130">
        <f>C35</f>
        <v/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  <c r="H35" s="176" t="n"/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DCF!C11</f>
        <v/>
      </c>
      <c r="D36" s="130">
        <f>DCF!D11</f>
        <v/>
      </c>
      <c r="E36" s="130">
        <f>DCF!E11</f>
        <v/>
      </c>
      <c r="F36" s="130">
        <f>DCF!F11</f>
        <v/>
      </c>
      <c r="G36" s="130">
        <f>DCF!G11</f>
        <v/>
      </c>
      <c r="H36" s="176" t="n"/>
    </row>
    <row r="37">
      <c r="A37" s="16" t="inlineStr">
        <is>
          <t>EBIT variance vs Scenarios ($000)</t>
        </is>
      </c>
      <c r="B37" s="176" t="n"/>
      <c r="C37" s="75">
        <f>C36-DCF!C11</f>
        <v/>
      </c>
      <c r="D37" s="75">
        <f>D36-DCF!D11</f>
        <v/>
      </c>
      <c r="E37" s="75">
        <f>E36-DCF!E11</f>
        <v/>
      </c>
      <c r="F37" s="75">
        <f>F36-DCF!F11</f>
        <v/>
      </c>
      <c r="G37" s="75">
        <f>G36-DCF!G11</f>
        <v/>
      </c>
      <c r="H37" s="176" t="n"/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 ht="15" customHeight="1">
      <c r="A39" s="16" t="inlineStr">
        <is>
          <t>Operating effective tax rate (t_operating)</t>
        </is>
      </c>
      <c r="B39" s="32" t="n">
        <v>0.295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  <c r="H39" s="188" t="inlineStr">
        <is>
          <t>LULU FY2025 10-K: income tax &amp; interest expense</t>
        </is>
      </c>
    </row>
    <row r="40" ht="28" customHeight="1">
      <c r="A40" s="16" t="inlineStr">
        <is>
          <t>Unlevered tax on normalized EBIT</t>
        </is>
      </c>
      <c r="B40" s="218">
        <f>B36*B39</f>
        <v/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  <c r="H40" s="176" t="n"/>
    </row>
    <row r="41" ht="28" customHeight="1">
      <c r="A41" s="68" t="inlineStr">
        <is>
          <t>NORMALIZED NOPAT</t>
        </is>
      </c>
      <c r="B41" s="218">
        <f>B36-B40</f>
        <v/>
      </c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61" t="inlineStr">
        <is>
          <t>Build checklist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  <c r="H44" s="176" t="n"/>
    </row>
    <row r="45">
      <c r="A45" s="61" t="inlineStr">
        <is>
          <t>Reported EBIT adjustments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  <c r="H45" s="176" t="n"/>
    </row>
    <row r="46">
      <c r="A46" s="61" t="inlineStr">
        <is>
          <t>R&amp;D capitalization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  <c r="H46" s="176" t="n"/>
    </row>
    <row r="47">
      <c r="A47" s="61" t="inlineStr">
        <is>
          <t>Lease interest reclass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  <c r="H47" s="176" t="n"/>
    </row>
    <row r="48">
      <c r="A48" s="61" t="inlineStr">
        <is>
          <t>Channel EBIT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  <c r="H48" s="176" t="n"/>
    </row>
    <row r="49">
      <c r="A49" s="61" t="inlineStr">
        <is>
          <t>Tax-normalized NOPAT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  <c r="H49" s="176" t="n"/>
    </row>
    <row r="50">
      <c r="A50" s="61" t="inlineStr">
        <is>
          <t>FY26 tariff refund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  <c r="H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</row>
  </sheetData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E16" r:id="rId6"/>
    <hyperlink xmlns:r="http://schemas.openxmlformats.org/officeDocument/2006/relationships" ref="H16" r:id="rId7"/>
    <hyperlink xmlns:r="http://schemas.openxmlformats.org/officeDocument/2006/relationships" ref="E17" r:id="rId8"/>
    <hyperlink xmlns:r="http://schemas.openxmlformats.org/officeDocument/2006/relationships" ref="H17" r:id="rId9"/>
    <hyperlink xmlns:r="http://schemas.openxmlformats.org/officeDocument/2006/relationships" ref="E18" r:id="rId10"/>
    <hyperlink xmlns:r="http://schemas.openxmlformats.org/officeDocument/2006/relationships" ref="H18" r:id="rId11"/>
    <hyperlink xmlns:r="http://schemas.openxmlformats.org/officeDocument/2006/relationships" ref="E19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E23" r:id="rId15"/>
    <hyperlink xmlns:r="http://schemas.openxmlformats.org/officeDocument/2006/relationships" ref="H23" r:id="rId16"/>
    <hyperlink xmlns:r="http://schemas.openxmlformats.org/officeDocument/2006/relationships" ref="E24" r:id="rId17"/>
    <hyperlink xmlns:r="http://schemas.openxmlformats.org/officeDocument/2006/relationships" ref="H24" r:id="rId18"/>
    <hyperlink xmlns:r="http://schemas.openxmlformats.org/officeDocument/2006/relationships" ref="E25" r:id="rId19"/>
    <hyperlink xmlns:r="http://schemas.openxmlformats.org/officeDocument/2006/relationships" ref="H25" r:id="rId20"/>
    <hyperlink xmlns:r="http://schemas.openxmlformats.org/officeDocument/2006/relationships" ref="E28" r:id="rId21"/>
    <hyperlink ref="H28" location="'Revenue Drivers'!B31"/>
    <hyperlink xmlns:r="http://schemas.openxmlformats.org/officeDocument/2006/relationships" ref="E29" r:id="rId22"/>
    <hyperlink ref="H29" location="'Revenue Drivers'!B41"/>
    <hyperlink xmlns:r="http://schemas.openxmlformats.org/officeDocument/2006/relationships" ref="E30" r:id="rId23"/>
    <hyperlink ref="H30" location="'Revenue Drivers'!B45"/>
    <hyperlink xmlns:r="http://schemas.openxmlformats.org/officeDocument/2006/relationships" ref="E35" r:id="rId24"/>
    <hyperlink xmlns:r="http://schemas.openxmlformats.org/officeDocument/2006/relationships" ref="E39" r:id="rId25"/>
    <hyperlink xmlns:r="http://schemas.openxmlformats.org/officeDocument/2006/relationships" ref="H39" r:id="rId26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H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  <c r="H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inlineStr">
        <is>
          <t>Revenue Growth %</t>
        </is>
      </c>
      <c r="B5" s="176" t="n"/>
      <c r="C5" s="220">
        <f>Scenarios!$D$4</f>
        <v/>
      </c>
      <c r="D5" s="220">
        <f>Scenarios!$D$5</f>
        <v/>
      </c>
      <c r="E5" s="220">
        <f>Scenarios!$D$5</f>
        <v/>
      </c>
      <c r="F5" s="220">
        <f>Scenarios!$D$5</f>
        <v/>
      </c>
      <c r="G5" s="220">
        <f>Scenarios!$D$5</f>
        <v/>
      </c>
      <c r="H5" s="176" t="n"/>
    </row>
    <row r="6" ht="15" customHeight="1">
      <c r="A6" s="16" t="inlineStr">
        <is>
          <t>Net revenue</t>
        </is>
      </c>
      <c r="B6" s="75" t="n">
        <v>11102600</v>
      </c>
      <c r="C6" s="75">
        <f>B6*(1+C5)</f>
        <v/>
      </c>
      <c r="D6" s="75">
        <f>C6*(1+D5)</f>
        <v/>
      </c>
      <c r="E6" s="75">
        <f>D6*(1+E5)</f>
        <v/>
      </c>
      <c r="F6" s="75">
        <f>E6*(1+F5)</f>
        <v/>
      </c>
      <c r="G6" s="75">
        <f>F6*(1+G5)</f>
        <v/>
      </c>
      <c r="H6" s="176" t="n"/>
    </row>
    <row r="7" ht="15" customHeight="1">
      <c r="A7" s="16" t="inlineStr">
        <is>
          <t>Gross margin %</t>
        </is>
      </c>
      <c r="B7" s="32">
        <f>(B6-B8)/B6</f>
        <v/>
      </c>
      <c r="C7" s="32">
        <f>(C6-C8)/C6</f>
        <v/>
      </c>
      <c r="D7" s="32">
        <f>(D6-D8)/D6</f>
        <v/>
      </c>
      <c r="E7" s="32">
        <f>(E6-E8)/E6</f>
        <v/>
      </c>
      <c r="F7" s="32">
        <f>(F6-F8)/F6</f>
        <v/>
      </c>
      <c r="G7" s="32">
        <f>(G6-G8)/G6</f>
        <v/>
      </c>
      <c r="H7" s="176" t="n"/>
    </row>
    <row r="8">
      <c r="A8" s="16" t="inlineStr">
        <is>
          <t>COGS</t>
        </is>
      </c>
      <c r="B8" s="75" t="n">
        <v>4818468</v>
      </c>
      <c r="C8" s="75">
        <f>C6*(1-Scenarios!$D$14)</f>
        <v/>
      </c>
      <c r="D8" s="75">
        <f>D6*(1-Scenarios!$D$14)</f>
        <v/>
      </c>
      <c r="E8" s="75">
        <f>E6*(1-Scenarios!$D$14)</f>
        <v/>
      </c>
      <c r="F8" s="75">
        <f>F6*(1-Scenarios!$D$14)</f>
        <v/>
      </c>
      <c r="G8" s="75">
        <f>G6*(1-Scenarios!$D$14)</f>
        <v/>
      </c>
      <c r="H8" s="176" t="n"/>
    </row>
    <row r="9" ht="15" customHeight="1">
      <c r="A9" s="16" t="inlineStr">
        <is>
          <t>EBIT Margin %</t>
        </is>
      </c>
      <c r="B9" s="176" t="n"/>
      <c r="C9" s="32">
        <f>C6*C9+C10</f>
        <v/>
      </c>
      <c r="D9" s="32">
        <f>D6*D9</f>
        <v/>
      </c>
      <c r="E9" s="32">
        <f>E6*E9</f>
        <v/>
      </c>
      <c r="F9" s="32">
        <f>F6*F9</f>
        <v/>
      </c>
      <c r="G9" s="32">
        <f>G6*G9</f>
        <v/>
      </c>
      <c r="H9" s="176" t="n"/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  <c r="H10" s="188" t="inlineStr">
        <is>
          <t>No tariff refund post-FY26 (forecast years 2–5)</t>
        </is>
      </c>
    </row>
    <row r="11">
      <c r="A11" s="68" t="inlineStr">
        <is>
          <t>EBIT</t>
        </is>
      </c>
      <c r="B11" s="130" t="n">
        <v>2210615</v>
      </c>
      <c r="C11" s="130">
        <f>DCF!C11</f>
        <v/>
      </c>
      <c r="D11" s="130">
        <f>DCF!D11</f>
        <v/>
      </c>
      <c r="E11" s="130">
        <f>DCF!E11</f>
        <v/>
      </c>
      <c r="F11" s="130">
        <f>DCF!F11</f>
        <v/>
      </c>
      <c r="G11" s="130">
        <f>DCF!G11</f>
        <v/>
      </c>
      <c r="H11" s="176" t="n"/>
    </row>
    <row r="12">
      <c r="A12" s="16" t="inlineStr">
        <is>
          <t>Reported EBIT margin % (incl. FY26 refund)</t>
        </is>
      </c>
      <c r="B12" s="32">
        <f>B11/B6</f>
        <v/>
      </c>
      <c r="C12" s="32">
        <f>C9/C6</f>
        <v/>
      </c>
      <c r="D12" s="32">
        <f>D9/D6</f>
        <v/>
      </c>
      <c r="E12" s="32">
        <f>E9/E6</f>
        <v/>
      </c>
      <c r="F12" s="32">
        <f>F9/F6</f>
        <v/>
      </c>
      <c r="G12" s="32">
        <f>G9/G6</f>
        <v/>
      </c>
      <c r="H12" s="176" t="n"/>
    </row>
    <row r="13">
      <c r="A13" s="16" t="inlineStr">
        <is>
          <t>Less: Taxes</t>
        </is>
      </c>
      <c r="B13" s="218">
        <f>-'NOPAT Bridge'!B40</f>
        <v/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  <c r="H13" s="176" t="n"/>
    </row>
    <row r="14">
      <c r="A14" s="68" t="inlineStr">
        <is>
          <t>NOPAT</t>
        </is>
      </c>
      <c r="B14" s="218">
        <f>'NOPAT Bridge'!B41</f>
        <v/>
      </c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  <c r="H14" s="176" t="n"/>
    </row>
    <row r="15" ht="28" customHeight="1">
      <c r="A15" s="176" t="inlineStr">
        <is>
          <t>FY25 D&amp;A ($000)</t>
        </is>
      </c>
      <c r="B15" s="218" t="n">
        <v>496228</v>
      </c>
      <c r="C15" s="176" t="n"/>
      <c r="D15" s="176" t="n"/>
      <c r="E15" s="176" t="n"/>
      <c r="F15" s="176" t="n"/>
      <c r="G15" s="176" t="n"/>
      <c r="H15" s="176" t="n"/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  <c r="H16" s="176" t="n"/>
    </row>
    <row r="17" ht="15" customHeight="1">
      <c r="A17" s="16" t="inlineStr">
        <is>
          <t>Plus: D&amp;A</t>
        </is>
      </c>
      <c r="B17" s="218">
        <f>B15</f>
        <v/>
      </c>
      <c r="C17" s="75">
        <f>C6*Scenarios!$D$12</f>
        <v/>
      </c>
      <c r="D17" s="75">
        <f>D6*Scenarios!$D$12</f>
        <v/>
      </c>
      <c r="E17" s="75">
        <f>E6*Scenarios!$D$12</f>
        <v/>
      </c>
      <c r="F17" s="75">
        <f>F6*Scenarios!$D$12</f>
        <v/>
      </c>
      <c r="G17" s="75">
        <f>G6*Scenarios!$D$12</f>
        <v/>
      </c>
      <c r="H17" s="176" t="n"/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  <c r="H18" s="176" t="n"/>
    </row>
    <row r="19">
      <c r="A19" s="16" t="inlineStr">
        <is>
          <t>Less: Capex</t>
        </is>
      </c>
      <c r="B19" s="218">
        <f>-680802</f>
        <v/>
      </c>
      <c r="C19" s="75">
        <f>-C6*Scenarios!$D$13</f>
        <v/>
      </c>
      <c r="D19" s="75">
        <f>-D6*Scenarios!$D$13</f>
        <v/>
      </c>
      <c r="E19" s="75">
        <f>-E6*Scenarios!$D$13</f>
        <v/>
      </c>
      <c r="F19" s="75">
        <f>-F6*Scenarios!$D$13</f>
        <v/>
      </c>
      <c r="G19" s="75">
        <f>-G6*Scenarios!$D$13</f>
        <v/>
      </c>
      <c r="H19" s="176" t="n"/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  <c r="H20" s="176" t="n"/>
    </row>
    <row r="21" ht="15" customHeight="1">
      <c r="A21" s="16" t="inlineStr">
        <is>
          <t>DSO (days)</t>
        </is>
      </c>
      <c r="B21" s="193">
        <f>Scenarios!$D$15</f>
        <v/>
      </c>
      <c r="C21" s="193">
        <f>Scenarios!$D$15</f>
        <v/>
      </c>
      <c r="D21" s="193">
        <f>Scenarios!$D$15</f>
        <v/>
      </c>
      <c r="E21" s="193">
        <f>Scenarios!$D$15</f>
        <v/>
      </c>
      <c r="F21" s="193">
        <f>Scenarios!$D$15</f>
        <v/>
      </c>
      <c r="G21" s="193">
        <f>Scenarios!$D$15</f>
        <v/>
      </c>
      <c r="H21" s="176" t="n"/>
    </row>
    <row r="22" ht="15" customHeight="1">
      <c r="A22" s="16" t="inlineStr">
        <is>
          <t>Accounts receivable, net</t>
        </is>
      </c>
      <c r="B22" s="187" t="n">
        <v>190657</v>
      </c>
      <c r="C22" s="75">
        <f>C6*C21/365</f>
        <v/>
      </c>
      <c r="D22" s="75">
        <f>D6*D21/365</f>
        <v/>
      </c>
      <c r="E22" s="75">
        <f>E6*E21/365</f>
        <v/>
      </c>
      <c r="F22" s="75">
        <f>F6*F21/365</f>
        <v/>
      </c>
      <c r="G22" s="75">
        <f>G6*G21/365</f>
        <v/>
      </c>
      <c r="H22" s="188" t="inlineStr">
        <is>
          <t>LULU FY2025 10-K: Accounts receivable, net</t>
        </is>
      </c>
    </row>
    <row r="23" ht="15" customHeight="1">
      <c r="A23" s="16" t="inlineStr">
        <is>
          <t>DIO (days)</t>
        </is>
      </c>
      <c r="B23" s="193">
        <f>Scenarios!$D$16</f>
        <v/>
      </c>
      <c r="C23" s="193">
        <f>Scenarios!$D$16-0*Scenarios!$D$17</f>
        <v/>
      </c>
      <c r="D23" s="193">
        <f>Scenarios!$D$16-1*Scenarios!$D$17</f>
        <v/>
      </c>
      <c r="E23" s="193">
        <f>Scenarios!$D$16-2*Scenarios!$D$17</f>
        <v/>
      </c>
      <c r="F23" s="193">
        <f>Scenarios!$D$16-3*Scenarios!$D$17</f>
        <v/>
      </c>
      <c r="G23" s="193">
        <f>Scenarios!$D$16-4*Scenarios!$D$17</f>
        <v/>
      </c>
      <c r="H23" s="176" t="n"/>
    </row>
    <row r="24" ht="15" customHeight="1">
      <c r="A24" s="16" t="inlineStr">
        <is>
          <t>Inventories</t>
        </is>
      </c>
      <c r="B24" s="187" t="n">
        <v>1700753</v>
      </c>
      <c r="C24" s="75">
        <f>C8*C23/365</f>
        <v/>
      </c>
      <c r="D24" s="75">
        <f>D8*D23/365</f>
        <v/>
      </c>
      <c r="E24" s="75">
        <f>E8*E23/365</f>
        <v/>
      </c>
      <c r="F24" s="75">
        <f>F8*F23/365</f>
        <v/>
      </c>
      <c r="G24" s="75">
        <f>G8*G23/365</f>
        <v/>
      </c>
      <c r="H24" s="188" t="inlineStr">
        <is>
          <t>LULU FY2025 10-K: Inventories</t>
        </is>
      </c>
    </row>
    <row r="25" ht="15" customHeight="1">
      <c r="A25" s="16" t="inlineStr">
        <is>
          <t>DPO (days)</t>
        </is>
      </c>
      <c r="B25" s="193">
        <f>Scenarios!$D$18</f>
        <v/>
      </c>
      <c r="C25" s="193">
        <f>Scenarios!$D$18</f>
        <v/>
      </c>
      <c r="D25" s="193">
        <f>Scenarios!$D$18</f>
        <v/>
      </c>
      <c r="E25" s="193">
        <f>Scenarios!$D$18</f>
        <v/>
      </c>
      <c r="F25" s="193">
        <f>Scenarios!$D$18</f>
        <v/>
      </c>
      <c r="G25" s="193">
        <f>Scenarios!$D$18</f>
        <v/>
      </c>
      <c r="H25" s="176" t="n"/>
    </row>
    <row r="26" ht="15" customHeight="1">
      <c r="A26" s="16" t="inlineStr">
        <is>
          <t>Accounts payable</t>
        </is>
      </c>
      <c r="B26" s="75" t="n">
        <v>331421</v>
      </c>
      <c r="C26" s="75">
        <f>C8*C25/365</f>
        <v/>
      </c>
      <c r="D26" s="75">
        <f>D8*D25/365</f>
        <v/>
      </c>
      <c r="E26" s="75">
        <f>E8*E25/365</f>
        <v/>
      </c>
      <c r="F26" s="75">
        <f>F8*F25/365</f>
        <v/>
      </c>
      <c r="G26" s="75">
        <f>G8*G25/365</f>
        <v/>
      </c>
      <c r="H26" s="188" t="inlineStr">
        <is>
          <t>LULU FY2025 10-K: Accounts payable</t>
        </is>
      </c>
    </row>
    <row r="27" ht="15" customHeight="1">
      <c r="A27" s="16" t="inlineStr">
        <is>
          <t>Prepaid expenses (% of revenue)</t>
        </is>
      </c>
      <c r="B27" s="32">
        <f>Scenarios!$D$19</f>
        <v/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  <c r="H27" s="176" t="n"/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C6*C27</f>
        <v/>
      </c>
      <c r="D28" s="75">
        <f>D6*D27</f>
        <v/>
      </c>
      <c r="E28" s="75">
        <f>E6*E27</f>
        <v/>
      </c>
      <c r="F28" s="75">
        <f>F6*F27</f>
        <v/>
      </c>
      <c r="G28" s="75">
        <f>G6*G27</f>
        <v/>
      </c>
      <c r="H28" s="188" t="inlineStr">
        <is>
          <t>LULU FY2025 10-K: other current assets (residual)</t>
        </is>
      </c>
    </row>
    <row r="29" ht="15" customHeight="1">
      <c r="A29" s="16" t="inlineStr">
        <is>
          <t>Accrued liabilities (% of revenue)</t>
        </is>
      </c>
      <c r="B29" s="32">
        <f>Scenarios!$D$20</f>
        <v/>
      </c>
      <c r="C29" s="75">
        <f>Scenarios!$D$20</f>
        <v/>
      </c>
      <c r="D29" s="75">
        <f>Scenarios!$D$20</f>
        <v/>
      </c>
      <c r="E29" s="75">
        <f>Scenarios!$D$20</f>
        <v/>
      </c>
      <c r="F29" s="75">
        <f>Scenarios!$D$20</f>
        <v/>
      </c>
      <c r="G29" s="75">
        <f>Scenarios!$D$20</f>
        <v/>
      </c>
      <c r="H29" s="176" t="n"/>
    </row>
    <row r="30" ht="15" customHeight="1">
      <c r="A30" s="16" t="inlineStr">
        <is>
          <t>Accrued liabilities and other</t>
        </is>
      </c>
      <c r="B30" s="75" t="n">
        <v>662982</v>
      </c>
      <c r="C30" s="75">
        <f>C6*C29</f>
        <v/>
      </c>
      <c r="D30" s="75">
        <f>D6*D29</f>
        <v/>
      </c>
      <c r="E30" s="75">
        <f>E6*E29</f>
        <v/>
      </c>
      <c r="F30" s="75">
        <f>F6*F29</f>
        <v/>
      </c>
      <c r="G30" s="75">
        <f>G6*G29</f>
        <v/>
      </c>
      <c r="H30" s="188" t="inlineStr">
        <is>
          <t>LULU FY2025 10-K: Accrued liabilities and other</t>
        </is>
      </c>
    </row>
    <row r="31" ht="15" customHeight="1">
      <c r="A31" s="16" t="inlineStr">
        <is>
          <t>Current operating assets (AR + inv + prepaids)</t>
        </is>
      </c>
      <c r="B31" s="176" t="n"/>
      <c r="C31" s="75">
        <f>C22+C24+C28</f>
        <v/>
      </c>
      <c r="D31" s="75">
        <f>D22+D24+D28</f>
        <v/>
      </c>
      <c r="E31" s="75">
        <f>E22+E24+E28</f>
        <v/>
      </c>
      <c r="F31" s="75">
        <f>F22+F24+F28</f>
        <v/>
      </c>
      <c r="G31" s="75">
        <f>G22+G24+G28</f>
        <v/>
      </c>
      <c r="H31" s="176" t="n"/>
    </row>
    <row r="32" ht="15" customHeight="1">
      <c r="A32" s="16" t="inlineStr">
        <is>
          <t>Current operating liabilities (AP + accruals)</t>
        </is>
      </c>
      <c r="B32" s="176" t="n"/>
      <c r="C32" s="75">
        <f>C26+C30</f>
        <v/>
      </c>
      <c r="D32" s="75">
        <f>D26+D30</f>
        <v/>
      </c>
      <c r="E32" s="75">
        <f>E26+E30</f>
        <v/>
      </c>
      <c r="F32" s="75">
        <f>F26+F30</f>
        <v/>
      </c>
      <c r="G32" s="75">
        <f>G26+G30</f>
        <v/>
      </c>
      <c r="H32" s="176" t="n"/>
    </row>
    <row r="33" ht="15" customHeight="1">
      <c r="A33" s="68" t="inlineStr">
        <is>
          <t>Net working capital</t>
        </is>
      </c>
      <c r="B33" s="130" t="n">
        <v>1461096</v>
      </c>
      <c r="C33" s="130">
        <f>C31-C32</f>
        <v/>
      </c>
      <c r="D33" s="130">
        <f>D31-D32</f>
        <v/>
      </c>
      <c r="E33" s="130">
        <f>E31-E32</f>
        <v/>
      </c>
      <c r="F33" s="130">
        <f>F31-F32</f>
        <v/>
      </c>
      <c r="G33" s="130">
        <f>G31-G32</f>
        <v/>
      </c>
      <c r="H33" s="188" t="inlineStr">
        <is>
          <t>LULU FY2025 10-K: working-capital components</t>
        </is>
      </c>
    </row>
    <row r="34">
      <c r="A34" s="68" t="inlineStr">
        <is>
          <t>Delta NWC (prior yr - current yr)</t>
        </is>
      </c>
      <c r="B34" s="176" t="n"/>
      <c r="C34" s="130">
        <f>B33-C33</f>
        <v/>
      </c>
      <c r="D34" s="130">
        <f>C33-D33</f>
        <v/>
      </c>
      <c r="E34" s="130">
        <f>D33-E33</f>
        <v/>
      </c>
      <c r="F34" s="130">
        <f>E33-F33</f>
        <v/>
      </c>
      <c r="G34" s="130">
        <f>F33-G33</f>
        <v/>
      </c>
      <c r="H34" s="176" t="n"/>
    </row>
    <row r="35">
      <c r="A35" s="26" t="n"/>
      <c r="B35" s="176" t="n"/>
      <c r="C35" s="176" t="n"/>
      <c r="D35" s="176" t="n"/>
      <c r="E35" s="176" t="n"/>
      <c r="F35" s="176" t="n"/>
      <c r="G35" s="176" t="n"/>
      <c r="H35" s="176" t="n"/>
    </row>
    <row r="36">
      <c r="A36" s="68" t="inlineStr">
        <is>
          <t>Unlevered free cash flow</t>
        </is>
      </c>
      <c r="B36" s="176" t="n"/>
      <c r="C36" s="200">
        <f>C14+C17+C19+C34</f>
        <v/>
      </c>
      <c r="D36" s="200">
        <f>D14+D17+D19+D34</f>
        <v/>
      </c>
      <c r="E36" s="200">
        <f>E14+E17+E19+E34</f>
        <v/>
      </c>
      <c r="F36" s="200">
        <f>F14+F17+F19+F34</f>
        <v/>
      </c>
      <c r="G36" s="200">
        <f>G14+G17+G19+G34</f>
        <v/>
      </c>
      <c r="H36" s="176" t="n"/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  <c r="H37" s="188" t="inlineStr">
        <is>
          <t>Mid-year discount convention (yrs 1–5)</t>
        </is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  <c r="H38" s="176" t="n"/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  <c r="H39" s="176" t="n"/>
    </row>
    <row r="40">
      <c r="A40" s="176" t="n"/>
      <c r="B40" s="176" t="n"/>
      <c r="C40" s="176" t="n"/>
      <c r="D40" s="176" t="n"/>
      <c r="E40" s="176" t="n"/>
      <c r="F40" s="176" t="n"/>
      <c r="G40" s="176" t="n"/>
      <c r="H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201" t="inlineStr">
        <is>
          <t>Terminal value — Gordon growth</t>
        </is>
      </c>
      <c r="B42" s="176" t="n"/>
      <c r="C42" s="176" t="n"/>
      <c r="D42" s="176" t="n"/>
      <c r="E42" s="176" t="n"/>
      <c r="F42" s="176" t="n"/>
      <c r="G42" s="176" t="n"/>
      <c r="H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Terminal value</t>
        </is>
      </c>
      <c r="B46" s="32">
        <f>G36*(1+Scenarios!D10)/(WACC!B36-Scenarios!D10)</f>
        <v/>
      </c>
      <c r="C46" s="176" t="n"/>
      <c r="D46" s="176" t="n"/>
      <c r="E46" s="176" t="n"/>
      <c r="F46" s="176" t="n"/>
      <c r="G46" s="176" t="n"/>
      <c r="H46" s="176" t="n"/>
    </row>
    <row r="47">
      <c r="A47" s="16" t="inlineStr">
        <is>
          <t>Implied exit EV/EBITDA</t>
        </is>
      </c>
      <c r="B47" s="94">
        <f>B46/B45</f>
        <v/>
      </c>
      <c r="C47" s="176" t="n"/>
      <c r="D47" s="176" t="n"/>
      <c r="E47" s="176" t="n"/>
      <c r="F47" s="176" t="n"/>
      <c r="G47" s="176" t="n"/>
      <c r="H47" s="176" t="n"/>
    </row>
    <row r="48">
      <c r="A48" s="16" t="inlineStr">
        <is>
          <t>(UFCF30 / EBITDA30) x (1+g) / (WACC-g)</t>
        </is>
      </c>
      <c r="B48" s="32">
        <f>G36/B45*(1+Scenarios!D10)/(WACC!B36-Scenarios!D10)</f>
        <v/>
      </c>
      <c r="C48" s="176" t="n"/>
      <c r="D48" s="176" t="n"/>
      <c r="E48" s="176" t="n"/>
      <c r="F48" s="176" t="n"/>
      <c r="G48" s="176" t="n"/>
      <c r="H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  <c r="H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  <c r="H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  <c r="H51" s="188" t="inlineStr">
        <is>
          <t>10-K</t>
        </is>
      </c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  <c r="H52" s="188" t="inlineStr">
        <is>
          <t>LULU FY2025 10-K: operating lease liabilities</t>
        </is>
      </c>
    </row>
    <row r="53">
      <c r="A53" s="26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  <c r="H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  <c r="H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  <c r="H56" s="188" t="inlineStr">
        <is>
          <t>10-K</t>
        </is>
      </c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  <c r="H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  <c r="H58" s="188" t="inlineStr">
        <is>
          <t>NASDAQ</t>
        </is>
      </c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  <c r="H59" s="176" t="n"/>
    </row>
    <row r="60">
      <c r="A60" s="16" t="inlineStr">
        <is>
          <t>Terminal value % of EV</t>
        </is>
      </c>
      <c r="B60" s="75">
        <f>B49/B50</f>
        <v/>
      </c>
      <c r="C60" s="176" t="n"/>
      <c r="D60" s="176" t="n"/>
      <c r="E60" s="176" t="n"/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  <c r="H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  <c r="H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</row>
    <row r="66">
      <c r="A66" s="16" t="inlineStr">
        <is>
          <t>Annual repurchase budget ($000) - base case</t>
        </is>
      </c>
      <c r="B66" s="75">
        <f>Scenarios!$D$21</f>
        <v/>
      </c>
      <c r="C66" s="75">
        <f>Scenarios!$D$21</f>
        <v/>
      </c>
      <c r="D66" s="75">
        <f>Scenarios!$D$21</f>
        <v/>
      </c>
      <c r="E66" s="75">
        <f>Scenarios!$D$21</f>
        <v/>
      </c>
      <c r="F66" s="75">
        <f>Scenarios!$D$21</f>
        <v/>
      </c>
      <c r="G66" s="75">
        <f>Scenarios!$D$21</f>
        <v/>
      </c>
      <c r="H66" s="176" t="n"/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  <c r="H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  <c r="H69" s="176" t="n"/>
    </row>
    <row r="70">
      <c r="A70" s="16" t="inlineStr">
        <is>
          <t>Repurchase cash deployed (= fixed budget)</t>
        </is>
      </c>
      <c r="B70" s="75" t="n">
        <v>0</v>
      </c>
      <c r="C70" s="75">
        <f>Scenarios!$D$21</f>
        <v/>
      </c>
      <c r="D70" s="75">
        <f>Scenarios!$D$21</f>
        <v/>
      </c>
      <c r="E70" s="75">
        <f>Scenarios!$D$21</f>
        <v/>
      </c>
      <c r="F70" s="75">
        <f>Scenarios!$D$21</f>
        <v/>
      </c>
      <c r="G70" s="75">
        <f>Scenarios!$D$21</f>
        <v/>
      </c>
      <c r="H70" s="176" t="n"/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  <c r="H71" s="176" t="n"/>
    </row>
    <row r="72">
      <c r="A72" s="176" t="n"/>
      <c r="B72" s="176" t="n"/>
      <c r="C72" s="176" t="n"/>
      <c r="D72" s="176" t="n"/>
      <c r="E72" s="176" t="n"/>
      <c r="F72" s="176" t="n"/>
      <c r="G72" s="176" t="n"/>
      <c r="H72" s="176" t="n"/>
    </row>
    <row r="73">
      <c r="A73" s="16" t="inlineStr">
        <is>
          <t>Projected share price ($)</t>
        </is>
      </c>
      <c r="B73" s="99" t="n">
        <v>100</v>
      </c>
      <c r="C73" s="99">
        <f>Scenarios!$B$198</f>
        <v/>
      </c>
      <c r="D73" s="99">
        <f>Scenarios!$B$199</f>
        <v/>
      </c>
      <c r="E73" s="99">
        <f>Scenarios!$B$200</f>
        <v/>
      </c>
      <c r="F73" s="99">
        <f>Scenarios!$B$201</f>
        <v/>
      </c>
      <c r="G73" s="99">
        <f>Scenarios!$B$202</f>
        <v/>
      </c>
      <c r="H73" s="176" t="n"/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  <c r="H74" s="176" t="n"/>
    </row>
    <row r="75">
      <c r="A75" s="16" t="inlineStr">
        <is>
          <t>Beginning shares (000)</t>
        </is>
      </c>
      <c r="B75" s="187" t="n">
        <v>111380</v>
      </c>
      <c r="C75" s="187">
        <f>Scenarios!$D$197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  <c r="H75" s="176" t="n"/>
    </row>
    <row r="76">
      <c r="A76" s="68" t="inlineStr">
        <is>
          <t>Ending shares (000)</t>
        </is>
      </c>
      <c r="B76" s="197" t="n">
        <v>111380</v>
      </c>
      <c r="C76" s="197">
        <f>Scenarios!$D$183</f>
        <v/>
      </c>
      <c r="D76" s="197">
        <f>Scenarios!$D$184</f>
        <v/>
      </c>
      <c r="E76" s="197">
        <f>Scenarios!$D$185</f>
        <v/>
      </c>
      <c r="F76" s="197">
        <f>Scenarios!$D$186</f>
        <v/>
      </c>
      <c r="G76" s="197">
        <f>Scenarios!$D$187</f>
        <v/>
      </c>
      <c r="H76" s="176" t="n"/>
    </row>
    <row r="77">
      <c r="A77" s="176" t="n"/>
      <c r="B77" s="176" t="n"/>
      <c r="C77" s="176" t="n"/>
      <c r="D77" s="176" t="n"/>
      <c r="E77" s="176" t="n"/>
      <c r="F77" s="176" t="n"/>
      <c r="G77" s="176" t="n"/>
      <c r="H77" s="176" t="n"/>
    </row>
    <row r="78">
      <c r="A78" s="16" t="inlineStr">
        <is>
          <t>Projected net income ($000)</t>
        </is>
      </c>
      <c r="B78" s="75" t="n">
        <v>1579183</v>
      </c>
      <c r="C78" s="75">
        <f>Scenarios!$D$143</f>
        <v/>
      </c>
      <c r="D78" s="75">
        <f>Scenarios!$D$144</f>
        <v/>
      </c>
      <c r="E78" s="75">
        <f>Scenarios!$D$145</f>
        <v/>
      </c>
      <c r="F78" s="75">
        <f>Scenarios!$D$146</f>
        <v/>
      </c>
      <c r="G78" s="75">
        <f>Scenarios!$D$147</f>
        <v/>
      </c>
      <c r="H78" s="176" t="n"/>
    </row>
    <row r="79">
      <c r="A79" s="68" t="inlineStr">
        <is>
          <t>Accretive EPS ($/share) = Net income / ending shares</t>
        </is>
      </c>
      <c r="B79" s="150" t="n">
        <v>14.18</v>
      </c>
      <c r="C79" s="150">
        <f>Scenarios!$D$188</f>
        <v/>
      </c>
      <c r="D79" s="150">
        <f>Scenarios!$D$189</f>
        <v/>
      </c>
      <c r="E79" s="150">
        <f>Scenarios!$D$190</f>
        <v/>
      </c>
      <c r="F79" s="150">
        <f>Scenarios!$D$191</f>
        <v/>
      </c>
      <c r="G79" s="150">
        <f>Scenarios!$D$192</f>
        <v/>
      </c>
      <c r="H79" s="176" t="n"/>
    </row>
    <row r="80">
      <c r="A80" s="176" t="n"/>
      <c r="B80" s="176" t="n"/>
      <c r="C80" s="176" t="n"/>
      <c r="D80" s="176" t="n"/>
      <c r="E80" s="176" t="n"/>
      <c r="F80" s="176" t="n"/>
      <c r="G80" s="176" t="n"/>
      <c r="H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  <c r="H81" s="176" t="n"/>
    </row>
    <row r="82" ht="28" customHeight="1">
      <c r="A82" s="61" t="n"/>
      <c r="B82" s="218" t="n"/>
      <c r="C82" s="176" t="n"/>
      <c r="D82" s="176" t="n"/>
      <c r="E82" s="176" t="n"/>
      <c r="F82" s="176" t="n"/>
      <c r="G82" s="176" t="n"/>
      <c r="H82" s="176" t="n"/>
    </row>
    <row r="83">
      <c r="A83" s="16" t="inlineStr">
        <is>
          <t>Selected exit EV/EBITDA</t>
        </is>
      </c>
      <c r="B83" s="94">
        <f>B47</f>
        <v/>
      </c>
      <c r="C83" s="176" t="n"/>
      <c r="D83" s="176" t="n"/>
      <c r="E83" s="176" t="n"/>
      <c r="F83" s="176" t="n"/>
      <c r="G83" s="176" t="n"/>
      <c r="H83" s="176" t="n"/>
    </row>
    <row r="84">
      <c r="A84" s="16" t="inlineStr">
        <is>
          <t>Terminal value (exit multiple)</t>
        </is>
      </c>
      <c r="B84" s="94">
        <f>B45*B83</f>
        <v/>
      </c>
      <c r="C84" s="176" t="n"/>
      <c r="D84" s="176" t="n"/>
      <c r="E84" s="176" t="n"/>
      <c r="F84" s="176" t="n"/>
      <c r="G84" s="176" t="n"/>
      <c r="H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  <c r="H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  <c r="H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  <c r="H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  <c r="H88" s="176" t="n"/>
    </row>
    <row r="89">
      <c r="A89" s="201" t="inlineStr">
        <is>
          <t>Terminal value check</t>
        </is>
      </c>
      <c r="B89" s="176" t="n"/>
      <c r="C89" s="176" t="n"/>
      <c r="D89" s="176" t="n"/>
      <c r="E89" s="176" t="n"/>
      <c r="F89" s="176" t="n"/>
      <c r="G89" s="176" t="n"/>
      <c r="H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  <c r="H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  <c r="H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  <c r="H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  <c r="H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  <c r="H94" s="176" t="n"/>
    </row>
    <row r="95">
      <c r="A95" s="68" t="inlineStr">
        <is>
          <t>Exit multiple check (±1.5x)</t>
        </is>
      </c>
      <c r="B95" s="219">
        <f>IF(ABS(D92)&lt;=1.5,"PASS","REVIEW")</f>
        <v/>
      </c>
      <c r="C95" s="219">
        <f>TEXT(D92,"0.0")&amp;"x spread vs Gordon-implied exit"</f>
        <v/>
      </c>
      <c r="D95" s="176" t="inlineStr">
        <is>
          <t>Exit multiple = Gordon-implied (FY30 EBITDA)</t>
        </is>
      </c>
      <c r="E95" s="176" t="n"/>
      <c r="F95" s="176" t="n"/>
      <c r="G95" s="176" t="n"/>
      <c r="H95" s="188" t="inlineStr">
        <is>
          <t>Model check: Gordon vs exit-multiple spread</t>
        </is>
      </c>
    </row>
    <row r="96">
      <c r="A96" s="176" t="n"/>
      <c r="B96" s="176" t="n"/>
      <c r="C96" s="176" t="n"/>
      <c r="D96" s="176" t="n"/>
      <c r="E96" s="176" t="n"/>
      <c r="F96" s="176" t="n"/>
      <c r="G96" s="176" t="n"/>
      <c r="H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  <c r="H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  <c r="H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  <c r="H99" s="188" t="inlineStr">
        <is>
          <t>FRED: Real GDP (GDPC1)</t>
        </is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  <c r="H100" s="176" t="n"/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  <c r="H101" s="176" t="n"/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  <c r="H102" s="176" t="n"/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  <c r="H103" s="176" t="n"/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  <c r="H104" s="176" t="n"/>
    </row>
  </sheetData>
  <hyperlinks>
    <hyperlink xmlns:r="http://schemas.openxmlformats.org/officeDocument/2006/relationships" ref="H22" r:id="rId1"/>
    <hyperlink xmlns:r="http://schemas.openxmlformats.org/officeDocument/2006/relationships" ref="H24" r:id="rId2"/>
    <hyperlink xmlns:r="http://schemas.openxmlformats.org/officeDocument/2006/relationships" ref="H26" r:id="rId3"/>
    <hyperlink xmlns:r="http://schemas.openxmlformats.org/officeDocument/2006/relationships" ref="H28" r:id="rId4"/>
    <hyperlink xmlns:r="http://schemas.openxmlformats.org/officeDocument/2006/relationships" ref="H30" r:id="rId5"/>
    <hyperlink xmlns:r="http://schemas.openxmlformats.org/officeDocument/2006/relationships" ref="H33" r:id="rId6"/>
    <hyperlink xmlns:r="http://schemas.openxmlformats.org/officeDocument/2006/relationships" ref="H51" r:id="rId7"/>
    <hyperlink xmlns:r="http://schemas.openxmlformats.org/officeDocument/2006/relationships" ref="H52" r:id="rId8"/>
    <hyperlink xmlns:r="http://schemas.openxmlformats.org/officeDocument/2006/relationships" ref="H56" r:id="rId9"/>
    <hyperlink xmlns:r="http://schemas.openxmlformats.org/officeDocument/2006/relationships" ref="H58" r:id="rId10"/>
    <hyperlink xmlns:r="http://schemas.openxmlformats.org/officeDocument/2006/relationships" ref="H99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H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  <c r="H1" s="176" t="n"/>
    </row>
    <row r="2">
      <c r="A2" s="176" t="n"/>
      <c r="B2" s="176" t="n"/>
      <c r="C2" s="176" t="n"/>
      <c r="D2" s="176" t="n"/>
      <c r="E2" s="176" t="n"/>
      <c r="F2" s="176" t="n"/>
      <c r="G2" s="176" t="n"/>
      <c r="H2" s="224" t="inlineStr">
        <is>
          <t>Source</t>
        </is>
      </c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  <c r="H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  <c r="H4" s="188" t="inlineStr">
        <is>
          <t>10-K</t>
        </is>
      </c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  <c r="H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  <c r="H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  <c r="H7" s="188" t="inlineStr">
        <is>
          <t>Release</t>
        </is>
      </c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  <c r="H8" s="188" t="inlineStr">
        <is>
          <t>10-K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  <c r="H9" s="188" t="inlineStr">
        <is>
          <t>10-K</t>
        </is>
      </c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  <c r="H10" s="188" t="inlineStr">
        <is>
          <t>NASDAQ</t>
        </is>
      </c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  <c r="H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  <c r="H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  <c r="H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  <c r="H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  <c r="H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  <c r="H18" s="176" t="n"/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  <c r="H19" s="188" t="inlineStr">
        <is>
          <t>Yahoo Finance: LULU statistics</t>
        </is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  <c r="H20" s="188" t="inlineStr">
        <is>
          <t>Yahoo Finance: UAA statistics</t>
        </is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  <c r="H21" s="188" t="inlineStr">
        <is>
          <t>Yahoo Finance: ADS.DE statistics</t>
        </is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  <c r="H22" s="188" t="inlineStr">
        <is>
          <t>Yahoo Finance: NKE statistics</t>
        </is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  <c r="H23" s="188" t="inlineStr">
        <is>
          <t>Yahoo Finance: DECK statistics</t>
        </is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  <c r="H24" s="188" t="inlineStr">
        <is>
          <t>Yahoo Finance: WSM statistics</t>
        </is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  <c r="H25" s="188" t="inlineStr">
        <is>
          <t>Yahoo Finance: CROX statistics</t>
        </is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  <c r="H26" s="188" t="inlineStr">
        <is>
          <t>Yahoo Finance: MOV statistics</t>
        </is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  <c r="H27" s="188" t="inlineStr">
        <is>
          <t>Yahoo Finance: LEVI statistics</t>
        </is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  <c r="H28" s="188" t="inlineStr">
        <is>
          <t>Yahoo Finance: LZB statistics</t>
        </is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  <c r="H29" s="188" t="inlineStr">
        <is>
          <t>Yahoo Finance: KTB statistics</t>
        </is>
      </c>
    </row>
    <row r="30">
      <c r="A30" s="176" t="n"/>
      <c r="B30" s="176" t="n"/>
      <c r="C30" s="176" t="n"/>
      <c r="D30" s="176" t="n"/>
      <c r="E30" s="176" t="n"/>
      <c r="F30" s="176" t="n"/>
      <c r="G30" s="176" t="n"/>
      <c r="H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  <c r="H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  <c r="H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  <c r="H33" s="188" t="inlineStr">
        <is>
          <t>Reuters: Alo parent $10bn Moelis ask Also: Reuters: Alo 2023 process; no deal</t>
        </is>
      </c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  <c r="H34" s="188" t="inlineStr">
        <is>
          <t>Forbes: Color Image nearly $2bn sales</t>
        </is>
      </c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  <c r="H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  <c r="H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  <c r="H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  <c r="H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  <c r="H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Gordon-implied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Spread vs Gordon-implied</t>
        </is>
      </c>
      <c r="B46" s="94">
        <f>B45-B44</f>
        <v/>
      </c>
      <c r="C46" s="176" t="n"/>
      <c r="D46" s="176" t="n"/>
      <c r="E46" s="176" t="n"/>
      <c r="F46" s="176" t="n"/>
      <c r="G46" s="176" t="n"/>
      <c r="H46" s="176" t="n"/>
    </row>
    <row r="47">
      <c r="A47" s="68" t="inlineStr">
        <is>
          <t>Selected exit multiple</t>
        </is>
      </c>
      <c r="B47" s="176" t="n"/>
      <c r="C47" s="176" t="n"/>
      <c r="D47" s="176" t="n"/>
      <c r="E47" s="176" t="n"/>
      <c r="F47" s="176" t="n"/>
      <c r="G47" s="176" t="n"/>
      <c r="H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  <c r="H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  <c r="H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  <c r="H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  <c r="H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  <c r="H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  <c r="H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  <c r="H56" s="188" t="inlineStr">
        <is>
          <t>Source</t>
        </is>
      </c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  <c r="H57" s="188" t="inlineStr">
        <is>
          <t>Lo: StockAnalysis: LULU EV/EBITDA Hi: StockAnalysis: DECK EV/EBITDA</t>
        </is>
      </c>
    </row>
    <row r="58" ht="28" customHeight="1">
      <c r="A58" s="68" t="inlineStr">
        <is>
          <t>DCF exit method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  <c r="H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  <c r="H59" s="188" t="inlineStr">
        <is>
          <t>Lo: StockAnalysis: LULU Forward P/E Hi: StockAnalysis: NKE Forward P/E</t>
        </is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  <c r="H62" s="188" t="inlineStr">
        <is>
          <t>NASDAQ</t>
        </is>
      </c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</row>
  </sheetData>
  <hyperlinks>
    <hyperlink xmlns:r="http://schemas.openxmlformats.org/officeDocument/2006/relationships" ref="H4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9" r:id="rId4"/>
    <hyperlink xmlns:r="http://schemas.openxmlformats.org/officeDocument/2006/relationships" ref="H10" r:id="rId5"/>
    <hyperlink xmlns:r="http://schemas.openxmlformats.org/officeDocument/2006/relationships" ref="H19" r:id="rId6"/>
    <hyperlink xmlns:r="http://schemas.openxmlformats.org/officeDocument/2006/relationships" ref="H20" r:id="rId7"/>
    <hyperlink xmlns:r="http://schemas.openxmlformats.org/officeDocument/2006/relationships" ref="H21" r:id="rId8"/>
    <hyperlink xmlns:r="http://schemas.openxmlformats.org/officeDocument/2006/relationships" ref="H22" r:id="rId9"/>
    <hyperlink xmlns:r="http://schemas.openxmlformats.org/officeDocument/2006/relationships" ref="H23" r:id="rId10"/>
    <hyperlink xmlns:r="http://schemas.openxmlformats.org/officeDocument/2006/relationships" ref="H24" r:id="rId11"/>
    <hyperlink xmlns:r="http://schemas.openxmlformats.org/officeDocument/2006/relationships" ref="H25" r:id="rId12"/>
    <hyperlink xmlns:r="http://schemas.openxmlformats.org/officeDocument/2006/relationships" ref="H26" r:id="rId13"/>
    <hyperlink xmlns:r="http://schemas.openxmlformats.org/officeDocument/2006/relationships" ref="H27" r:id="rId14"/>
    <hyperlink xmlns:r="http://schemas.openxmlformats.org/officeDocument/2006/relationships" ref="H28" r:id="rId15"/>
    <hyperlink xmlns:r="http://schemas.openxmlformats.org/officeDocument/2006/relationships" ref="H29" r:id="rId16"/>
    <hyperlink xmlns:r="http://schemas.openxmlformats.org/officeDocument/2006/relationships" ref="H33" r:id="rId17"/>
    <hyperlink xmlns:r="http://schemas.openxmlformats.org/officeDocument/2006/relationships" ref="H34" r:id="rId18"/>
    <hyperlink xmlns:r="http://schemas.openxmlformats.org/officeDocument/2006/relationships" ref="H57" r:id="rId19"/>
    <hyperlink xmlns:r="http://schemas.openxmlformats.org/officeDocument/2006/relationships" ref="H59" r:id="rId20"/>
    <hyperlink xmlns:r="http://schemas.openxmlformats.org/officeDocument/2006/relationships" ref="H62" r:id="rId21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2026-09-10T05:55:54Z</dcterms:modified>
  <cp:lastModifiedBy>Microsoft Excel</cp:lastModifiedBy>
  <cp:revision>1</cp:revision>
</cp:coreProperties>
</file>
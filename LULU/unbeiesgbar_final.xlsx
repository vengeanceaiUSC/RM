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4.8% risk-free = FRED DGS10 on 2026-09-03 (4.77%).
Source: FRED: 10Y Treasury (DGS10)
https://fred.stlouisfed.org/series/DGS10</t>
      </text>
    </comment>
    <comment ref="B4" authorId="0" shapeId="0">
      <text>
        <t>6.0% ERP is a conservative overlay vs Damodaran.
Source: Damodaran: Historical Implied ERP
https://www.stern.nyu.edu/~adamodar/New_Home_Page/datafile/histimpl.html</t>
      </text>
    </comment>
    <comment ref="B5" authorId="0" shapeId="0">
      <text>
        <t>30% cash tax matches FY2026 guidance (“approximately 30%”)..
Source: Q2 FY2026 outlook: tax rate ≈ 30%
https://corporate.lululemon.com/newsroom/press-releases/2026/09-03-2026-210528733</t>
      </text>
    </comment>
    <comment ref="B8" authorId="0" shapeId="0">
      <text>
        <t>$100 share price ≈ NASDAQ Last Sale after.
Source: NASDAQ LULU last sale (current price)
https://www.nasdaq.com/market-activity/stocks/lulu</t>
      </text>
    </comment>
    <comment ref="B9" authorId="0" shapeId="0">
      <text>
        <t>111,380k class A shares outstanding at FY25 year-end.
Source: LULU FY2025 10-K: shares outstanding
https://www.sec.gov/Archives/edgar/data/1397187/000139718726000020/lulu-20260201.htm</t>
      </text>
    </comment>
    <comment ref="B10" authorId="0" shapeId="0">
      <text>
        <t>Market equity = share price × shares outstanding..
Source: WACC tab: price × shares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Total Debt/Equity (mrq) = 44.69% is book.
Source: Yahoo Finance: Total Debt/Equity (mrq)
https://finance.yahoo.com/quote/LULU/key-statistics/</t>
      </text>
    </comment>
    <comment ref="B21" authorId="0" shapeId="0">
      <text>
        <t>Hamada unlever beta using Yahoo market D/E and tax rate.
Source: WACC tab: Hamada unlever (Yahoo market D/E)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30" authorId="0" shapeId="0">
      <text>
        <t>Lease-equivalent kd
Source: LULU FY2025 10-K: lease liabilities &amp; no funded debt
https://www.sec.gov/Archives/edgar/data/1397187/000139718726000020/lulu-20260201.htm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Equity weight = market cap ÷ (market cap.
Source: WACC tab: capital structure</t>
      </text>
    </comment>
    <comment ref="B35" authorId="0" shapeId="0">
      <text>
        <t>Debt weight = lease liabilities ÷ (market cap.
Source: LULU FY2025 10-K: operating lease liabilities
https://www.sec.gov/Archives/edgar/data/1397187/000139718726000020/lulu-20260201.htm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rev guide
Source: LULU Q2 FY2026 earnings release
https://corporate.lululemon.com/newsroom/press-releases/2026/09-03-2026-210528733</t>
      </text>
    </comment>
    <comment ref="B5" authorId="0" shapeId="0">
      <text>
        <t>2.3% FY27–30 growth matches StockAnalysis Revenue Growth Forecast.
Source: StockAnalysis: LULU 3Y revenue forecast
https://stockanalysis.com/stocks/lulu/statistics/</t>
      </text>
    </comment>
    <comment ref="B6" authorId="0" shapeId="0">
      <text>
        <t>Q2 FY26 run-rate OM
Source: Q2 FY2026 release: 18.8% OM minus 560bps tariffs
https://corporate.lululemon.com/newsroom/press-releases/2026/09-03-2026-210528733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OM recovery
Source: FY2025 10-K: Operating margin 19.9% (one hit)
https://www.sec.gov/Archives/edgar/data/1397187/000139718726000020/lulu-20260201.htm</t>
      </text>
    </comment>
    <comment ref="B9" authorId="0" shapeId="0">
      <text>
        <t>Links to WACC tab
Source: WACC tab: CAPM build</t>
      </text>
    </comment>
    <comment ref="B10" authorId="0" shapeId="0">
      <text>
        <t>FRED GDPC1 ~2.1%
Source: FRED: Real GDP (GDPC1)
https://fred.stlouisfed.org/series/GDPC1</t>
      </text>
    </comment>
    <comment ref="B11" authorId="0" shapeId="0">
      <text>
        <t>Q2 FY26 guide ~30%
Source: Q2 FY2026 outlook: tax rate ≈ 30%
https://corporate.lululemon.com/newsroom/press-releases/2026/09-03-2026-210528733</t>
      </text>
    </comment>
    <comment ref="B12" authorId="0" shapeId="0">
      <text>
        <t>FY25 D&amp;A / sales
Source: LULU CF statement (10-K)
https://www.sec.gov/Archives/edgar/data/1397187/000139718726000020/lulu-20260201.htm</t>
      </text>
    </comment>
    <comment ref="B13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14" authorId="0" shapeId="0">
      <text>
        <t>Flat vs FY25
Source: LULU FY2025 10-K: Gross profit &amp; COGS
https://www.sec.gov/Archives/edgar/data/1397187/000139718726000020/lulu-20260201.htm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7" authorId="0" shapeId="0">
      <text>
        <t>−1 day / yr
Source: LULU FY2025 10-K: inventory &amp; markdown outlook
https://www.sec.gov/Archives/edgar/data/1397187/000139718726000020/lulu-20260201.htm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prepaids % rev
Source: LULU FY2025 10-K: other current assets (residual)
https://www.sec.gov/Archives/edgar/data/1397187/000139718726000020/lulu-20260201.htm</t>
      </text>
    </comment>
    <comment ref="B20" authorId="0" shapeId="0">
      <text>
        <t>FY25 accrued % rev
Source: LULU FY2025 10-K: Accrued liabilities and other
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Not % of consolidated revenue; EBIT as %.
Source: FY2025 10-K: company-operated stores net revenue
https://www.sec.gov/Archives/edgar/data/1397187/000139718726000020/lulu-20260201.htm</t>
      </text>
    </comment>
    <comment ref="B10" authorId="0" shapeId="0">
      <text>
        <t>Not % of consolidated revenue; EBIT as %.
Source: FY2025 10-K: e-commerce net revenue
https://www.sec.gov/Archives/edgar/data/1397187/000139718726000020/lulu-20260201.htm</t>
      </text>
    </comment>
    <comment ref="B11" authorId="0" shapeId="0">
      <text>
        <t>Not % of consolidated revenue; EBIT as %.
Source: FY2025 10-K: other channels (residual)
https://www.sec.gov/Archives/edgar/data/1397187/000139718726000020/lulu-20260201.htm</t>
      </text>
    </comment>
    <comment ref="B12" authorId="0" shapeId="0">
      <text>
        <t>30% statutory marginal rate. t_operating transitions here over.
Source: Q2 FY2026 outlook: tax rate ≈ 30%
https://corporate.lululemon.com/newsroom/press-releases/2026/09-03-2026-210528733</t>
      </text>
    </comment>
    <comment ref="B13" authorId="0" shapeId="0">
      <text>
        <t>Not % of revenue; amortization period (years) if.
Source: NOPAT Bridge: capitalization convention</t>
      </text>
    </comment>
    <comment ref="B16" authorId="0" shapeId="0">
      <text>
        <t>FY25: reported operating income from 10-K. Forecast: Scenarios.
Source: LULU FY2025 10-K: Income from operations
https://www.sec.gov/Archives/edgar/data/1397187/000139718726000020/lulu-20260201.htm</t>
      </text>
    </comment>
    <comment ref="B17" authorId="0" shapeId="0">
      <text>
        <t>Add back intangible amortization / impairments. FY25 =.
Source: LULU FY2025 10-K: amortization of intangible assets
https://www.sec.gov/Archives/edgar/data/1397187/000139718726000020/lulu-20260201.htm</t>
      </text>
    </comment>
    <comment ref="B18" authorId="0" shapeId="0">
      <text>
        <t>Add back restructuring (severance, store closures). LULU FY25:.
Source: LULU FY2025 10-K: restructuring charges
https://www.sec.gov/Archives/edgar/data/1397187/000139718726000020/lulu-20260201.htm</t>
      </text>
    </comment>
    <comment ref="B19" authorId="0" shapeId="0">
      <text>
        <t>Strip one-off legal / M&amp;A advisory fees. LULU.
Source: LULU FY2025 10-K: SG&amp;A one-offs
https://www.sec.gov/Archives/edgar/data/1397187/000139718726000020/lulu-20260201.htm</t>
      </text>
    </comment>
    <comment ref="B20" authorId="0" shapeId="0">
      <text>
        <t>Not % of revenue; SBC add-back flag. Set.
Source: LULU CF statement (10-K): stock-based compensation
https://www.sec.gov/Archives/edgar/data/1397187/000139718726000020/lulu-20260201.htm</t>
      </text>
    </comment>
    <comment ref="B21" authorId="0" shapeId="0">
      <text>
        <t>Reported EBIT plus all listed non-recurring add-backs above.
Source: NOPAT Bridge tab: Phase 1 subtotal</t>
      </text>
    </comment>
    <comment ref="B23" authorId="0" shapeId="0">
      <text>
        <t>Not % of revenue; implied lease interest ($1,028k.
Source: LULU FY2025 10-K: interest on lease liabilities (supplemental)
https://www.sec.gov/Archives/edgar/data/1397187/000139718726000020/lulu-20260201.htm</t>
      </text>
    </comment>
    <comment ref="B24" authorId="0" shapeId="0">
      <text>
        <t>Capitalize multi-year software/R&amp;D. LULU: immaterial separate R&amp;D line;.
Source: LULU FY2025 10-K: R&amp;D / software expense
https://www.sec.gov/Archives/edgar/data/1397187/000139718726000020/lulu-20260201.htm</t>
      </text>
    </comment>
    <comment ref="B25" authorId="0" shapeId="0">
      <text>
        <t>Amortization of prior capitalized intangibles. LULU: flows through.
Source: LULU FY2025 10-K: intangible amortization
https://www.sec.gov/Archives/edgar/data/1397187/000139718726000020/lulu-20260201.htm</t>
      </text>
    </comment>
    <comment ref="B26" authorId="0" shapeId="0">
      <text>
        <t>Reported EBIT plus lease interest and R&amp;D adjustments.
Source: NOPAT Bridge tab: Phase 2 subtotal</t>
      </text>
    </comment>
    <comment ref="B28" authorId="0" shapeId="0">
      <text>
        <t>Not % of revenue; store-channel revenue from Revenue.
Source: Revenue Drivers tab: store-channel revenue</t>
      </text>
    </comment>
    <comment ref="B29" authorId="0" shapeId="0">
      <text>
        <t>Not % of revenue; e-commerce revenue from Revenue.
Source: Revenue Drivers tab: e-commerce revenue</t>
      </text>
    </comment>
    <comment ref="B30" authorId="0" shapeId="0">
      <text>
        <t>Not % of revenue; wholesale/license/outlet revenue from Revenue.
Source: Revenue Drivers tab: other channels revenue</t>
      </text>
    </comment>
    <comment ref="B31" authorId="0" shapeId="0">
      <text>
        <t>Not % of consolidated revenue; store EBIT ÷.
Source: FY2025 10-K: company-operated stores net revenue
https://www.sec.gov/Archives/edgar/data/1397187/000139718726000020/lulu-20260201.htm</t>
      </text>
    </comment>
    <comment ref="B32" authorId="0" shapeId="0">
      <text>
        <t>Not % of consolidated revenue; e-commerce EBIT ÷.
Source: FY2025 10-K: e-commerce net revenue
https://www.sec.gov/Archives/edgar/data/1397187/000139718726000020/lulu-20260201.htm</t>
      </text>
    </comment>
    <comment ref="B33" authorId="0" shapeId="0">
      <text>
        <t>Not % of consolidated revenue; other-channel EBIT ÷.
Source: FY2025 10-K: other channels (residual)
https://www.sec.gov/Archives/edgar/data/1397187/000139718726000020/lulu-20260201.htm</t>
      </text>
    </comment>
    <comment ref="B34" authorId="0" shapeId="0">
      <text>
        <t>Sum of store, e-comm, and other channel EBIT lines.
Source: NOPAT Bridge tab: sector EBIT subtotal</t>
      </text>
    </comment>
    <comment ref="B35" authorId="0" shapeId="0">
      <text>
        <t>Channel-mix EBIT output line before tax normalization step.
Source: NOPAT Bridge tab: Phase 3 subtotal</t>
      </text>
    </comment>
    <comment ref="B36" authorId="0" shapeId="0">
      <text>
        <t>FY25: Phases 1–2 walk-through (SBC not added back;.
Source: Scenarios tab: base-case EBIT (forecast)</t>
      </text>
    </comment>
    <comment ref="B39" authorId="0" shapeId="0">
      <text>
        <t>Operating effective tax rate: (tax + interest shield).
Source: LULU FY2025 10-K: income tax &amp; interest expense
https://www.sec.gov/Archives/edgar/data/1397187/000139718726000020/lulu-20260201.htm</t>
      </text>
    </comment>
    <comment ref="B40" authorId="0" shapeId="0">
      <text>
        <t>Normalized EBIT × t_operating.
Source: NOPAT Bridge tab: unlevered tax expense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Justification
Source: Source</t>
      </text>
    </comment>
    <comment ref="B19" authorId="0" shapeId="0">
      <text>
        <t>PitchBook Comps Set 04-Sep-2026. Multiple = daily EV.
Source: PitchBook Comps Set 04-Sep-2026</t>
      </text>
    </comment>
    <comment ref="B20" authorId="0" shapeId="0">
      <text>
        <t>PitchBook Comps Set 04-Sep-2026. Multiple = daily EV.
Source: PitchBook Comps Set 04-Sep-2026</t>
      </text>
    </comment>
    <comment ref="B21" authorId="0" shapeId="0">
      <text>
        <t>PitchBook Comps Set 04-Sep-2026. Multiple = daily EV.
Source: PitchBook Comps Set 04-Sep-2026</t>
      </text>
    </comment>
    <comment ref="B22" authorId="0" shapeId="0">
      <text>
        <t>PitchBook Comps Set 04-Sep-2026. Multiple = daily EV.
Source: PitchBook Comps Set 04-Sep-2026</t>
      </text>
    </comment>
    <comment ref="B23" authorId="0" shapeId="0">
      <text>
        <t>PitchBook Comps Set 04-Sep-2026. Multiple = daily EV.
Source: PitchBook Comps Set 04-Sep-2026</t>
      </text>
    </comment>
    <comment ref="B24" authorId="0" shapeId="0">
      <text>
        <t>PitchBook Comps Set 04-Sep-2026. Multiple = daily EV.
Source: PitchBook Comps Set 04-Sep-2026</t>
      </text>
    </comment>
    <comment ref="B25" authorId="0" shapeId="0">
      <text>
        <t>PitchBook Comps Set 04-Sep-2026. Multiple = daily EV.
Source: PitchBook Comps Set 04-Sep-2026</t>
      </text>
    </comment>
    <comment ref="B26" authorId="0" shapeId="0">
      <text>
        <t>PitchBook Comps Set 04-Sep-2026. Multiple = daily EV.
Source: PitchBook Comps Set 04-Sep-2026</t>
      </text>
    </comment>
    <comment ref="B27" authorId="0" shapeId="0">
      <text>
        <t>PitchBook Comps Set 04-Sep-2026. Multiple = daily EV.
Source: PitchBook Comps Set 04-Sep-2026</t>
      </text>
    </comment>
    <comment ref="B28" authorId="0" shapeId="0">
      <text>
        <t>PitchBook Comps Set 04-Sep-2026. Multiple = daily EV.
Source: PitchBook Comps Set 04-Sep-2026</t>
      </text>
    </comment>
    <comment ref="B29" authorId="0" shapeId="0">
      <text>
        <t>PitchBook Comps Set 04-Sep-2026. Multiple = daily EV.
Source: PitchBook Comps Set 04-Sep-2026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set, UAA out. Current tape —.
Source: Derived: Excel AVERAGE of the seven core prints</t>
      </text>
    </comment>
    <comment ref="B40" authorId="0" shapeId="0">
      <text>
        <t>Wider PitchBook tape. WSM/MOV/LZB are adjacent retail, not.
Source: Derived: Excel AVERAGE of every positive-EBITDA row</t>
      </text>
    </comment>
    <comment ref="B56" authorId="0" shapeId="0">
      <text>
        <t>Justification
Source: Source</t>
      </text>
    </comment>
    <comment ref="B57" authorId="0" shapeId="0">
      <text>
        <t>Lo: 5.0x on FY2030E EBITDA ≈ LULU current.
Source: Lo: StockAnalysis: LULU EV/EBITDA Hi: StockAnalysis: DECK EV/EBITDA
https://stockanalysis.com/stocks/lulu/statistics/</t>
      </text>
    </comment>
    <comment ref="B58" authorId="0" shapeId="0">
      <text>
        <t>Selected exit is Gordon TV / FY30 EBITDA..
Source: DCF: Gordon implied exit (TV / FY30 EBITDA)</t>
      </text>
    </comment>
    <comment ref="B59" authorId="0" shapeId="0">
      <text>
        <t>Lo: 10x P/E low on FY2026E EPS; trough.
Source: Lo: StockAnalysis: LULU Forward P/E Hi: StockAnalysis: NKE Forward P/E
https://stockanalysis.com/stocks/lulu/statistics/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186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187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187" t="n">
        <v>2140000</v>
      </c>
    </row>
    <row r="18" ht="28" customHeight="1">
      <c r="A18" s="16" t="inlineStr">
        <is>
          <t>Market Capitalization</t>
        </is>
      </c>
      <c r="B18" s="187" t="n">
        <v>11140000</v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187" t="n">
        <v>134500</v>
      </c>
      <c r="D7" s="187" t="n">
        <v>134500</v>
      </c>
      <c r="E7" s="187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 t="n">
        <v>0.045</v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 t="n">
        <v>0.5659999999999999</v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187" t="n">
        <v>500000</v>
      </c>
      <c r="D21" s="187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11102600*(1+C4)</f>
        <v/>
      </c>
      <c r="D25" s="75">
        <f>11102600*(1+D4)</f>
        <v/>
      </c>
      <c r="E25" s="75">
        <f>11102600*(1+E4)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28">
        <f>C15</f>
        <v/>
      </c>
      <c r="D65" s="28">
        <f>D15</f>
        <v/>
      </c>
      <c r="E65" s="28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28">
        <f>C15</f>
        <v/>
      </c>
      <c r="D66" s="28">
        <f>D15</f>
        <v/>
      </c>
      <c r="E66" s="28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28">
        <f>C15</f>
        <v/>
      </c>
      <c r="D67" s="28">
        <f>D15</f>
        <v/>
      </c>
      <c r="E67" s="28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28">
        <f>C15</f>
        <v/>
      </c>
      <c r="D68" s="28">
        <f>D15</f>
        <v/>
      </c>
      <c r="E68" s="28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28">
        <f>C15</f>
        <v/>
      </c>
      <c r="D69" s="28">
        <f>D15</f>
        <v/>
      </c>
      <c r="E69" s="28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28">
        <f>C16-C17*1</f>
        <v/>
      </c>
      <c r="D75" s="28">
        <f>D16-D17*1</f>
        <v/>
      </c>
      <c r="E75" s="28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28">
        <f>C16-C17*2</f>
        <v/>
      </c>
      <c r="D76" s="28">
        <f>D16-D17*2</f>
        <v/>
      </c>
      <c r="E76" s="28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28">
        <f>C16-C17*3</f>
        <v/>
      </c>
      <c r="D77" s="28">
        <f>D16-D17*3</f>
        <v/>
      </c>
      <c r="E77" s="28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28">
        <f>C16-C17*4</f>
        <v/>
      </c>
      <c r="D78" s="28">
        <f>D16-D17*4</f>
        <v/>
      </c>
      <c r="E78" s="28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28">
        <f>C16-C17*5</f>
        <v/>
      </c>
      <c r="D79" s="28">
        <f>D16-D17*5</f>
        <v/>
      </c>
      <c r="E79" s="28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28">
        <f>C18</f>
        <v/>
      </c>
      <c r="D85" s="28">
        <f>D18</f>
        <v/>
      </c>
      <c r="E85" s="28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28">
        <f>C18</f>
        <v/>
      </c>
      <c r="D86" s="28">
        <f>D18</f>
        <v/>
      </c>
      <c r="E86" s="28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28">
        <f>C18</f>
        <v/>
      </c>
      <c r="D87" s="28">
        <f>D18</f>
        <v/>
      </c>
      <c r="E87" s="28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28">
        <f>C18</f>
        <v/>
      </c>
      <c r="D88" s="28">
        <f>D18</f>
        <v/>
      </c>
      <c r="E88" s="28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28">
        <f>C18</f>
        <v/>
      </c>
      <c r="D89" s="28">
        <f>D18</f>
        <v/>
      </c>
      <c r="E89" s="28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130">
        <f>NPV(C9,C125,C126,C127,C128,C129)+(C129*(1+C10)/(C9-C10))/(1+C9)^5</f>
        <v/>
      </c>
      <c r="D131" s="130">
        <f>NPV(D9,D125,D126,D127,D128,D129)+(D129*(1+D10)/(D9-D10))/(1+D9)^5</f>
        <v/>
      </c>
      <c r="E131" s="130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Pitch deck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8456743*C25/11102600</f>
        <v/>
      </c>
      <c r="D168" s="75">
        <f>8456743*D25/11102600</f>
        <v/>
      </c>
      <c r="E168" s="75">
        <f>8456743*E25/11102600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8456743*C26/11102600</f>
        <v/>
      </c>
      <c r="D169" s="75">
        <f>8456743*D26/11102600</f>
        <v/>
      </c>
      <c r="E169" s="75">
        <f>8456743*E26/11102600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8456743*C27/11102600</f>
        <v/>
      </c>
      <c r="D170" s="75">
        <f>8456743*D27/11102600</f>
        <v/>
      </c>
      <c r="E170" s="75">
        <f>8456743*E27/11102600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8456743*C28/11102600</f>
        <v/>
      </c>
      <c r="D171" s="75">
        <f>8456743*D28/11102600</f>
        <v/>
      </c>
      <c r="E171" s="75">
        <f>8456743*E28/11102600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8456743*C29/11102600</f>
        <v/>
      </c>
      <c r="D172" s="75">
        <f>8456743*D29/11102600</f>
        <v/>
      </c>
      <c r="E172" s="75">
        <f>8456743*E29/11102600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3494903*C25/11102600</f>
        <v/>
      </c>
      <c r="D173" s="75">
        <f>3494903*D25/11102600</f>
        <v/>
      </c>
      <c r="E173" s="75">
        <f>3494903*E25/11102600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3494903*C26/11102600</f>
        <v/>
      </c>
      <c r="D174" s="75">
        <f>3494903*D26/11102600</f>
        <v/>
      </c>
      <c r="E174" s="75">
        <f>3494903*E26/11102600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3494903*C27/11102600</f>
        <v/>
      </c>
      <c r="D175" s="75">
        <f>3494903*D27/11102600</f>
        <v/>
      </c>
      <c r="E175" s="75">
        <f>3494903*E27/11102600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3494903*C28/11102600</f>
        <v/>
      </c>
      <c r="D176" s="75">
        <f>3494903*D28/11102600</f>
        <v/>
      </c>
      <c r="E176" s="75">
        <f>3494903*E28/11102600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3494903*C29/11102600</f>
        <v/>
      </c>
      <c r="D177" s="75">
        <f>3494903*D29/11102600</f>
        <v/>
      </c>
      <c r="E177" s="75">
        <f>3494903*E29/11102600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4961840*C25/11102600</f>
        <v/>
      </c>
      <c r="D178" s="75">
        <f>4961840*D25/11102600</f>
        <v/>
      </c>
      <c r="E178" s="75">
        <f>4961840*E25/11102600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4961840*C26/11102600</f>
        <v/>
      </c>
      <c r="D179" s="75">
        <f>4961840*D26/11102600</f>
        <v/>
      </c>
      <c r="E179" s="75">
        <f>4961840*E26/11102600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4961840*C27/11102600</f>
        <v/>
      </c>
      <c r="D180" s="75">
        <f>4961840*D27/11102600</f>
        <v/>
      </c>
      <c r="E180" s="75">
        <f>4961840*E27/11102600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4961840*C28/11102600</f>
        <v/>
      </c>
      <c r="D181" s="75">
        <f>4961840*D28/11102600</f>
        <v/>
      </c>
      <c r="E181" s="75">
        <f>4961840*E28/11102600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4961840*C29/11102600</f>
        <v/>
      </c>
      <c r="D182" s="75">
        <f>4961840*D29/11102600</f>
        <v/>
      </c>
      <c r="E182" s="75">
        <f>4961840*E29/11102600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75">
        <f>119068-C21/100</f>
        <v/>
      </c>
      <c r="D183" s="75">
        <f>119068-D21/100</f>
        <v/>
      </c>
      <c r="E183" s="75">
        <f>119068-ROUND(E22*E153,0)/100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75">
        <f>C183-C21/108</f>
        <v/>
      </c>
      <c r="D184" s="75">
        <f>D183-D21/108</f>
        <v/>
      </c>
      <c r="E184" s="75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75">
        <f>C184-C21/115</f>
        <v/>
      </c>
      <c r="D185" s="75">
        <f>D184-D21/115</f>
        <v/>
      </c>
      <c r="E185" s="75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75">
        <f>C185-C21/122</f>
        <v/>
      </c>
      <c r="D186" s="75">
        <f>D185-D21/122</f>
        <v/>
      </c>
      <c r="E186" s="75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75">
        <f>C186-C21/130</f>
        <v/>
      </c>
      <c r="D187" s="75">
        <f>D186-D21/130</f>
        <v/>
      </c>
      <c r="E187" s="75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90" t="n">
        <v>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187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187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ht="28" customHeight="1">
      <c r="A21" s="68" t="inlineStr">
        <is>
          <t>Adjusted EBIT</t>
        </is>
      </c>
      <c r="B21" s="176" t="n"/>
      <c r="C21" s="130">
        <f>C16+C17+C18+C19+C20</f>
        <v/>
      </c>
      <c r="D21" s="130">
        <f>D16+D17+D18+D19+D20</f>
        <v/>
      </c>
      <c r="E21" s="130">
        <f>E16+E17+E18+E19+E20</f>
        <v/>
      </c>
      <c r="F21" s="130">
        <f>F16+F17+F18+F19+F20</f>
        <v/>
      </c>
      <c r="G21" s="130">
        <f>G16+G17+G18+G19+G20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187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187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187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Drivers'!C31</f>
        <v/>
      </c>
      <c r="G28" s="75">
        <f>'Revenue Drivers'!D31</f>
        <v/>
      </c>
    </row>
    <row r="29" ht="28" customHeight="1">
      <c r="A29" s="16" t="inlineStr">
        <is>
          <t>E-commerce revenue</t>
        </is>
      </c>
      <c r="B29" s="187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Drivers'!C41</f>
        <v/>
      </c>
      <c r="G29" s="75">
        <f>'Revenue Drivers'!D41</f>
        <v/>
      </c>
    </row>
    <row r="30" ht="28" customHeight="1">
      <c r="A30" s="16" t="inlineStr">
        <is>
          <t>Other channels revenue</t>
        </is>
      </c>
      <c r="B30" s="187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Drivers'!C45</f>
        <v/>
      </c>
      <c r="G30" s="75">
        <f>'Revenue Drivers'!D45</f>
        <v/>
      </c>
    </row>
    <row r="31" ht="15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15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15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97" t="n">
        <v>2203273.345</v>
      </c>
      <c r="C35" s="130">
        <f>C34</f>
        <v/>
      </c>
      <c r="D35" s="130">
        <f>D34</f>
        <v/>
      </c>
      <c r="E35" s="130">
        <f>E34</f>
        <v/>
      </c>
      <c r="F35" s="130">
        <f>F34</f>
        <v/>
      </c>
      <c r="G35" s="130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B40" s="176" t="n"/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>
        <f>Scenarios!$D$4</f>
        <v/>
      </c>
      <c r="D5">
        <f>Scenarios!$D$5</f>
        <v/>
      </c>
      <c r="E5">
        <f>Scenarios!$D$5</f>
        <v/>
      </c>
      <c r="F5">
        <f>Scenarios!$D$5</f>
        <v/>
      </c>
      <c r="G5">
        <f>Scenarios!$D$5</f>
        <v/>
      </c>
    </row>
    <row r="6" ht="15" customHeight="1">
      <c r="A6" s="16" t="inlineStr">
        <is>
          <t>Net revenue</t>
        </is>
      </c>
      <c r="B6" s="187" t="n">
        <v>11102600</v>
      </c>
      <c r="C6" s="75">
        <f>Scenarios!D25</f>
        <v/>
      </c>
      <c r="D6" s="75">
        <f>Scenarios!D26</f>
        <v/>
      </c>
      <c r="E6" s="75">
        <f>Scenarios!D27</f>
        <v/>
      </c>
      <c r="F6" s="75">
        <f>Scenarios!D28</f>
        <v/>
      </c>
      <c r="G6" s="75">
        <f>Scenarios!D29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187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</row>
    <row r="9" ht="15" customHeight="1">
      <c r="A9" s="16" t="inlineStr">
        <is>
          <t>EBIT Margin %</t>
        </is>
      </c>
      <c r="B9" s="176" t="n"/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97" t="n">
        <v>2210615</v>
      </c>
      <c r="C11" s="130">
        <f>Scenarios!D45</f>
        <v/>
      </c>
      <c r="D11" s="130">
        <f>Scenarios!D46</f>
        <v/>
      </c>
      <c r="E11" s="130">
        <f>Scenarios!D47</f>
        <v/>
      </c>
      <c r="F11" s="130">
        <f>Scenarios!D48</f>
        <v/>
      </c>
      <c r="G11" s="130">
        <f>Scenarios!D49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176" t="n"/>
      <c r="C14" s="130">
        <f>Scenarios!D50</f>
        <v/>
      </c>
      <c r="D14" s="130">
        <f>Scenarios!D51</f>
        <v/>
      </c>
      <c r="E14" s="130">
        <f>Scenarios!D52</f>
        <v/>
      </c>
      <c r="F14" s="130">
        <f>Scenarios!D53</f>
        <v/>
      </c>
      <c r="G14" s="130">
        <f>Scenarios!D54</f>
        <v/>
      </c>
    </row>
    <row r="15" ht="28" customHeight="1">
      <c r="A15" t="inlineStr">
        <is>
          <t>FY25 D&amp;A ($000)</t>
        </is>
      </c>
      <c r="B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Scenarios!D55</f>
        <v/>
      </c>
      <c r="D17" s="75">
        <f>Scenarios!D56</f>
        <v/>
      </c>
      <c r="E17" s="75">
        <f>Scenarios!D57</f>
        <v/>
      </c>
      <c r="F17" s="75">
        <f>Scenarios!D58</f>
        <v/>
      </c>
      <c r="G17" s="75">
        <f>Scenarios!D59</f>
        <v/>
      </c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</row>
    <row r="19">
      <c r="A19" s="16" t="inlineStr">
        <is>
          <t>Less: Capex</t>
        </is>
      </c>
      <c r="B19" s="176" t="n"/>
      <c r="C19" s="75">
        <f>Scenarios!D60</f>
        <v/>
      </c>
      <c r="D19" s="75">
        <f>Scenarios!D61</f>
        <v/>
      </c>
      <c r="E19" s="75">
        <f>Scenarios!D62</f>
        <v/>
      </c>
      <c r="F19" s="75">
        <f>Scenarios!D63</f>
        <v/>
      </c>
      <c r="G19" s="75">
        <f>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 t="n">
        <v>6.267883648875038</v>
      </c>
      <c r="C21" s="28">
        <f>Scenarios!D65</f>
        <v/>
      </c>
      <c r="D21" s="28">
        <f>Scenarios!D66</f>
        <v/>
      </c>
      <c r="E21" s="28">
        <f>Scenarios!D67</f>
        <v/>
      </c>
      <c r="F21" s="28">
        <f>Scenarios!D68</f>
        <v/>
      </c>
      <c r="G21" s="28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 t="n">
        <v>128.8324100108167</v>
      </c>
      <c r="C23" s="28">
        <f>Scenarios!D75</f>
        <v/>
      </c>
      <c r="D23" s="28">
        <f>Scenarios!D76</f>
        <v/>
      </c>
      <c r="E23" s="28">
        <f>Scenarios!D77</f>
        <v/>
      </c>
      <c r="F23" s="28">
        <f>Scenarios!D78</f>
        <v/>
      </c>
      <c r="G23" s="28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 t="n">
        <v>25.10521290169407</v>
      </c>
      <c r="C25" s="28">
        <f>Scenarios!D85</f>
        <v/>
      </c>
      <c r="D25" s="28">
        <f>Scenarios!D86</f>
        <v/>
      </c>
      <c r="E25" s="28">
        <f>Scenarios!D87</f>
        <v/>
      </c>
      <c r="F25" s="28">
        <f>Scenarios!D88</f>
        <v/>
      </c>
      <c r="G25" s="28">
        <f>Scenarios!D89</f>
        <v/>
      </c>
    </row>
    <row r="26" ht="15" customHeight="1">
      <c r="A26" s="16" t="inlineStr">
        <is>
          <t>Accounts payable</t>
        </is>
      </c>
      <c r="B26" s="187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 t="n">
        <v>0.05080692810692991</v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</row>
    <row r="28" ht="15" customHeight="1">
      <c r="A28" s="16" t="inlineStr">
        <is>
          <t>Prepaid expenses (other current assets)</t>
        </is>
      </c>
      <c r="B28" s="187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32" t="n">
        <v>0.05971412101669879</v>
      </c>
      <c r="C29" s="32">
        <f>Scenarios!$D$20</f>
        <v/>
      </c>
      <c r="D29" s="32">
        <f>Scenarios!$D$20</f>
        <v/>
      </c>
      <c r="E29" s="32">
        <f>Scenarios!$D$20</f>
        <v/>
      </c>
      <c r="F29" s="32">
        <f>Scenarios!$D$20</f>
        <v/>
      </c>
      <c r="G29" s="32">
        <f>Scenarios!$D$20</f>
        <v/>
      </c>
    </row>
    <row r="30" ht="15" customHeight="1">
      <c r="A30" s="16" t="inlineStr">
        <is>
          <t>Accrued liabilities and other</t>
        </is>
      </c>
      <c r="B30" s="187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97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= FCF5x(1+g)/(WACC-g)</t>
        </is>
      </c>
      <c r="B46" s="75">
        <f>G36*(1+Scenarios!D10)/(WACC!B36-Scenarios!D10)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94">
        <f>G36/B45*(1+Scenarios!D10)/(WACC!B36-Scenarios!D10)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130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187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187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186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32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187" t="n">
        <v>500000</v>
      </c>
      <c r="C66" s="75">
        <f>$B$66</f>
        <v/>
      </c>
      <c r="D66" s="75">
        <f>$B$66</f>
        <v/>
      </c>
      <c r="E66" s="75">
        <f>$B$66</f>
        <v/>
      </c>
      <c r="F66" s="75">
        <f>$B$66</f>
        <v/>
      </c>
      <c r="G66" s="75">
        <f>$B$66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$B$67</f>
        <v/>
      </c>
      <c r="D67" s="32">
        <f>$B$67</f>
        <v/>
      </c>
      <c r="E67" s="32">
        <f>$B$67</f>
        <v/>
      </c>
      <c r="F67" s="32">
        <f>$B$67</f>
        <v/>
      </c>
      <c r="G67" s="32">
        <f>$B$67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C66</f>
        <v/>
      </c>
      <c r="D70" s="75">
        <f>D66</f>
        <v/>
      </c>
      <c r="E70" s="75">
        <f>E66</f>
        <v/>
      </c>
      <c r="F70" s="75">
        <f>F66</f>
        <v/>
      </c>
      <c r="G70" s="75">
        <f>G66</f>
        <v/>
      </c>
    </row>
    <row r="71">
      <c r="A71" s="16" t="inlineStr">
        <is>
          <t>Repurchase as % of UFCF (derived)</t>
        </is>
      </c>
      <c r="B71" s="176" t="n"/>
      <c r="C71" s="32">
        <f>C70/C69</f>
        <v/>
      </c>
      <c r="D71" s="32">
        <f>D70/D69</f>
        <v/>
      </c>
      <c r="E71" s="32">
        <f>E70/E69</f>
        <v/>
      </c>
      <c r="F71" s="32">
        <f>F70/F69</f>
        <v/>
      </c>
      <c r="G71" s="32">
        <f>G70/G69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186" t="n">
        <v>100</v>
      </c>
      <c r="C73" s="99">
        <f>B73*(1+$B$67)</f>
        <v/>
      </c>
      <c r="D73" s="99">
        <f>B73*(1+$B$67)</f>
        <v/>
      </c>
      <c r="E73" s="99">
        <f>D73*(1+$B$67)</f>
        <v/>
      </c>
      <c r="F73" s="99">
        <f>E73*(1+$B$67)</f>
        <v/>
      </c>
      <c r="G73" s="99">
        <f>F73*(1+$B$67)</f>
        <v/>
      </c>
    </row>
    <row r="74">
      <c r="A74" s="16" t="inlineStr">
        <is>
          <t>Shares retired (000)</t>
        </is>
      </c>
      <c r="B74" s="75" t="n">
        <v>0</v>
      </c>
      <c r="C74" s="75">
        <f>C70/C73</f>
        <v/>
      </c>
      <c r="D74" s="75">
        <f>D70/D73</f>
        <v/>
      </c>
      <c r="E74" s="75">
        <f>E70/E73</f>
        <v/>
      </c>
      <c r="F74" s="75">
        <f>F70/F73</f>
        <v/>
      </c>
      <c r="G74" s="75">
        <f>G70/G73</f>
        <v/>
      </c>
    </row>
    <row r="75">
      <c r="A75" s="16" t="inlineStr">
        <is>
          <t>Beginning shares (000)</t>
        </is>
      </c>
      <c r="B75" s="187" t="n">
        <v>111380</v>
      </c>
      <c r="C75" s="75">
        <f>$B$75</f>
        <v/>
      </c>
      <c r="D75" s="75">
        <f>C76</f>
        <v/>
      </c>
      <c r="E75" s="75">
        <f>D76</f>
        <v/>
      </c>
      <c r="F75" s="75">
        <f>E76</f>
        <v/>
      </c>
      <c r="G75" s="75">
        <f>F76</f>
        <v/>
      </c>
    </row>
    <row r="76">
      <c r="A76" s="68" t="inlineStr">
        <is>
          <t>Ending shares (000)</t>
        </is>
      </c>
      <c r="B76" s="197" t="n">
        <v>111380</v>
      </c>
      <c r="C76" s="130">
        <f>C75-C74</f>
        <v/>
      </c>
      <c r="D76" s="130">
        <f>D75-D74</f>
        <v/>
      </c>
      <c r="E76" s="130">
        <f>E75-E74</f>
        <v/>
      </c>
      <c r="F76" s="130">
        <f>F75-F74</f>
        <v/>
      </c>
      <c r="G76" s="130">
        <f>G75-G74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187" t="n">
        <v>1579183</v>
      </c>
      <c r="C78" s="75">
        <f>('NOPAT Bridge'!C36-'NOPAT Bridge'!C23)*(1-'NOPAT Bridge'!C$39)</f>
        <v/>
      </c>
      <c r="D78" s="75">
        <f>('NOPAT Bridge'!D36-'NOPAT Bridge'!D23)*(1-'NOPAT Bridge'!D$39)</f>
        <v/>
      </c>
      <c r="E78" s="75">
        <f>('NOPAT Bridge'!E36-'NOPAT Bridge'!E23)*(1-'NOPAT Bridge'!E$39)</f>
        <v/>
      </c>
      <c r="F78" s="75">
        <f>('NOPAT Bridge'!F36-'NOPAT Bridge'!F23)*(1-'NOPAT Bridge'!F$39)</f>
        <v/>
      </c>
      <c r="G78" s="75">
        <f>('NOPAT Bridge'!G36-'NOPAT Bridge'!G23)*(1-'NOPAT Bridge'!G$39)</f>
        <v/>
      </c>
    </row>
    <row r="79">
      <c r="A79" s="68" t="inlineStr">
        <is>
          <t>Accretive EPS ($/share) = Net income / ending shares</t>
        </is>
      </c>
      <c r="B79" s="202" t="n">
        <v>14.1783354282636</v>
      </c>
      <c r="C79" s="150">
        <f>C78/C76</f>
        <v/>
      </c>
      <c r="D79" s="150">
        <f>D78/D76</f>
        <v/>
      </c>
      <c r="E79" s="150">
        <f>E78/E76</f>
        <v/>
      </c>
      <c r="F79" s="150">
        <f>F78/F76</f>
        <v/>
      </c>
      <c r="G79" s="150">
        <f>G78/G76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176">
        <f>B47</f>
        <v/>
      </c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75">
        <f>B45*B82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130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(B85+B51+B52)/B56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Variance</t>
        </is>
      </c>
      <c r="C90" s="176" t="n"/>
      <c r="D90" s="176" t="n"/>
      <c r="E90" s="176" t="n"/>
      <c r="F90" s="176" t="n"/>
      <c r="G90" s="176" t="n"/>
    </row>
    <row r="91">
      <c r="A91" s="68" t="inlineStr">
        <is>
          <t>Terminal value ($)</t>
        </is>
      </c>
      <c r="B91" s="176">
        <f>B90-C90</f>
        <v/>
      </c>
      <c r="C91" s="176" t="n"/>
      <c r="D91" s="176" t="n"/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176">
        <f>B91-C91</f>
        <v/>
      </c>
      <c r="C92" s="176" t="n"/>
      <c r="D92" s="176" t="n"/>
      <c r="E92" s="176" t="n"/>
      <c r="F92" s="176" t="n"/>
      <c r="G92" s="176" t="n"/>
    </row>
    <row r="93">
      <c r="A93" s="16" t="inlineStr">
        <is>
          <t>Terminal value variance (%)</t>
        </is>
      </c>
      <c r="B93" s="176">
        <f>(B90-C90)/B90</f>
        <v/>
      </c>
      <c r="C93" s="176" t="n"/>
      <c r="D93" s="176" t="n"/>
      <c r="E93" s="176" t="n"/>
      <c r="F93" s="176" t="n"/>
      <c r="G93" s="176" t="n"/>
    </row>
    <row r="94">
      <c r="A94" s="68" t="inlineStr">
        <is>
          <t>Implied share price</t>
        </is>
      </c>
      <c r="B94" s="176">
        <f>B93-C93</f>
        <v/>
      </c>
      <c r="C94" s="176" t="n"/>
      <c r="D94" s="176" t="n"/>
      <c r="E94" s="176" t="n"/>
      <c r="F94" s="176" t="n"/>
      <c r="G94" s="176" t="n"/>
    </row>
    <row r="95">
      <c r="A95" s="68" t="n"/>
      <c r="B95" s="176" t="inlineStr">
        <is>
          <t>Selected exit is the Gordon identity, so spread should be 0</t>
        </is>
      </c>
      <c r="C95" s="176" t="n"/>
      <c r="D95" s="176" t="n"/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(NPV(0.095,C36:G36)+(G36*(1+0.015)/(0.095-0.015))/(1+0.095)^5+B51+B52)/B56</f>
        <v/>
      </c>
      <c r="D100" s="121">
        <f>(NPV(0.095,C36:G36)+(G36*(1+0.02)/(0.095-0.02))/(1+0.095)^5+B51+B52)/B56</f>
        <v/>
      </c>
      <c r="E100" s="121">
        <f>(NPV(0.095,C36:G36)+(G36*(1+0.0225)/(0.095-0.0225))/(1+0.095)^5+B51+B52)/B56</f>
        <v/>
      </c>
      <c r="F100" s="121">
        <f>(NPV(0.095,C36:G36)+(G36*(1+0.025)/(0.095-0.025))/(1+0.095)^5+B51+B52)/B56</f>
        <v/>
      </c>
      <c r="G100" s="121">
        <f>(NPV(0.095,C36:G36)+(G36*(1+0.03)/(0.095-0.03))/(1+0.095)^5+B51+B52)/B56</f>
        <v/>
      </c>
    </row>
    <row r="101" ht="28" customHeight="1">
      <c r="A101" s="205" t="n">
        <v>0.1</v>
      </c>
      <c r="B101" s="176" t="n"/>
      <c r="C101" s="121">
        <f>(NPV(0.1,C36:G36)+(G36*(1+0.015)/(0.1-0.015))/(1+0.1)^5+B51+B52)/B56</f>
        <v/>
      </c>
      <c r="D101" s="121">
        <f>(NPV(0.1,C36:G36)+(G36*(1+0.02)/(0.1-0.02))/(1+0.1)^5+B51+B52)/B56</f>
        <v/>
      </c>
      <c r="E101" s="121">
        <f>(NPV(0.1,C36:G36)+(G36*(1+0.0225)/(0.1-0.0225))/(1+0.1)^5+B51+B52)/B56</f>
        <v/>
      </c>
      <c r="F101" s="121">
        <f>(NPV(0.1,C36:G36)+(G36*(1+0.025)/(0.1-0.025))/(1+0.1)^5+B51+B52)/B56</f>
        <v/>
      </c>
      <c r="G101" s="121">
        <f>(NPV(0.1,C36:G36)+(G36*(1+0.03)/(0.1-0.03))/(1+0.1)^5+B51+B52)/B56</f>
        <v/>
      </c>
    </row>
    <row r="102" ht="28" customHeight="1">
      <c r="A102" s="205" t="n">
        <v>0.105</v>
      </c>
      <c r="B102" s="176" t="n"/>
      <c r="C102" s="121">
        <f>(NPV(0.105,C36:G36)+(G36*(1+0.015)/(0.105-0.015))/(1+0.105)^5+B51+B52)/B56</f>
        <v/>
      </c>
      <c r="D102" s="121">
        <f>(NPV(0.105,C36:G36)+(G36*(1+0.02)/(0.105-0.02))/(1+0.105)^5+B51+B52)/B56</f>
        <v/>
      </c>
      <c r="E102" s="121">
        <f>(NPV(0.105,C36:G36)+(G36*(1+0.0225)/(0.105-0.0225))/(1+0.105)^5+B51+B52)/B56</f>
        <v/>
      </c>
      <c r="F102" s="121">
        <f>(NPV(0.105,C36:G36)+(G36*(1+0.025)/(0.105-0.025))/(1+0.105)^5+B51+B52)/B56</f>
        <v/>
      </c>
      <c r="G102" s="121">
        <f>(NPV(0.105,C36:G36)+(G36*(1+0.03)/(0.105-0.03))/(1+0.105)^5+B51+B52)/B56</f>
        <v/>
      </c>
    </row>
    <row r="103" ht="28" customHeight="1">
      <c r="A103" s="205" t="n">
        <v>0.11</v>
      </c>
      <c r="B103" s="176" t="n"/>
      <c r="C103" s="121">
        <f>(NPV(0.11,C36:G36)+(G36*(1+0.015)/(0.11-0.015))/(1+0.11)^5+B51+B52)/B56</f>
        <v/>
      </c>
      <c r="D103" s="121">
        <f>(NPV(0.11,C36:G36)+(G36*(1+0.02)/(0.11-0.02))/(1+0.11)^5+B51+B52)/B56</f>
        <v/>
      </c>
      <c r="E103" s="121">
        <f>(NPV(0.11,C36:G36)+(G36*(1+0.0225)/(0.11-0.0225))/(1+0.11)^5+B51+B52)/B56</f>
        <v/>
      </c>
      <c r="F103" s="121">
        <f>(NPV(0.11,C36:G36)+(G36*(1+0.025)/(0.11-0.025))/(1+0.11)^5+B51+B52)/B56</f>
        <v/>
      </c>
      <c r="G103" s="121">
        <f>(NPV(0.11,C36:G36)+(G36*(1+0.03)/(0.11-0.03))/(1+0.11)^5+B51+B52)/B56</f>
        <v/>
      </c>
    </row>
    <row r="104" ht="28" customHeight="1">
      <c r="A104" s="205" t="n">
        <v>0.115</v>
      </c>
      <c r="B104" s="176" t="n"/>
      <c r="C104" s="121">
        <f>(NPV(0.115,C36:G36)+(G36*(1+0.015)/(0.115-0.015))/(1+0.115)^5+B51+B52)/B56</f>
        <v/>
      </c>
      <c r="D104" s="121">
        <f>(NPV(0.115,C36:G36)+(G36*(1+0.02)/(0.115-0.02))/(1+0.115)^5+B51+B52)/B56</f>
        <v/>
      </c>
      <c r="E104" s="121">
        <f>(NPV(0.115,C36:G36)+(G36*(1+0.0225)/(0.115-0.0225))/(1+0.115)^5+B51+B52)/B56</f>
        <v/>
      </c>
      <c r="F104" s="121">
        <f>(NPV(0.115,C36:G36)+(G36*(1+0.025)/(0.115-0.025))/(1+0.115)^5+B51+B52)/B56</f>
        <v/>
      </c>
      <c r="G104" s="121">
        <f>(NPV(0.115,C36:G36)+(G36*(1+0.03)/(0.115-0.03))/(1+0.115)^5+B51+B52)/B56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187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187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186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115" t="n">
        <v>5</v>
      </c>
      <c r="C57" s="115" t="n">
        <v>8</v>
      </c>
      <c r="D57" s="121">
        <f>(B6*B57+B8)/B9</f>
        <v/>
      </c>
      <c r="E57" s="121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115">
        <f>DCF!B82</f>
        <v/>
      </c>
      <c r="C58" s="176" t="n"/>
      <c r="D58" s="121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2026-09-10T05:07:59Z</ns2:modified>
  <ns0:revision>1</ns0:revision>
</ns0:coreProperties>
</file>
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Scratc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Line item — FY25 10-K. Source: https://www.sec.gov/Archives/edgar/data/1397187/000139718726000020/lulu-20260201.htm</t>
      </text>
    </comment>
    <comment ref="E5" authorId="0" shapeId="0">
      <text>
        <t>Net revenue FY25 10-K. Source: https://www.sec.gov/Archives/edgar/data/1397187/000139718726000020/lulu-20260201.htm</t>
      </text>
    </comment>
    <comment ref="E8" authorId="0" shapeId="0">
      <text>
        <t>COGS FY25 10-K. Source: https://www.sec.gov/Archives/edgar/data/1397187/000139718726000020/lulu-20260201.htm</t>
      </text>
    </comment>
    <comment ref="E11" authorId="0" shapeId="0">
      <text>
        <t>EBIT incl. FY26 refund FY25 10-K. Source: https://www.sec.gov/Archives/edgar/data/1397187/000139718726000020/lulu-20260201.htm</t>
      </text>
    </comment>
    <comment ref="E12" authorId="0" shapeId="0">
      <text>
        <t>Reported EBIT margin FY25 10-K. Source: https://www.sec.gov/Archives/edgar/data/1397187/000139718726000020/lulu-20260201.htm</t>
      </text>
    </comment>
    <comment ref="E100" authorId="0" shapeId="0">
      <text>
        <t>WACC sensitivity −100 bps vs base.</t>
      </text>
    </comment>
    <comment ref="E101" authorId="0" shapeId="0">
      <text>
        <t>WACC sensitivity −50 bps vs base.</t>
      </text>
    </comment>
    <comment ref="E102" authorId="0" shapeId="0">
      <text>
        <t>WACC sensitivity +50 bps vs base.</t>
      </text>
    </comment>
    <comment ref="E103" authorId="0" shapeId="0">
      <text>
        <t>WACC sensitivity +100 bps vs base.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Peer EV/EBITDA from PitchBook.</t>
      </text>
    </comment>
    <comment ref="D56" authorId="0" shapeId="0">
      <text>
        <t>Football-field range from comp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B2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15" customHeight="1">
      <c r="B17" s="10" t="n"/>
    </row>
    <row r="19">
      <c r="B19" s="5" t="inlineStr">
        <is>
          <t>SOURCES</t>
        </is>
      </c>
    </row>
    <row r="20" ht="15" customHeight="1">
      <c r="B20" s="10" t="inlineStr">
        <is>
          <t>SEC EDGAR filings, CIK 0001397187 (Form 10-K, FY2025)</t>
        </is>
      </c>
    </row>
    <row r="21" ht="15" customHeight="1">
      <c r="B21" s="10" t="inlineStr">
        <is>
          <t>FY2025 Form 10-K (ended Feb 1, 2026)</t>
        </is>
      </c>
    </row>
    <row r="22" ht="15" customHeight="1">
      <c r="B22" s="10" t="inlineStr">
        <is>
          <t>Market data &amp; Q2 FY2026 results (Sep 3, 2026 earnings release)</t>
        </is>
      </c>
    </row>
    <row r="23" ht="15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7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plus 177 bps US risk premium.</t>
        </is>
      </c>
      <c r="C4" s="167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7" t="inlineStr">
        <is>
          <t>Q2 FY2026 outlook: tax rate ≈ 30%</t>
        </is>
      </c>
      <c r="D5" s="129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7" t="inlineStr">
        <is>
          <t>NASDAQ LULU last sale (current price)</t>
        </is>
      </c>
      <c r="D8" s="157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7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68" t="n"/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7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69" t="inlineStr">
        <is>
          <t>Lease + funded debt (above)</t>
        </is>
      </c>
      <c r="D13" s="130">
        <f>D11+D12</f>
        <v/>
      </c>
    </row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7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from same page as beta and debt.</t>
        </is>
      </c>
      <c r="C18" s="167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Yahoo total debt divided by Yahoo market cap ratio.</t>
        </is>
      </c>
      <c r="C19" s="167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7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s="9" t="inlineStr">
        <is>
          <t>Hamada unlever beta using Yahoo market D/E and tax rate.</t>
        </is>
      </c>
      <c r="C21" s="168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8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7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68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7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I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  <c r="I3" s="170" t="n"/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7" t="inlineStr">
        <is>
          <t>LULU Q2 FY2026 earnings release</t>
        </is>
      </c>
      <c r="E4" s="129" t="n">
        <v>-0.09</v>
      </c>
      <c r="F4" s="171" t="n">
        <v>-0.061</v>
      </c>
      <c r="G4" s="129" t="n">
        <v>-0.04</v>
      </c>
      <c r="I4" s="172" t="n"/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7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7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7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7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7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7" t="inlineStr">
        <is>
          <t>FRED: Real GDP (GDPC1)</t>
        </is>
      </c>
      <c r="E10" s="129" t="n">
        <v>0.015</v>
      </c>
      <c r="F10" s="171" t="n">
        <v>0.0225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7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7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" customHeight="1">
      <c r="A13" s="16" t="inlineStr">
        <is>
          <t>Capex % of revenue</t>
        </is>
      </c>
      <c r="B13" s="9" t="inlineStr">
        <is>
          <t>5.5% model rate; FY26 7% capex guide fades down.</t>
        </is>
      </c>
      <c r="C13" s="167" t="inlineStr">
        <is>
          <t>LULU 10-K: 2026 capex guide $725–745M Also: Q2 FY2026 outlook: $10.350B–$10.500B sales</t>
        </is>
      </c>
      <c r="E13" s="129" t="n">
        <v>0.07000000000000001</v>
      </c>
      <c r="F13" s="171" t="n">
        <v>0.055</v>
      </c>
      <c r="G13" s="129" t="n">
        <v>0.045</v>
      </c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7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" customHeight="1">
      <c r="A15" s="16" t="inlineStr">
        <is>
          <t>DSO (days) - flat vs FY25</t>
        </is>
      </c>
      <c r="B15" s="9" t="inlineStr">
        <is>
          <t>6.3 days DSO held flat vs FY25 actual.</t>
        </is>
      </c>
      <c r="C15" s="167" t="inlineStr">
        <is>
          <t>LULU FY2025 10-K: Accounts receivable, net</t>
        </is>
      </c>
      <c r="E15" s="159" t="n">
        <v>6.267883648875038</v>
      </c>
      <c r="F15" s="159" t="n">
        <v>6.267883648875038</v>
      </c>
      <c r="G15" s="159" t="n">
        <v>6.267883648875038</v>
      </c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7" t="inlineStr">
        <is>
          <t>LULU FY2025 10-K: Inventories &amp; COGS</t>
        </is>
      </c>
      <c r="E16" s="159" t="n">
        <v>128.8324100108167</v>
      </c>
      <c r="F16" s="159" t="n">
        <v>128.8324100108167</v>
      </c>
      <c r="G16" s="159" t="n">
        <v>128.8324100108167</v>
      </c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7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15" customHeight="1">
      <c r="A18" s="16" t="inlineStr">
        <is>
          <t>DPO (days) - flat vs FY25</t>
        </is>
      </c>
      <c r="B18" s="9" t="inlineStr">
        <is>
          <t>25.1 days DPO held flat vs FY25 actual.</t>
        </is>
      </c>
      <c r="C18" s="167" t="inlineStr">
        <is>
          <t>LULU FY2025 10-K: Accounts payable &amp; COGS</t>
        </is>
      </c>
      <c r="E18" s="159" t="n">
        <v>25.10521290169407</v>
      </c>
      <c r="F18" s="159" t="n">
        <v>25.10521290169407</v>
      </c>
      <c r="G18" s="159" t="n">
        <v>25.10521290169407</v>
      </c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7" t="inlineStr">
        <is>
          <t>LULU FY2025 10-K: other current assets (residual)</t>
        </is>
      </c>
      <c r="E19" s="129" t="n">
        <v>0.05080692810692991</v>
      </c>
      <c r="F19" s="129" t="n">
        <v>0.05080692810692991</v>
      </c>
      <c r="G19" s="129" t="n">
        <v>0.05080692810692991</v>
      </c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7" t="inlineStr">
        <is>
          <t>LULU FY2025 10-K: Accrued liabilities and other</t>
        </is>
      </c>
      <c r="E20" s="129" t="n">
        <v>0.05971412101669879</v>
      </c>
      <c r="F20" s="129" t="n">
        <v>0.05971412101669879</v>
      </c>
      <c r="G20" s="129" t="n">
        <v>0.05971412101669879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DCF!$D$5*(1+E4)</f>
        <v/>
      </c>
      <c r="F25" s="75">
        <f>DCF!$D$5*(1+F4)</f>
        <v/>
      </c>
      <c r="G25" s="75">
        <f>DCF!$D$5*(1+G4)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5">
      <c r="A135" s="26" t="n"/>
    </row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68" t="n"/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China plus twenty store openings FY26; Americas and RoW open slower.</t>
        </is>
      </c>
      <c r="J7" s="167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Assume two to three store closures per mature region annually.</t>
        </is>
      </c>
      <c r="J8" s="167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Beginning stores plus regional openings minus closures each year.</t>
        </is>
      </c>
      <c r="J9" s="168" t="n"/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68" t="n"/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China plus twenty store openings FY26; Americas and RoW open slower.</t>
        </is>
      </c>
      <c r="J11" s="167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Assume two to three store closures per mature region annually.</t>
        </is>
      </c>
      <c r="J12" s="167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Beginning stores plus regional openings minus closures each year.</t>
        </is>
      </c>
      <c r="J13" s="168" t="n"/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68" t="n"/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China plus twenty store openings FY26; Americas and RoW open slower.</t>
        </is>
      </c>
      <c r="J15" s="167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Assume two to three store closures per mature region annually.</t>
        </is>
      </c>
      <c r="J16" s="167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Beginning stores plus regional openings minus closures each year.</t>
        </is>
      </c>
      <c r="J17" s="168" t="n"/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68" t="n"/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67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Total sq ft equals ending store count times average box size.</t>
        </is>
      </c>
      <c r="J20" s="168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67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67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comparable sales plus twenty percent per FY25 10-K.</t>
        </is>
      </c>
      <c r="J26" s="167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rest of world comp plus nine percent per FY25 10-K.</t>
        </is>
      </c>
      <c r="J27" s="167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68" t="n"/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68" t="n"/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68" t="n"/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68" t="n"/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67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67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67" t="inlineStr">
        <is>
          <t>FY2025 10-K: average order value commentary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67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67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67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68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67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67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67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67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67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67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67" t="inlineStr">
        <is>
          <t>FY2025 10-K: product category mix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68" t="n"/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67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68" t="n"/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68" t="n"/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6">
      <c r="A6" s="52" t="inlineStr">
        <is>
          <t>Driver assumptions</t>
        </is>
      </c>
    </row>
    <row r="7" ht="15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7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7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7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7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8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7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7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7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7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7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 t="inlineStr">
        <is>
          <t>Adjusted EBIT (Phase 1)</t>
        </is>
      </c>
      <c r="B21" s="9" t="inlineStr">
        <is>
          <t>Reported EBIT plus all listed non-recurring add-backs above.</t>
        </is>
      </c>
      <c r="C21" s="168" t="inlineStr">
        <is>
          <t>Sum of reported EBIT and add-backs above.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7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7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7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 t="inlineStr">
        <is>
          <t>EBIT after lease &amp; capitalization (Phase 2)</t>
        </is>
      </c>
      <c r="B26" s="9" t="inlineStr">
        <is>
          <t>Reported EBIT plus lease interest and R&amp;D adjustments.</t>
        </is>
      </c>
      <c r="C26" s="168" t="inlineStr">
        <is>
          <t>Sum after lease and R&amp;D adjustments above.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7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7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7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Store EBIT margin applied to store channel revenue only.</t>
        </is>
      </c>
      <c r="C31" s="167" t="inlineStr">
        <is>
          <t>FY2025 10-K: company-operated stores net revenue</t>
        </is>
      </c>
      <c r="D31" s="22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E-commerce EBIT margin applied to e-comm channel revenue only.</t>
        </is>
      </c>
      <c r="C32" s="167" t="inlineStr">
        <is>
          <t>FY2025 10-K: e-commerce net revenue</t>
        </is>
      </c>
      <c r="D32" s="22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Other-channel EBIT margin applied to other channel revenue only.</t>
        </is>
      </c>
      <c r="C33" s="167" t="inlineStr">
        <is>
          <t>FY2025 10-K: other channels (residual)</t>
        </is>
      </c>
      <c r="D33" s="22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store, e-comm, and other channel EBIT lines.</t>
        </is>
      </c>
      <c r="C34" s="168" t="inlineStr">
        <is>
          <t>Sum of channel EBIT lines above.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 t="inlineStr">
        <is>
          <t>EBIT after channel mix (Phase 3)</t>
        </is>
      </c>
      <c r="B35" s="9" t="inlineStr">
        <is>
          <t>Channel-mix EBIT output line before tax normalization step.</t>
        </is>
      </c>
      <c r="C35" s="168" t="inlineStr">
        <is>
          <t>Sum of channel EBIT lines above.</t>
        </is>
      </c>
      <c r="D35" s="160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 t="inlineStr">
        <is>
          <t>Normalized EBIT (tax base for NOPAT)</t>
        </is>
      </c>
      <c r="B36" s="9" t="inlineStr">
        <is>
          <t>FY25 walk-through Phases 1–2.</t>
        </is>
      </c>
      <c r="C36" s="168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7" t="inlineStr">
        <is>
          <t>LULU FY2025 10-K: income tax &amp; interest expense</t>
        </is>
      </c>
      <c r="D39" s="129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8" t="n"/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68" t="n"/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15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15" customHeight="1">
      <c r="A6" s="16" t="inlineStr">
        <is>
          <t>Revenue growth %</t>
        </is>
      </c>
      <c r="B6" t="inlineStr">
        <is>
          <t>Minus 6.1% FY26 revenue per company guidance midpoint.</t>
        </is>
      </c>
      <c r="C6" s="167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t="inlineStr">
        <is>
          <t>56.6% FY25 gross margin held flat in forecast.</t>
        </is>
      </c>
      <c r="C7" s="167" t="inlineStr">
        <is>
          <t>LULU FY2025 10-K: Gross profit &amp; COGS</t>
        </is>
      </c>
      <c r="D7" s="129" t="n">
        <v>0.566005440167168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15" customHeight="1">
      <c r="A9" s="16" t="inlineStr">
        <is>
          <t>Clean / run-rate EBIT margin %</t>
        </is>
      </c>
      <c r="B9" t="inlineStr">
        <is>
          <t>13.2% clean OM from Q2 run-rate ex tariff.</t>
        </is>
      </c>
      <c r="C9" s="167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134.5M tariff refund in FY26 only.</t>
        </is>
      </c>
      <c r="C10" s="167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of sales from FY25 D&amp;A over revenue.</t>
        </is>
      </c>
      <c r="C15" s="167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" customHeight="1">
      <c r="A17" s="16" t="inlineStr">
        <is>
          <t>Capex % of revenue</t>
        </is>
      </c>
      <c r="B17" t="inlineStr">
        <is>
          <t>5.5% model rate; FY26 7% capex guide fades down.</t>
        </is>
      </c>
      <c r="C17" s="167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NWC schedule nets to 13.2% of FY25 sales.</t>
        </is>
      </c>
      <c r="C19" s="128" t="inlineStr">
        <is>
          <t>LULU FY2025 10-K: working-capital components</t>
        </is>
      </c>
    </row>
    <row r="20" ht="15" customHeight="1">
      <c r="A20" s="16" t="inlineStr">
        <is>
          <t>DSO (days) - flat vs FY25</t>
        </is>
      </c>
      <c r="B20" t="inlineStr">
        <is>
          <t>6.3 days DSO held flat vs FY25 actual.</t>
        </is>
      </c>
      <c r="C20" s="167" t="inlineStr">
        <is>
          <t>LULU FY2025 10-K: Accounts receivable, net</t>
        </is>
      </c>
      <c r="D20" s="159" t="n">
        <v>6.267883648875038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15" customHeight="1">
      <c r="A21" s="16" t="inlineStr">
        <is>
          <t>Accounts receivable, net</t>
        </is>
      </c>
      <c r="B21" t="inlineStr">
        <is>
          <t>AR 1.7% of sales from FY25 balance sheet.</t>
        </is>
      </c>
      <c r="C21" s="167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" customHeight="1">
      <c r="A22" s="16" t="inlineStr">
        <is>
          <t>DIO (days) - FY25 anchor, -1 day/yr</t>
        </is>
      </c>
      <c r="B22" t="inlineStr">
        <is>
          <t>128.8 day DIO anchor; minus 1 day per year.</t>
        </is>
      </c>
      <c r="C22" s="167" t="inlineStr">
        <is>
          <t>LULU FY2025 10-K: Inventories &amp; COGS Also: LULU FY2025 10-K: inventory &amp; markdown outlook</t>
        </is>
      </c>
      <c r="D22" s="159" t="n">
        <v>128.8324100108167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5" customHeight="1">
      <c r="A23" s="16" t="inlineStr">
        <is>
          <t>Inventories</t>
        </is>
      </c>
      <c r="B23" t="inlineStr">
        <is>
          <t>Inventory dollar balance driven by DIO times COGS.</t>
        </is>
      </c>
      <c r="C23" s="167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15" customHeight="1">
      <c r="A24" s="16" t="inlineStr">
        <is>
          <t>DPO (days) - flat vs FY25</t>
        </is>
      </c>
      <c r="B24" t="inlineStr">
        <is>
          <t>25.1 days DPO held flat vs FY25 actual.</t>
        </is>
      </c>
      <c r="C24" s="167" t="inlineStr">
        <is>
          <t>LULU FY2025 10-K: Accounts payable &amp; COGS</t>
        </is>
      </c>
      <c r="D24" s="159" t="n">
        <v>25.10521290169407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15" customHeight="1">
      <c r="A25" s="16" t="inlineStr">
        <is>
          <t>Accounts payable</t>
        </is>
      </c>
      <c r="B25" t="inlineStr">
        <is>
          <t>AP 3.0% of sales from FY25 payables balance.</t>
        </is>
      </c>
      <c r="C25" s="167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15" customHeight="1">
      <c r="A26" s="16" t="inlineStr">
        <is>
          <t>Prepaid expenses (% of revenue)</t>
        </is>
      </c>
      <c r="B26" t="inlineStr">
        <is>
          <t>5.1% of revenue from FY25 other current assets.</t>
        </is>
      </c>
      <c r="C26" s="167" t="inlineStr">
        <is>
          <t>LULU FY2025 10-K: other current assets (residual)</t>
        </is>
      </c>
      <c r="D26" s="129" t="n">
        <v>0.05080692810692991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15" customHeight="1">
      <c r="A27" s="16" t="inlineStr">
        <is>
          <t>Prepaid expenses (other current assets)</t>
        </is>
      </c>
      <c r="B27" t="inlineStr">
        <is>
          <t>5.1% of revenue from FY25 other current assets.</t>
        </is>
      </c>
      <c r="C27" s="167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15" customHeight="1">
      <c r="A28" s="16" t="inlineStr">
        <is>
          <t>Accrued liabilities (% of revenue)</t>
        </is>
      </c>
      <c r="B28" t="inlineStr">
        <is>
          <t>6.0% of revenue from FY25 accrued liabilities balance.</t>
        </is>
      </c>
      <c r="C28" s="167" t="inlineStr">
        <is>
          <t>LULU FY2025 10-K: Accrued liabilities and other</t>
        </is>
      </c>
      <c r="D28" s="129" t="n">
        <v>0.05971412101669879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15" customHeight="1">
      <c r="A29" s="16" t="inlineStr">
        <is>
          <t>Accrued liabilities and other</t>
        </is>
      </c>
      <c r="B29" t="inlineStr">
        <is>
          <t>6.0% of revenue from FY25 accrued liabilities balance.</t>
        </is>
      </c>
      <c r="C29" s="167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15" customHeight="1">
      <c r="A30" s="16" t="inlineStr">
        <is>
          <t>Current operating assets (AR + inv + prepaids)</t>
        </is>
      </c>
      <c r="B30" t="inlineStr">
        <is>
          <t>Operating assets sum to 22.1% of FY25 sales.</t>
        </is>
      </c>
      <c r="C30" s="167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15" customHeight="1">
      <c r="A31" s="16" t="inlineStr">
        <is>
          <t>Current operating liabilities (AP + accruals)</t>
        </is>
      </c>
      <c r="B31" t="inlineStr">
        <is>
          <t>Operating liabilities sum to 9.0% of FY25 sales.</t>
        </is>
      </c>
      <c r="C31" s="167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15" customHeight="1">
      <c r="A32" s="23" t="inlineStr">
        <is>
          <t>Net working capital</t>
        </is>
      </c>
      <c r="B32" t="inlineStr">
        <is>
          <t>Net working capital equals 13.2% of FY25 sales.</t>
        </is>
      </c>
      <c r="C32" s="167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15" customHeight="1">
      <c r="A33" s="23" t="inlineStr">
        <is>
          <t>Delta NWC (prior yr - current yr)</t>
        </is>
      </c>
      <c r="B33" t="inlineStr">
        <is>
          <t>Year-over-year dollar change in net working capital schedule.</t>
        </is>
      </c>
      <c r="C33" s="167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anchored to FRED GDPC1 macro series.</t>
        </is>
      </c>
      <c r="C43" s="167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67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67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67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67" t="inlineStr">
        <is>
          <t>NASDAQ</t>
        </is>
      </c>
      <c r="D57" s="157" t="n">
        <v>100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2">
      <c r="A62" s="93" t="inlineStr">
        <is>
          <t>SHARE REPURCHASE &amp; EPS ACCRETION SCHEDULE</t>
        </is>
      </c>
      <c r="D62" s="13" t="n"/>
    </row>
    <row r="63">
      <c r="A63" s="26" t="n"/>
    </row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2">
      <c r="A72" s="16" t="inlineStr">
        <is>
          <t>Projected share price ($)</t>
        </is>
      </c>
      <c r="D72" s="157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Gordon terminal value divided by FY30 EBITDA multiple.</t>
        </is>
      </c>
      <c r="C82" s="167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8">
      <c r="A88" s="93" t="inlineStr">
        <is>
          <t>TERMINAL VALUE RECONCILIATION (GORDON vs EXIT MULTIPLE)</t>
        </is>
      </c>
    </row>
    <row r="89">
      <c r="A89" s="103" t="inlineStr"/>
      <c r="B89" t="inlineStr">
        <is>
          <t>Gordon Growth</t>
        </is>
      </c>
      <c r="C89" t="inlineStr">
        <is>
          <t>Exit Multiple</t>
        </is>
      </c>
      <c r="D89" t="inlineStr">
        <is>
          <t>Variance</t>
        </is>
      </c>
    </row>
    <row r="90">
      <c r="A90" s="23" t="inlineStr">
        <is>
          <t>Terminal value ($)</t>
        </is>
      </c>
      <c r="B90">
        <f>D45</f>
        <v/>
      </c>
      <c r="C90" s="126">
        <f>D83</f>
        <v/>
      </c>
      <c r="D90">
        <f>B90-C90</f>
        <v/>
      </c>
    </row>
    <row r="91">
      <c r="A91" s="23" t="inlineStr">
        <is>
          <t>Exit EV/EBITDA (implied vs selected)</t>
        </is>
      </c>
      <c r="B91">
        <f>D46</f>
        <v/>
      </c>
      <c r="C91" s="126">
        <f>D82</f>
        <v/>
      </c>
      <c r="D91">
        <f>B91-C91</f>
        <v/>
      </c>
    </row>
    <row r="92">
      <c r="A92" s="16" t="inlineStr">
        <is>
          <t>Terminal value variance (%)</t>
        </is>
      </c>
      <c r="D92">
        <f>(B90-C90)/B90</f>
        <v/>
      </c>
    </row>
    <row r="93">
      <c r="A93" s="23" t="inlineStr">
        <is>
          <t>Implied share price</t>
        </is>
      </c>
      <c r="B93">
        <f>D56</f>
        <v/>
      </c>
      <c r="C93" s="126">
        <f>D86</f>
        <v/>
      </c>
      <c r="D93">
        <f>B93-C93</f>
        <v/>
      </c>
    </row>
    <row r="94">
      <c r="A94" s="68" t="n"/>
      <c r="B94">
        <f>IF(ABS(D91)&lt;=1.5,"PASS","REVIEW")</f>
        <v/>
      </c>
      <c r="C94">
        <f>TEXT(D91,"0.0")&amp;"x spread vs Gordon-implied exit"</f>
        <v/>
      </c>
      <c r="D94" t="inlineStr">
        <is>
          <t>Selected exit is the Gordon identity, so spread should be 0</t>
        </is>
      </c>
    </row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Sensitivity grid; terminal g spans 1.5% to 3.0%.</t>
        </is>
      </c>
      <c r="C98" s="167" t="inlineStr">
        <is>
          <t>FRED: Real GDP (GDPC1)</t>
        </is>
      </c>
      <c r="E98" s="151" t="n">
        <v>0.015</v>
      </c>
      <c r="F98" s="151" t="n">
        <v>0.02</v>
      </c>
      <c r="G98" s="151" t="n">
        <v>0.0225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67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67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DCF!D11+496228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67" t="inlineStr">
        <is>
          <t>Release</t>
        </is>
      </c>
      <c r="D7" s="159" t="n">
        <v>9.609999999999999</v>
      </c>
    </row>
    <row r="8" ht="28" customHeight="1">
      <c r="A8" s="16" t="inlineStr">
        <is>
          <t>Cash &amp; equivalents</t>
        </is>
      </c>
      <c r="C8" s="167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67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67" t="inlineStr">
        <is>
          <t>NASDAQ</t>
        </is>
      </c>
      <c r="D10" s="157" t="n">
        <v>100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8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8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8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8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8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8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8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8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8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8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8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1">
      <c r="A31" s="14" t="inlineStr">
        <is>
          <t>Alo Yoga implied valuation (reference only)</t>
        </is>
      </c>
    </row>
    <row r="32">
      <c r="A32" s="2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7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7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7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Alo Yoga excluded from comp set; no reliable EBITDA on pages.</t>
        </is>
      </c>
      <c r="C36" s="168" t="inlineStr">
        <is>
          <t>None — no EBITDA source</t>
        </is>
      </c>
      <c r="D36" s="140" t="inlineStr">
        <is>
          <t>n.a.</t>
        </is>
      </c>
    </row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7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7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7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2" ht="28" customHeight="1">
      <c r="A62" s="124" t="inlineStr">
        <is>
          <t>Current price</t>
        </is>
      </c>
      <c r="C62" s="167" t="inlineStr">
        <is>
          <t>NASDAQ</t>
        </is>
      </c>
      <c r="D62" s="21" t="n">
        <v>100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73" t="inlineStr">
        <is>
          <t>Quick checks (not in model)</t>
        </is>
      </c>
    </row>
    <row r="3">
      <c r="A3" s="174" t="inlineStr">
        <is>
          <t>Mkt cap ($k)</t>
        </is>
      </c>
      <c r="B3" s="175">
        <f>WACC!D10</f>
        <v/>
      </c>
    </row>
    <row r="4">
      <c r="A4" s="174" t="inlineStr">
        <is>
          <t>FY26 rev growth check</t>
        </is>
      </c>
      <c r="B4" s="175">
        <f>Scenarios!F4</f>
        <v/>
      </c>
    </row>
    <row r="5">
      <c r="A5" s="174" t="inlineStr">
        <is>
          <t>Terminal g</t>
        </is>
      </c>
      <c r="B5" s="175">
        <f>Scenarios!F10</f>
        <v/>
      </c>
    </row>
    <row r="6">
      <c r="A6" s="174" t="inlineStr">
        <is>
          <t>Implied px (DCF)</t>
        </is>
      </c>
      <c r="B6" s="175">
        <f>DCF!D56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2026-09-10T04:11:58Z</dcterms:modified>
  <cp:lastModifiedBy>Microsoft Excel</cp:lastModifiedBy>
  <cp:revision>1</cp:revision>
</cp:coreProperties>
</file>
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  <font>
      <b val="1"/>
      <sz val="10"/>
    </font>
    <font>
      <i val="1"/>
      <color rgb="000563C1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60" fillId="0" borderId="0" pivotButton="0" quotePrefix="0" xfId="0"/>
    <xf numFmtId="169" fontId="60" fillId="0" borderId="0" pivotButton="0" quotePrefix="0" xfId="0"/>
    <xf numFmtId="164" fontId="60" fillId="0" borderId="0" pivotButton="0" quotePrefix="0" xfId="0"/>
    <xf numFmtId="165" fontId="60" fillId="0" borderId="0" pivotButton="0" quotePrefix="0" xfId="0"/>
    <xf numFmtId="166" fontId="9" fillId="0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1" fillId="0" borderId="0" pivotButton="0" quotePrefix="0" xfId="0"/>
    <xf numFmtId="3" fontId="60" fillId="0" borderId="0" pivotButton="0" quotePrefix="0" xfId="0"/>
    <xf numFmtId="0" fontId="72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Source: FRED: 10Y Treasury (DGS10)
https://fred.stlouisfed.org/series/DGS10</t>
      </text>
    </comment>
    <comment ref="B4" authorId="0" shapeId="0">
      <text>
        <t>Source: Damodaran: Historical Implied ERP
https://www.stern.nyu.edu/~adamodar/New_Home_Page/datafile/histimpl.html</t>
      </text>
    </comment>
    <comment ref="B5" authorId="0" shapeId="0">
      <text>
        <t>Source: Q2 FY2026 outlook: tax rate ≈ 30%
https://corporate.lululemon.com/newsroom/press-releases/2026/09-03-2026-210528733</t>
      </text>
    </comment>
    <comment ref="B8" authorId="0" shapeId="0">
      <text>
        <t>Source: NASDAQ LULU last sale (current price)
https://www.nasdaq.com/market-activity/stocks/lulu</t>
      </text>
    </comment>
    <comment ref="B9" authorId="0" shapeId="0">
      <text>
        <t>Source: LULU FY2025 10-K: shares outstanding
https://www.sec.gov/Archives/edgar/data/1397187/000139718726000020/lulu-20260201.htm</t>
      </text>
    </comment>
    <comment ref="B10" authorId="0" shapeId="0">
      <text>
        <t>Price × shares outstanding.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6" authorId="0" shapeId="0">
      <text>
        <t>Source: Yahoo Finance: LULU Beta (5Y Monthly)
https://finance.yahoo.com/quote/LULU/key-statistics/</t>
      </text>
    </comment>
    <comment ref="B17" authorId="0" shapeId="0">
      <text>
        <t>Source: Model: lease debt + funded debt (row 13)</t>
      </text>
    </comment>
    <comment ref="B18" authorId="0" shapeId="0">
      <text>
        <t>Source: Model: share price × shares (row 10)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Source: Yahoo Finance: Total Debt/Equity (mrq)
https://finance.yahoo.com/quote/LULU/key-statistics/</t>
      </text>
    </comment>
    <comment ref="B21" authorId="0" shapeId="0">
      <text>
        <t>Hamada unlever (Yahoo D/E).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29" authorId="0" shapeId="0">
      <text>
        <t>Lease-equivalent borrowing cost.</t>
      </text>
    </comment>
    <comment ref="B30" authorId="0" shapeId="0">
      <text>
        <t>Lease-equivalent borrowing cost.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Mkt cap / total capital.</t>
      </text>
    </comment>
    <comment ref="B35" authorId="0" shapeId="0">
      <text>
        <t>Lease debt / total capital.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Source: LULU Q2 FY2026 earnings release
https://corporate.lululemon.com/investors/news-events/press-releases</t>
      </text>
    </comment>
    <comment ref="B5" authorId="0" shapeId="0">
      <text>
        <t>Source: StockAnalysis: LULU 3Y revenue forecast
https://stockanalysis.com/stocks/lulu/forecast/</t>
      </text>
    </comment>
    <comment ref="B6" authorId="0" shapeId="0">
      <text>
        <t>Source: Q2 FY2026 release: run-rate operating margin
https://corporate.lululemon.com/investors/news-events/press-releases</t>
      </text>
    </comment>
    <comment ref="B7" authorId="0" shapeId="0">
      <text>
        <t>Source: Q2 FY2026 release: $134.5M IEEPA tariff refunds
https://corporate.lululemon.com/investors/news-events/press-releases</t>
      </text>
    </comment>
    <comment ref="B8" authorId="0" shapeId="0">
      <text>
        <t>Source: FY2025 10-K: operating margin benchmark
https://www.sec.gov/cgi-bin/browse-edgar?action=getcompany&amp;CIK=0001397187</t>
      </text>
    </comment>
    <comment ref="B9" authorId="0" shapeId="0">
      <text>
        <t>Source: WACC tab: CAPM build</t>
      </text>
    </comment>
    <comment ref="B10" authorId="0" shapeId="0">
      <text>
        <t>Source: FRED: Real GDP (GDPC1)
https://fred.stlouisfed.org/series/GDPC1</t>
      </text>
    </comment>
    <comment ref="B11" authorId="0" shapeId="0">
      <text>
        <t>Source: Q2 FY2026 outlook: tax rate ≈ 30%
https://corporate.lululemon.com/newsroom/press-releases/2026/09-03-2026-210528733</t>
      </text>
    </comment>
    <comment ref="B12" authorId="0" shapeId="0">
      <text>
        <t>Source: LULU CF statement (10-K)
https://www.sec.gov/Archives/edgar/data/1397187/000139718726000020/lulu-20260201.htm</t>
      </text>
    </comment>
    <comment ref="B13" authorId="0" shapeId="0">
      <text>
        <t>Source: LULU 10-K: 2026 capex guide $725–745M Also: Q2 FY2026 outlook: $10.350B–$10.500B sales
https://www.sec.gov/Archives/edgar/data/1397187/000139718726000020/lulu-20260201.htm</t>
      </text>
    </comment>
    <comment ref="B14" authorId="0" shapeId="0">
      <text>
        <t>Source: LULU FY2025 10-K: Gross profit &amp; COGS
https://www.sec.gov/Archives/edgar/data/1397187/000139718726000020/lulu-20260201.htm</t>
      </text>
    </comment>
    <comment ref="B15" authorId="0" shapeId="0">
      <text>
        <t>Source: LULU FY2025 10-K: Accounts receivable, net
https://www.sec.gov/cgi-bin/browse-edgar?action=getcompany&amp;CIK=0001397187</t>
      </text>
    </comment>
    <comment ref="B16" authorId="0" shapeId="0">
      <text>
        <t>Source: LULU FY2025 10-K: Inventories &amp; COGS
https://www.sec.gov/Archives/edgar/data/1397187/000139718726000020/lulu-20260201.htm</t>
      </text>
    </comment>
    <comment ref="B17" authorId="0" shapeId="0">
      <text>
        <t>Source: LULU FY2025 10-K: inventory &amp; markdown outlook
https://www.sec.gov/Archives/edgar/data/1397187/000139718726000020/lulu-20260201.htm</t>
      </text>
    </comment>
    <comment ref="B18" authorId="0" shapeId="0">
      <text>
        <t>Source: LULU FY2025 10-K: Accounts payable &amp; COGS
https://www.sec.gov/cgi-bin/browse-edgar?action=getcompany&amp;CIK=0001397187</t>
      </text>
    </comment>
    <comment ref="B19" authorId="0" shapeId="0">
      <text>
        <t>Source: LULU FY2025 10-K: other current assets (residual)
https://www.sec.gov/Archives/edgar/data/1397187/000139718726000020/lulu-20260201.htm</t>
      </text>
    </comment>
    <comment ref="B20" authorId="0" shapeId="0">
      <text>
        <t>Source: LULU FY2025 10-K: Accrued liabilities and other
https://www.sec.gov/Archives/edgar/data/1397187/000139718726000020/lulu-20260201.htm</t>
      </text>
    </comment>
    <comment ref="B21" authorId="0" shapeId="0">
      <text>
        <t>Source: Pitch deck: $750M/yr buyback (bear/base)</t>
      </text>
    </comment>
    <comment ref="B22" authorId="0" shapeId="0">
      <text>
        <t>Source: Pitch deck: 75% of FCF to buybacks (bull case)</t>
      </text>
    </comment>
    <comment ref="B138" authorId="0" shapeId="0">
      <text>
        <t>Source: LULU FY2025 10-K: other income
https://www.sec.gov/cgi-bin/browse-edgar?action=getcompany&amp;CIK=0001397187</t>
      </text>
    </comment>
    <comment ref="B139" authorId="0" shapeId="0">
      <text>
        <t>Source: LULU FY2025 10-K: other income
https://www.sec.gov/cgi-bin/browse-edgar?action=getcompany&amp;CIK=0001397187</t>
      </text>
    </comment>
    <comment ref="B140" authorId="0" shapeId="0">
      <text>
        <t>Source: LULU FY2025 10-K: other income
https://www.sec.gov/cgi-bin/browse-edgar?action=getcompany&amp;CIK=0001397187</t>
      </text>
    </comment>
    <comment ref="B141" authorId="0" shapeId="0">
      <text>
        <t>Source: LULU FY2025 10-K: other income
https://www.sec.gov/cgi-bin/browse-edgar?action=getcompany&amp;CIK=0001397187</t>
      </text>
    </comment>
    <comment ref="B142" authorId="0" shapeId="0">
      <text>
        <t>Source: LULU FY2025 10-K: other income
https://www.sec.gov/cgi-bin/browse-edgar?action=getcompany&amp;CIK=0001397187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6" authorId="0" shapeId="0">
      <text>
        <t>Source: LULU FY2025 10-K: store roll-forward (Item 2)
https://www.sec.gov/Archives/edgar/data/1397187/000139718726000020/lulu-20260201.htm</t>
      </text>
    </comment>
    <comment ref="B9" authorId="0" shapeId="0">
      <text>
        <t>Source: LULU FY2025 10-K: company-operated store count
https://www.sec.gov/Archives/edgar/data/1397187/000139718726000020/lulu-20260201.htm</t>
      </text>
    </comment>
    <comment ref="B10" authorId="0" shapeId="0">
      <text>
        <t>Source: LULU FY2025 10-K: store roll-forward (Item 2)
https://www.sec.gov/Archives/edgar/data/1397187/000139718726000020/lulu-20260201.htm</t>
      </text>
    </comment>
    <comment ref="B13" authorId="0" shapeId="0">
      <text>
        <t>Source: LULU FY2025 10-K: company-operated store count
https://www.sec.gov/Archives/edgar/data/1397187/000139718726000020/lulu-20260201.htm</t>
      </text>
    </comment>
    <comment ref="B14" authorId="0" shapeId="0">
      <text>
        <t>Source: LULU FY2025 10-K: store roll-forward (Item 2)
https://www.sec.gov/Archives/edgar/data/1397187/000139718726000020/lulu-20260201.htm</t>
      </text>
    </comment>
    <comment ref="B17" authorId="0" shapeId="0">
      <text>
        <t>Source: LULU FY2025 10-K: company-operated store count
https://www.sec.gov/Archives/edgar/data/1397187/000139718726000020/lulu-20260201.htm</t>
      </text>
    </comment>
    <comment ref="B18" authorId="0" shapeId="0">
      <text>
        <t>Source: LULU FY2025 10-K: total company-operated stores
https://www.sec.gov/Archives/edgar/data/1397187/000139718726000020/lulu-20260201.htm</t>
      </text>
    </comment>
    <comment ref="B19" authorId="0" shapeId="0">
      <text>
        <t>Source: FY2025 10-K: sales per square foot
https://www.sec.gov/Archives/edgar/data/1397187/000139718726000020/lulu-20260201.htm</t>
      </text>
    </comment>
    <comment ref="B20" authorId="0" shapeId="0">
      <text>
        <t>Source: LULU FY2025 10-K: sales per square foot &amp; store count</t>
      </text>
    </comment>
    <comment ref="B24" authorId="0" shapeId="0">
      <text>
        <t>Source: FY2025 10-K: comparable sales &amp; SPSF
https://www.sec.gov/Archives/edgar/data/1397187/000139718726000020/lulu-20260201.htm</t>
      </text>
    </comment>
    <comment ref="B25" authorId="0" shapeId="0">
      <text>
        <t>Source: FY2025 10-K: Americas comparable sales
https://www.sec.gov/Archives/edgar/data/1397187/000139718726000020/lulu-20260201.htm</t>
      </text>
    </comment>
    <comment ref="B26" authorId="0" shapeId="0">
      <text>
        <t>Source: FY2025 10-K: China Mainland comparable sales
https://www.sec.gov/Archives/edgar/data/1397187/000139718726000020/lulu-20260201.htm</t>
      </text>
    </comment>
    <comment ref="B27" authorId="0" shapeId="0">
      <text>
        <t>Source: FY2025 10-K: Rest of World comparable sales
https://www.sec.gov/Archives/edgar/data/1397187/000139718726000020/lulu-20260201.htm</t>
      </text>
    </comment>
    <comment ref="B28" authorId="0" shapeId="0">
      <text>
        <t>Source: Revenue Drivers: prior store-rev formula
https://www.sec.gov/Archives/edgar/data/1397187/000139718726000020/lulu-20260201.htm</t>
      </text>
    </comment>
    <comment ref="B29" authorId="0" shapeId="0">
      <text>
        <t>Source: Revenue Drivers: comp-store formula
https://www.sec.gov/Archives/edgar/data/1397187/000139718726000020/lulu-20260201.htm</t>
      </text>
    </comment>
    <comment ref="B30" authorId="0" shapeId="0">
      <text>
        <t>Source: Revenue Drivers: net-new-store formula</t>
      </text>
    </comment>
    <comment ref="B31" authorId="0" shapeId="0">
      <text>
        <t>Source: Revenue Drivers: store-channel formula
https://www.sec.gov/Archives/edgar/data/1397187/000139718726000020/lulu-20260201.htm</t>
      </text>
    </comment>
    <comment ref="B32" authorId="0" shapeId="0">
      <text>
        <t>Source: FY2025 10-K: store traffic commentary
https://www.sec.gov/Archives/edgar/data/1397187/000139718726000020/lulu-20260201.htm</t>
      </text>
    </comment>
    <comment ref="B33" authorId="0" shapeId="0">
      <text>
        <t>Source: FY2025 10-K: conversion rate commentary
https://www.sec.gov/Archives/edgar/data/1397187/000139718726000020/lulu-20260201.htm</t>
      </text>
    </comment>
    <comment ref="B34" authorId="0" shapeId="0">
      <text>
        <t>Source: FY2025 10-K: average order value commentary
https://www.sec.gov/Archives/edgar/data/1397187/000139718726000020/lulu-20260201.htm</t>
      </text>
    </comment>
    <comment ref="B38" authorId="0" shapeId="0">
      <text>
        <t>Source: FY2025 10-K: e-commerce revenue
https://www.sec.gov/Archives/edgar/data/1397187/000139718726000020/lulu-20260201.htm</t>
      </text>
    </comment>
    <comment ref="B39" authorId="0" shapeId="0">
      <text>
        <t>Source: FY2025 10-K: digital / traffic commentary
https://www.sec.gov/Archives/edgar/data/1397187/000139718726000020/lulu-20260201.htm</t>
      </text>
    </comment>
    <comment ref="B40" authorId="0" shapeId="0">
      <text>
        <t>Source: FY2025 10-K: e-commerce revenue
https://www.sec.gov/Archives/edgar/data/1397187/000139718726000020/lulu-20260201.htm</t>
      </text>
    </comment>
    <comment ref="B41" authorId="0" shapeId="0">
      <text>
        <t>Source: Revenue Drivers: e-comm formula
https://www.sec.gov/Archives/edgar/data/1397187/000139718726000020/lulu-20260201.htm</t>
      </text>
    </comment>
    <comment ref="B45" authorId="0" shapeId="0">
      <text>
        <t>Source: FY2025 10-K: channel revenue table
https://www.sec.gov/Archives/edgar/data/1397187/000139718726000020/lulu-20260201.htm</t>
      </text>
    </comment>
    <comment ref="B46" authorId="0" shapeId="0">
      <text>
        <t>Source: FY2025 10-K: segmented net revenue
https://www.sec.gov/Archives/edgar/data/1397187/000139718726000020/lulu-20260201.htm</t>
      </text>
    </comment>
    <comment ref="B47" authorId="0" shapeId="0">
      <text>
        <t>Source: FY2025 10-K: segmented net revenue
https://www.sec.gov/Archives/edgar/data/1397187/000139718726000020/lulu-20260201.htm</t>
      </text>
    </comment>
    <comment ref="B48" authorId="0" shapeId="0">
      <text>
        <t>Source: FY2025 10-K: segmented net revenue
https://www.sec.gov/Archives/edgar/data/1397187/000139718726000020/lulu-20260201.htm</t>
      </text>
    </comment>
    <comment ref="B49" authorId="0" shapeId="0">
      <text>
        <t>Source: FY2025 10-K: product category mix
https://www.sec.gov/Archives/edgar/data/1397187/000139718726000020/lulu-20260201.htm</t>
      </text>
    </comment>
    <comment ref="B50" authorId="0" shapeId="0">
      <text>
        <t>Source: FY2025 10-K: product category mix
https://www.sec.gov/Archives/edgar/data/1397187/000139718726000020/lulu-20260201.htm</t>
      </text>
    </comment>
    <comment ref="B51" authorId="0" shapeId="0">
      <text>
        <t>Source: FY2025 10-K: product category mix
https://www.sec.gov/Archives/edgar/data/1397187/000139718726000020/lulu-20260201.htm</t>
      </text>
    </comment>
    <comment ref="B55" authorId="0" shapeId="0">
      <text>
        <t>Source: Revenue Drivers: total-rev formula
https://www.sec.gov/Archives/edgar/data/1397187/000139718726000020/lulu-20260201.htm</t>
      </text>
    </comment>
    <comment ref="B56" authorId="0" shapeId="0">
      <text>
        <t>Source: Scenarios tab: base revenue</t>
      </text>
    </comment>
    <comment ref="B57" authorId="0" shapeId="0">
      <text>
        <t>Source: Revenue Drivers: variance formula</t>
      </text>
    </comment>
    <comment ref="B58" authorId="0" shapeId="0">
      <text>
        <t>Source: Revenue Drivers: variance % formula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7" authorId="0" shapeId="0">
      <text>
        <t>Source: LULU CF statement (10-K): stock-based compensation
https://www.sec.gov/cgi-bin/browse-edgar?action=getcompany&amp;CIK=0001397187</t>
      </text>
    </comment>
    <comment ref="B9" authorId="0" shapeId="0">
      <text>
        <t>Source: FY2025 10-K: company-operated stores net revenue
https://www.sec.gov/Archives/edgar/data/1397187/000139718726000020/lulu-20260201.htm</t>
      </text>
    </comment>
    <comment ref="B10" authorId="0" shapeId="0">
      <text>
        <t>Source: FY2025 10-K: e-commerce net revenue
https://www.sec.gov/Archives/edgar/data/1397187/000139718726000020/lulu-20260201.htm</t>
      </text>
    </comment>
    <comment ref="B11" authorId="0" shapeId="0">
      <text>
        <t>Source: FY2025 10-K: other channels (residual)
https://www.sec.gov/Archives/edgar/data/1397187/000139718726000020/lulu-20260201.htm</t>
      </text>
    </comment>
    <comment ref="B12" authorId="0" shapeId="0">
      <text>
        <t>Source: Q2 FY2026 outlook: tax rate ≈ 30%
https://corporate.lululemon.com/newsroom/press-releases/2026/09-03-2026-210528733</t>
      </text>
    </comment>
    <comment ref="B13" authorId="0" shapeId="0">
      <text>
        <t>Source: NOPAT Bridge: capitalization convention</t>
      </text>
    </comment>
    <comment ref="B16" authorId="0" shapeId="0">
      <text>
        <t>Source: LULU FY2025 10-K: Income from operations
https://www.sec.gov/Archives/edgar/data/1397187/000139718726000020/lulu-20260201.htm</t>
      </text>
    </comment>
    <comment ref="B17" authorId="0" shapeId="0">
      <text>
        <t>Source: LULU FY2025 10-K: amortization of intangible assets
https://www.sec.gov/Archives/edgar/data/1397187/000139718726000020/lulu-20260201.htm</t>
      </text>
    </comment>
    <comment ref="B18" authorId="0" shapeId="0">
      <text>
        <t>Source: LULU FY2025 10-K: restructuring charges
https://www.sec.gov/Archives/edgar/data/1397187/000139718726000020/lulu-20260201.htm</t>
      </text>
    </comment>
    <comment ref="B19" authorId="0" shapeId="0">
      <text>
        <t>Source: LULU FY2025 10-K: SG&amp;A one-offs
https://www.sec.gov/Archives/edgar/data/1397187/000139718726000020/lulu-20260201.htm</t>
      </text>
    </comment>
    <comment ref="B20" authorId="0" shapeId="0">
      <text>
        <t>Source: LULU CF statement (10-K): stock-based compensation
https://www.sec.gov/Archives/edgar/data/1397187/000139718726000020/lulu-20260201.htm</t>
      </text>
    </comment>
    <comment ref="B21" authorId="0" shapeId="0">
      <text>
        <t>Reported EBIT plus non-recurring add-backs (10-K).</t>
      </text>
    </comment>
    <comment ref="B22" authorId="0" shapeId="0">
      <text>
        <t>Lease interest and R&amp;D capitalization adjustments.</t>
      </text>
    </comment>
    <comment ref="B23" authorId="0" shapeId="0">
      <text>
        <t>Source: LULU FY2025 10-K: interest on lease liabilities (supplemental)
https://www.sec.gov/Archives/edgar/data/1397187/000139718726000020/lulu-20260201.htm</t>
      </text>
    </comment>
    <comment ref="B24" authorId="0" shapeId="0">
      <text>
        <t>Source: LULU FY2025 10-K: R&amp;D / software expense
https://www.sec.gov/Archives/edgar/data/1397187/000139718726000020/lulu-20260201.htm</t>
      </text>
    </comment>
    <comment ref="B25" authorId="0" shapeId="0">
      <text>
        <t>Source: LULU FY2025 10-K: intangible amortization
https://www.sec.gov/Archives/edgar/data/1397187/000139718726000020/lulu-20260201.htm</t>
      </text>
    </comment>
    <comment ref="B26" authorId="0" shapeId="0">
      <text>
        <t>Lease interest and R&amp;D capitalization adjustments.</t>
      </text>
    </comment>
    <comment ref="B28" authorId="0" shapeId="0">
      <text>
        <t>Source: Revenue Drivers tab: store-channel revenue</t>
      </text>
    </comment>
    <comment ref="B29" authorId="0" shapeId="0">
      <text>
        <t>Source: Revenue Drivers tab: e-commerce revenue</t>
      </text>
    </comment>
    <comment ref="B30" authorId="0" shapeId="0">
      <text>
        <t>Source: Revenue Drivers tab: other channels revenue</t>
      </text>
    </comment>
    <comment ref="B31" authorId="0" shapeId="0">
      <text>
        <t>Store EBIT ÷ store rev only.</t>
      </text>
    </comment>
    <comment ref="B32" authorId="0" shapeId="0">
      <text>
        <t>E-comm EBIT ÷ e-comm rev only.</t>
      </text>
    </comment>
    <comment ref="B33" authorId="0" shapeId="0">
      <text>
        <t>Other EBIT % of other rev.</t>
      </text>
    </comment>
    <comment ref="B34" authorId="0" shapeId="0">
      <text>
        <t>Sum of sector EBIT ().</t>
      </text>
    </comment>
    <comment ref="B35" authorId="0" shapeId="0">
      <text>
        <t>Channel-mix EBIT output ().</t>
      </text>
    </comment>
    <comment ref="B36" authorId="0" shapeId="0">
      <text>
        <t>FY25 walk-through Phases 1–2.</t>
      </text>
    </comment>
    <comment ref="B39" authorId="0" shapeId="0">
      <text>
        <t>Source: LULU FY2025 10-K: income tax &amp; interest expense
https://www.sec.gov/Archives/edgar/data/1397187/000139718726000020/lulu-20260201.htm</t>
      </text>
    </comment>
    <comment ref="B40" authorId="0" shapeId="0">
      <text>
        <t>Normalized EBIT × t_operating.</t>
      </text>
    </comment>
    <comment ref="B41" authorId="0" shapeId="0">
      <text>
        <t>EBIT_norm × (1 − t_operating).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EBIT_norm × (1 − t_operating).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Source: No tariff refund post-FY26 (forecast years 2–5)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46" authorId="0" shapeId="0">
      <text>
        <t>=E45
Source: =E83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79" authorId="0" shapeId="0">
      <text>
        <t>FY25 reported diluted EPS (10-K).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Source: Model check: Gordon vs exit-multiple spread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9" authorId="0" shapeId="0">
      <text>
        <t>Source: Yahoo Finance: LULU statistics
https://finance.yahoo.com/quote/LULU/key-statistics/</t>
      </text>
    </comment>
    <comment ref="B20" authorId="0" shapeId="0">
      <text>
        <t>Source: Yahoo Finance: UAA statistics
https://finance.yahoo.com/quote/UAA/key-statistics/</t>
      </text>
    </comment>
    <comment ref="B21" authorId="0" shapeId="0">
      <text>
        <t>Source: Yahoo Finance: ADS.DE statistics
https://finance.yahoo.com/quote/ADS.DE/key-statistics/</t>
      </text>
    </comment>
    <comment ref="B22" authorId="0" shapeId="0">
      <text>
        <t>Source: Yahoo Finance: NKE statistics
https://finance.yahoo.com/quote/NKE/key-statistics/</t>
      </text>
    </comment>
    <comment ref="B23" authorId="0" shapeId="0">
      <text>
        <t>Source: Yahoo Finance: DECK statistics
https://finance.yahoo.com/quote/DECK/key-statistics/</t>
      </text>
    </comment>
    <comment ref="B24" authorId="0" shapeId="0">
      <text>
        <t>Source: Yahoo Finance: WSM statistics
https://finance.yahoo.com/quote/WSM/key-statistics/</t>
      </text>
    </comment>
    <comment ref="B25" authorId="0" shapeId="0">
      <text>
        <t>Source: Yahoo Finance: CROX statistics
https://finance.yahoo.com/quote/CROX/key-statistics/</t>
      </text>
    </comment>
    <comment ref="B26" authorId="0" shapeId="0">
      <text>
        <t>Source: Yahoo Finance: MOV statistics
https://finance.yahoo.com/quote/MOV/key-statistics/</t>
      </text>
    </comment>
    <comment ref="B27" authorId="0" shapeId="0">
      <text>
        <t>Source: Yahoo Finance: LEVI statistics
https://finance.yahoo.com/quote/LEVI/key-statistics/</t>
      </text>
    </comment>
    <comment ref="B28" authorId="0" shapeId="0">
      <text>
        <t>Source: Yahoo Finance: LZB statistics
https://finance.yahoo.com/quote/LZB/key-statistics/</t>
      </text>
    </comment>
    <comment ref="B29" authorId="0" shapeId="0">
      <text>
        <t>Source: Yahoo Finance: KTB statistics
https://finance.yahoo.com/quote/KTB/key-statistics/</t>
      </text>
    </comment>
    <comment ref="B33" authorId="0" shapeId="0">
      <text>
        <t>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 ex-UAA.</t>
      </text>
    </comment>
    <comment ref="B40" authorId="0" shapeId="0">
      <text>
        <t>Wider tape incl. adjacent retail.</t>
      </text>
    </comment>
    <comment ref="B57" authorId="0" shapeId="0">
      <text>
        <t>Source: Lo: StockAnalysis: LULU EV/EBITDA Hi: StockAnalysis: DECK EV/EBITDA
https://stockanalysis.com/stocks/lulu/statistics/</t>
      </text>
    </comment>
    <comment ref="B58" authorId="0" shapeId="0">
      <text>
        <t>Gordon TV / FY30 EBITDA exit.</t>
      </text>
    </comment>
    <comment ref="B59" authorId="0" shapeId="0">
      <text>
        <t>Source: Lo: StockAnalysis: LULU Forward P/E Hi: StockAnalysis: NKE Forward P/E
https://stockanalysis.com/stocks/lulu/statistics/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99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75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 equivalents (for beta unlever)</t>
        </is>
      </c>
      <c r="B17" s="75">
        <f>B13</f>
        <v/>
      </c>
    </row>
    <row r="18" ht="28" customHeight="1">
      <c r="A18" s="16" t="inlineStr">
        <is>
          <t>Market value of equity (for beta unlever)</t>
        </is>
      </c>
      <c r="B18" s="75">
        <f>B10</f>
        <v/>
      </c>
    </row>
    <row r="19" ht="28" customHeight="1">
      <c r="A19" s="16" t="inlineStr">
        <is>
          <t>Target Debt-to-Equity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H20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76" t="n"/>
      <c r="F1" s="176" t="n"/>
      <c r="G1" s="176" t="n"/>
    </row>
    <row r="2">
      <c r="A2" s="176" t="n"/>
      <c r="B2" s="189" t="inlineStr">
        <is>
          <t>Bear</t>
        </is>
      </c>
      <c r="C2" s="190" t="inlineStr">
        <is>
          <t>Base</t>
        </is>
      </c>
      <c r="D2" s="191" t="inlineStr">
        <is>
          <t>Bull</t>
        </is>
      </c>
      <c r="E2" s="176" t="n"/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1" t="n"/>
      <c r="G3" s="176" t="n"/>
    </row>
    <row r="4" ht="28" customHeight="1">
      <c r="A4" s="16" t="inlineStr">
        <is>
          <t>FY26 Rev Growth</t>
        </is>
      </c>
      <c r="B4" s="32" t="n">
        <v>-0.09</v>
      </c>
      <c r="C4" s="32" t="n">
        <v>-0.061</v>
      </c>
      <c r="D4" s="32" t="n">
        <v>-0.04</v>
      </c>
      <c r="E4" s="176" t="n"/>
      <c r="F4" s="103" t="n"/>
      <c r="G4" s="176" t="n"/>
    </row>
    <row r="5" ht="28" customHeight="1">
      <c r="A5" s="16" t="inlineStr">
        <is>
          <t>FY27-30 Rev Growth</t>
        </is>
      </c>
      <c r="B5" s="32" t="n">
        <v>-0.01</v>
      </c>
      <c r="C5" s="32" t="n">
        <v>0.023</v>
      </c>
      <c r="D5" s="32" t="n">
        <v>0.06</v>
      </c>
      <c r="E5" s="176" t="n"/>
      <c r="F5" s="176" t="n"/>
      <c r="G5" s="176" t="n"/>
    </row>
    <row r="6" ht="28" customHeight="1">
      <c r="A6" s="16" t="inlineStr">
        <is>
          <t>Run-Rate EBIT Margin</t>
        </is>
      </c>
      <c r="B6" s="32" t="n">
        <v>0.12</v>
      </c>
      <c r="C6" s="32" t="n">
        <v>0.132</v>
      </c>
      <c r="D6" s="32" t="n">
        <v>0.145</v>
      </c>
      <c r="E6" s="176" t="n"/>
      <c r="F6" s="176" t="n"/>
      <c r="G6" s="176" t="n"/>
    </row>
    <row r="7" ht="28" customHeight="1">
      <c r="A7" s="16" t="inlineStr">
        <is>
          <t>FY26 Tariff Refund</t>
        </is>
      </c>
      <c r="B7" s="75" t="n">
        <v>134500</v>
      </c>
      <c r="C7" s="75" t="n">
        <v>134500</v>
      </c>
      <c r="D7" s="75" t="n">
        <v>134500</v>
      </c>
      <c r="E7" s="176" t="n"/>
      <c r="F7" s="176" t="n"/>
      <c r="G7" s="176" t="n"/>
    </row>
    <row r="8" ht="28" customHeight="1">
      <c r="A8" s="16" t="inlineStr">
        <is>
          <t>Terminal EBIT Margin</t>
        </is>
      </c>
      <c r="B8" s="32" t="n">
        <v>0.12</v>
      </c>
      <c r="C8" s="32" t="n">
        <v>0.155</v>
      </c>
      <c r="D8" s="32" t="n">
        <v>0.19</v>
      </c>
      <c r="E8" s="176" t="n"/>
      <c r="F8" s="176" t="n"/>
      <c r="G8" s="176" t="n"/>
    </row>
    <row r="9" ht="28" customHeight="1">
      <c r="A9" s="16" t="inlineStr">
        <is>
          <t>WACC</t>
        </is>
      </c>
      <c r="B9" s="32" t="n">
        <v>0.11</v>
      </c>
      <c r="C9" s="32">
        <f>WACC!B36</f>
        <v/>
      </c>
      <c r="D9" s="32" t="n">
        <v>0.095</v>
      </c>
      <c r="E9" s="176" t="n"/>
      <c r="F9" s="176" t="n"/>
      <c r="G9" s="176" t="n"/>
    </row>
    <row r="10" ht="28" customHeight="1">
      <c r="A10" s="16" t="inlineStr">
        <is>
          <t>Terminal growth</t>
        </is>
      </c>
      <c r="B10" s="32" t="n">
        <v>0.015</v>
      </c>
      <c r="C10" s="32" t="n">
        <v>0.0225</v>
      </c>
      <c r="D10" s="32" t="n">
        <v>0.03</v>
      </c>
      <c r="E10" s="176" t="n"/>
      <c r="F10" s="176" t="n"/>
      <c r="G10" s="176" t="n"/>
    </row>
    <row r="11" ht="28" customHeight="1">
      <c r="A11" s="16" t="inlineStr">
        <is>
          <t>Cash tax rate</t>
        </is>
      </c>
      <c r="B11" s="32" t="n">
        <v>0.32</v>
      </c>
      <c r="C11" s="32" t="n">
        <v>0.3</v>
      </c>
      <c r="D11" s="32" t="n">
        <v>0.28</v>
      </c>
      <c r="E11" s="176" t="n"/>
      <c r="F11" s="176" t="n"/>
      <c r="G11" s="176" t="n"/>
    </row>
    <row r="12" ht="28" customHeight="1">
      <c r="A12" s="16" t="inlineStr">
        <is>
          <t>D&amp;A % of revenue</t>
        </is>
      </c>
      <c r="B12" s="32" t="n">
        <v>0.045</v>
      </c>
      <c r="C12" s="32">
        <f>DCF!B15/DCF!$B$6</f>
        <v/>
      </c>
      <c r="D12" s="32" t="n">
        <v>0.045</v>
      </c>
      <c r="E12" s="176" t="n"/>
      <c r="F12" s="176" t="n"/>
      <c r="G12" s="176" t="n"/>
    </row>
    <row r="13" ht="15" customHeight="1">
      <c r="A13" s="16" t="inlineStr">
        <is>
          <t>Capex % of revenue</t>
        </is>
      </c>
      <c r="B13" s="32" t="n">
        <v>0.07000000000000001</v>
      </c>
      <c r="C13" s="32" t="n">
        <v>0.055</v>
      </c>
      <c r="D13" s="32" t="n">
        <v>0.045</v>
      </c>
      <c r="E13" s="176" t="n"/>
      <c r="F13" s="176" t="n"/>
      <c r="G13" s="176" t="n"/>
    </row>
    <row r="14" ht="15" customHeight="1">
      <c r="A14" s="16" t="inlineStr">
        <is>
          <t>Gross margin %</t>
        </is>
      </c>
      <c r="B14" s="32" t="n">
        <v>0.5600000000000001</v>
      </c>
      <c r="C14" s="32">
        <f>(DCF!B6-DCF!B8)/DCF!B6</f>
        <v/>
      </c>
      <c r="D14" s="32" t="n">
        <v>0.575</v>
      </c>
      <c r="E14" s="176" t="n"/>
      <c r="F14" s="176" t="n"/>
      <c r="G14" s="176" t="n"/>
    </row>
    <row r="15" ht="15" customHeight="1">
      <c r="A15" s="16" t="inlineStr">
        <is>
          <t>DSO (days)</t>
        </is>
      </c>
      <c r="B15" s="193" t="n">
        <v>6.3</v>
      </c>
      <c r="C15" s="193" t="n">
        <v>6.3</v>
      </c>
      <c r="D15" s="193" t="n">
        <v>6.3</v>
      </c>
      <c r="E15" s="176" t="n"/>
      <c r="F15" s="176" t="n"/>
      <c r="G15" s="176" t="n"/>
    </row>
    <row r="16" ht="15" customHeight="1">
      <c r="A16" s="16" t="inlineStr">
        <is>
          <t>FY25 DIO anchor (days)</t>
        </is>
      </c>
      <c r="B16" s="193" t="n">
        <v>128.8</v>
      </c>
      <c r="C16" s="193" t="n">
        <v>128.8</v>
      </c>
      <c r="D16" s="193" t="n">
        <v>128.8</v>
      </c>
      <c r="E16" s="176" t="n"/>
      <c r="F16" s="176" t="n"/>
      <c r="G16" s="176" t="n"/>
    </row>
    <row r="17" ht="15" customHeight="1">
      <c r="A17" s="16" t="inlineStr">
        <is>
          <t>DIO decline (days / forecast yr)</t>
        </is>
      </c>
      <c r="B17" s="193" t="n">
        <v>1</v>
      </c>
      <c r="C17" s="193" t="n">
        <v>1</v>
      </c>
      <c r="D17" s="193" t="n">
        <v>1</v>
      </c>
      <c r="E17" s="176" t="n"/>
      <c r="F17" s="176" t="n"/>
      <c r="G17" s="176" t="n"/>
    </row>
    <row r="18" ht="15" customHeight="1">
      <c r="A18" s="16" t="inlineStr">
        <is>
          <t>DPO (days)</t>
        </is>
      </c>
      <c r="B18" s="193" t="n">
        <v>25.1</v>
      </c>
      <c r="C18" s="193" t="n">
        <v>25.1</v>
      </c>
      <c r="D18" s="193" t="n">
        <v>25.1</v>
      </c>
      <c r="E18" s="176" t="n"/>
      <c r="F18" s="176" t="n"/>
      <c r="G18" s="176" t="n"/>
    </row>
    <row r="19" ht="15" customHeight="1">
      <c r="A19" s="16" t="inlineStr">
        <is>
          <t>Prepaid expenses (% of revenue)</t>
        </is>
      </c>
      <c r="B19" s="32" t="n">
        <v>0.051</v>
      </c>
      <c r="C19" s="32" t="n">
        <v>0.051</v>
      </c>
      <c r="D19" s="32" t="n">
        <v>0.051</v>
      </c>
      <c r="E19" s="176" t="n"/>
      <c r="F19" s="176" t="n"/>
      <c r="G19" s="176" t="n"/>
    </row>
    <row r="20" ht="15" customHeight="1">
      <c r="A20" s="16" t="inlineStr">
        <is>
          <t>Accrued liabilities (% of revenue)</t>
        </is>
      </c>
      <c r="B20" s="32" t="n">
        <v>0.06</v>
      </c>
      <c r="C20" s="32" t="n">
        <v>0.06</v>
      </c>
      <c r="D20" s="32" t="n">
        <v>0.06</v>
      </c>
      <c r="E20" s="176" t="n"/>
      <c r="F20" s="176" t="n"/>
      <c r="G20" s="176" t="n"/>
    </row>
    <row r="21">
      <c r="A21" s="16" t="inlineStr">
        <is>
          <t>Fixed buyback ($k/yr)</t>
        </is>
      </c>
      <c r="B21" s="75" t="n">
        <v>750000</v>
      </c>
      <c r="C21" s="75" t="n">
        <v>750000</v>
      </c>
      <c r="D21" s="75" t="n">
        <v>0</v>
      </c>
      <c r="E21" s="176" t="n"/>
      <c r="F21" s="176" t="n"/>
      <c r="G21" s="176" t="n"/>
    </row>
    <row r="22">
      <c r="A22" s="16" t="inlineStr">
        <is>
          <t>% of FCF to buybacks (bull)</t>
        </is>
      </c>
      <c r="B22" s="32" t="n">
        <v>0</v>
      </c>
      <c r="C22" s="32" t="n">
        <v>0</v>
      </c>
      <c r="D22" s="32" t="n">
        <v>0.75</v>
      </c>
      <c r="E22" s="176" t="n"/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Forecast summary — active case ($000)</t>
        </is>
      </c>
      <c r="B24" s="176" t="n"/>
      <c r="C24" s="176" t="inlineStr">
        <is>
          <t>FY26E</t>
        </is>
      </c>
      <c r="D24" s="176" t="inlineStr">
        <is>
          <t>FY26E</t>
        </is>
      </c>
      <c r="E24" s="176" t="inlineStr">
        <is>
          <t>FY27E</t>
        </is>
      </c>
      <c r="F24" s="176" t="inlineStr">
        <is>
          <t>FY28E</t>
        </is>
      </c>
      <c r="G24" s="176" t="inlineStr">
        <is>
          <t>FY29E</t>
        </is>
      </c>
      <c r="H24" t="inlineStr">
        <is>
          <t>FY30E</t>
        </is>
      </c>
    </row>
    <row r="25">
      <c r="A25" s="41" t="inlineStr">
        <is>
          <t>Net revenue ($000)</t>
        </is>
      </c>
      <c r="B25" s="75">
        <f>DCF!$B$6*(1+B4)</f>
        <v/>
      </c>
      <c r="C25" s="75">
        <f>DCF!C6</f>
        <v/>
      </c>
      <c r="D25" s="75">
        <f>DCF!C6</f>
        <v/>
      </c>
      <c r="E25" s="176">
        <f>DCF!D6</f>
        <v/>
      </c>
      <c r="F25" s="176">
        <f>DCF!E6</f>
        <v/>
      </c>
      <c r="G25" s="176">
        <f>DCF!F6</f>
        <v/>
      </c>
      <c r="H25">
        <f>DCF!G6</f>
        <v/>
      </c>
    </row>
    <row r="26">
      <c r="A26" s="41" t="inlineStr">
        <is>
          <t>COGS ($000)</t>
        </is>
      </c>
      <c r="B26" s="75">
        <f>B25*(1+B5)</f>
        <v/>
      </c>
      <c r="C26" s="75">
        <f>DCF!C8</f>
        <v/>
      </c>
      <c r="D26" s="75">
        <f>DCF!C8</f>
        <v/>
      </c>
      <c r="E26" s="176">
        <f>DCF!D8</f>
        <v/>
      </c>
      <c r="F26" s="176">
        <f>DCF!E8</f>
        <v/>
      </c>
      <c r="G26" s="176">
        <f>DCF!F8</f>
        <v/>
      </c>
      <c r="H26">
        <f>DCF!G8</f>
        <v/>
      </c>
    </row>
    <row r="27">
      <c r="A27" s="41" t="inlineStr">
        <is>
          <t>Gross margin %</t>
        </is>
      </c>
      <c r="B27" s="32">
        <f>B26*(1+B5)</f>
        <v/>
      </c>
      <c r="C27" s="32">
        <f>DCF!C7</f>
        <v/>
      </c>
      <c r="D27" s="32">
        <f>DCF!C7</f>
        <v/>
      </c>
      <c r="E27" s="176">
        <f>DCF!D7</f>
        <v/>
      </c>
      <c r="F27" s="176">
        <f>DCF!E7</f>
        <v/>
      </c>
      <c r="G27" s="176">
        <f>DCF!F7</f>
        <v/>
      </c>
      <c r="H27">
        <f>DCF!G7</f>
        <v/>
      </c>
    </row>
    <row r="28">
      <c r="A28" s="41" t="inlineStr">
        <is>
          <t>EBIT margin %</t>
        </is>
      </c>
      <c r="B28" s="32">
        <f>B27*(1+B5)</f>
        <v/>
      </c>
      <c r="C28" s="32">
        <f>DCF!C9</f>
        <v/>
      </c>
      <c r="D28" s="32">
        <f>DCF!C9</f>
        <v/>
      </c>
      <c r="E28" s="176">
        <f>DCF!D9</f>
        <v/>
      </c>
      <c r="F28" s="176">
        <f>DCF!E9</f>
        <v/>
      </c>
      <c r="G28" s="176">
        <f>DCF!F9</f>
        <v/>
      </c>
      <c r="H28">
        <f>DCF!G9</f>
        <v/>
      </c>
    </row>
    <row r="29">
      <c r="A29" s="41" t="inlineStr">
        <is>
          <t>EBIT ($000)</t>
        </is>
      </c>
      <c r="B29" s="75">
        <f>B28*(1+B5)</f>
        <v/>
      </c>
      <c r="C29" s="75">
        <f>DCF!C11</f>
        <v/>
      </c>
      <c r="D29" s="75">
        <f>DCF!C11</f>
        <v/>
      </c>
      <c r="E29" s="176">
        <f>DCF!D11</f>
        <v/>
      </c>
      <c r="F29" s="176">
        <f>DCF!E11</f>
        <v/>
      </c>
      <c r="G29" s="176">
        <f>DCF!F11</f>
        <v/>
      </c>
      <c r="H29">
        <f>DCF!G11</f>
        <v/>
      </c>
    </row>
    <row r="30">
      <c r="A30" s="41" t="inlineStr">
        <is>
          <t>NOPAT ($000)</t>
        </is>
      </c>
      <c r="B30" s="75">
        <f>B14</f>
        <v/>
      </c>
      <c r="C30" s="75">
        <f>DCF!C14</f>
        <v/>
      </c>
      <c r="D30" s="75">
        <f>DCF!C14</f>
        <v/>
      </c>
      <c r="E30" s="176">
        <f>DCF!D14</f>
        <v/>
      </c>
      <c r="F30" s="176">
        <f>DCF!E14</f>
        <v/>
      </c>
      <c r="G30" s="176">
        <f>DCF!F14</f>
        <v/>
      </c>
      <c r="H30">
        <f>DCF!G14</f>
        <v/>
      </c>
    </row>
    <row r="31">
      <c r="A31" s="41" t="inlineStr">
        <is>
          <t>Unlevered FCF ($000)</t>
        </is>
      </c>
      <c r="B31" s="75">
        <f>B14</f>
        <v/>
      </c>
      <c r="C31" s="75">
        <f>DCF!C17</f>
        <v/>
      </c>
      <c r="D31" s="75">
        <f>DCF!C36</f>
        <v/>
      </c>
      <c r="E31" s="176">
        <f>DCF!D36</f>
        <v/>
      </c>
      <c r="F31" s="176">
        <f>DCF!E36</f>
        <v/>
      </c>
      <c r="G31" s="176">
        <f>DCF!F36</f>
        <v/>
      </c>
      <c r="H31">
        <f>DCF!G36</f>
        <v/>
      </c>
    </row>
    <row r="32">
      <c r="A32" s="41" t="inlineStr">
        <is>
          <t>Capex ($000)</t>
        </is>
      </c>
      <c r="B32" s="75">
        <f>B14</f>
        <v/>
      </c>
      <c r="C32" s="75">
        <f>DCF!C19</f>
        <v/>
      </c>
      <c r="D32" s="75">
        <f>DCF!D19</f>
        <v/>
      </c>
      <c r="E32" s="176">
        <f>DCF!E19</f>
        <v/>
      </c>
      <c r="F32" s="176">
        <f>DCF!F19</f>
        <v/>
      </c>
      <c r="G32" s="176">
        <f>DCF!G19</f>
        <v/>
      </c>
    </row>
    <row r="33">
      <c r="A33" s="41" t="inlineStr">
        <is>
          <t>Unlevered FCF ($000)</t>
        </is>
      </c>
      <c r="B33" s="75">
        <f>B14</f>
        <v/>
      </c>
      <c r="C33" s="75">
        <f>DCF!C36</f>
        <v/>
      </c>
      <c r="D33" s="75">
        <f>DCF!D36</f>
        <v/>
      </c>
      <c r="E33" s="176">
        <f>DCF!E36</f>
        <v/>
      </c>
      <c r="F33" s="176">
        <f>DCF!F36</f>
        <v/>
      </c>
      <c r="G33" s="176">
        <f>DCF!G36</f>
        <v/>
      </c>
    </row>
    <row r="34">
      <c r="A34" s="41" t="n"/>
      <c r="B34" s="32" t="n"/>
      <c r="C34" s="32" t="n"/>
      <c r="D34" s="32" t="n"/>
      <c r="E34" s="176" t="n"/>
      <c r="F34" s="176" t="n"/>
      <c r="G34" s="176" t="n"/>
    </row>
    <row r="35">
      <c r="A35" s="41" t="n"/>
      <c r="B35" s="75" t="n"/>
      <c r="C35" s="75" t="n"/>
      <c r="D35" s="75" t="n"/>
      <c r="E35" s="176" t="n"/>
      <c r="F35" s="176" t="n"/>
      <c r="G35" s="176" t="n"/>
    </row>
    <row r="36">
      <c r="A36" s="41" t="n"/>
      <c r="B36" s="75" t="n"/>
      <c r="C36" s="75" t="n"/>
      <c r="D36" s="75" t="n"/>
      <c r="E36" s="176" t="n"/>
      <c r="F36" s="176" t="n"/>
      <c r="G36" s="176" t="n"/>
    </row>
    <row r="37">
      <c r="A37" s="41" t="n"/>
      <c r="B37" s="75" t="n"/>
      <c r="C37" s="75" t="n"/>
      <c r="D37" s="75" t="n"/>
      <c r="E37" s="176" t="n"/>
      <c r="F37" s="176" t="n"/>
      <c r="G37" s="176" t="n"/>
    </row>
    <row r="38">
      <c r="A38" s="41" t="n"/>
      <c r="B38" s="75" t="n"/>
      <c r="C38" s="75" t="n"/>
      <c r="D38" s="75" t="n"/>
      <c r="E38" s="176" t="n"/>
      <c r="F38" s="176" t="n"/>
      <c r="G38" s="176" t="n"/>
    </row>
    <row r="39">
      <c r="A39" s="41" t="n"/>
      <c r="B39" s="75" t="n"/>
      <c r="C39" s="75" t="n"/>
      <c r="D39" s="75" t="n"/>
      <c r="E39" s="176" t="n"/>
      <c r="F39" s="176" t="n"/>
      <c r="G39" s="176" t="n"/>
    </row>
    <row r="40">
      <c r="A40" s="41" t="n"/>
      <c r="B40" s="32" t="n"/>
      <c r="C40" s="32" t="n"/>
      <c r="D40" s="32" t="n"/>
      <c r="E40" s="176" t="n"/>
      <c r="F40" s="176" t="n"/>
      <c r="G40" s="176" t="n"/>
    </row>
    <row r="41">
      <c r="A41" s="41" t="n"/>
      <c r="B41" s="32" t="n"/>
      <c r="C41" s="32" t="n"/>
      <c r="D41" s="32" t="n"/>
      <c r="E41" s="176" t="n"/>
      <c r="F41" s="176" t="n"/>
      <c r="G41" s="176" t="n"/>
    </row>
    <row r="42">
      <c r="A42" s="41" t="n"/>
      <c r="B42" s="32" t="n"/>
      <c r="C42" s="32" t="n"/>
      <c r="D42" s="32" t="n"/>
      <c r="E42" s="176" t="n"/>
      <c r="F42" s="176" t="n"/>
      <c r="G42" s="176" t="n"/>
    </row>
    <row r="43">
      <c r="A43" s="41" t="n"/>
      <c r="B43" s="32" t="n"/>
      <c r="C43" s="32" t="n"/>
      <c r="D43" s="32" t="n"/>
      <c r="E43" s="176" t="n"/>
      <c r="F43" s="176" t="n"/>
      <c r="G43" s="176" t="n"/>
    </row>
    <row r="44">
      <c r="A44" s="41" t="n"/>
      <c r="B44" s="32" t="n"/>
      <c r="C44" s="32" t="n"/>
      <c r="D44" s="32" t="n"/>
      <c r="E44" s="176" t="n"/>
      <c r="F44" s="176" t="n"/>
      <c r="G44" s="176" t="n"/>
    </row>
    <row r="45">
      <c r="A45" s="41" t="n"/>
      <c r="B45" s="75" t="n"/>
      <c r="C45" s="75" t="n"/>
      <c r="D45" s="75" t="n"/>
      <c r="E45" s="176" t="n"/>
      <c r="F45" s="176" t="n"/>
      <c r="G45" s="176" t="n"/>
    </row>
    <row r="46">
      <c r="A46" s="41" t="n"/>
      <c r="B46" s="75" t="n"/>
      <c r="C46" s="75" t="n"/>
      <c r="D46" s="75" t="n"/>
      <c r="E46" s="176" t="n"/>
      <c r="F46" s="176" t="n"/>
      <c r="G46" s="176" t="n"/>
    </row>
    <row r="47">
      <c r="A47" s="41" t="n"/>
      <c r="B47" s="75" t="n"/>
      <c r="C47" s="75" t="n"/>
      <c r="D47" s="75" t="n"/>
      <c r="E47" s="176" t="n"/>
      <c r="F47" s="176" t="n"/>
      <c r="G47" s="176" t="n"/>
    </row>
    <row r="48">
      <c r="A48" s="41" t="n"/>
      <c r="B48" s="75" t="n"/>
      <c r="C48" s="75" t="n"/>
      <c r="D48" s="75" t="n"/>
      <c r="E48" s="176" t="n"/>
      <c r="F48" s="176" t="n"/>
      <c r="G48" s="176" t="n"/>
    </row>
    <row r="49">
      <c r="A49" s="41" t="n"/>
      <c r="B49" s="75" t="n"/>
      <c r="C49" s="75" t="n"/>
      <c r="D49" s="75" t="n"/>
      <c r="E49" s="176" t="n"/>
      <c r="F49" s="176" t="n"/>
      <c r="G49" s="176" t="n"/>
    </row>
    <row r="50">
      <c r="A50" s="41" t="n"/>
      <c r="B50" s="75" t="n"/>
      <c r="C50" s="75" t="n"/>
      <c r="D50" s="75" t="n"/>
      <c r="E50" s="176" t="n"/>
      <c r="F50" s="176" t="n"/>
      <c r="G50" s="176" t="n"/>
    </row>
    <row r="51">
      <c r="A51" s="41" t="n"/>
      <c r="B51" s="75" t="n"/>
      <c r="C51" s="75" t="n"/>
      <c r="D51" s="75" t="n"/>
      <c r="E51" s="176" t="n"/>
      <c r="F51" s="176" t="n"/>
      <c r="G51" s="176" t="n"/>
    </row>
    <row r="52">
      <c r="A52" s="41" t="n"/>
      <c r="B52" s="75" t="n"/>
      <c r="C52" s="75" t="n"/>
      <c r="D52" s="75" t="n"/>
      <c r="E52" s="176" t="n"/>
      <c r="F52" s="176" t="n"/>
      <c r="G52" s="176" t="n"/>
    </row>
    <row r="53">
      <c r="A53" s="41" t="n"/>
      <c r="B53" s="75" t="n"/>
      <c r="C53" s="75" t="n"/>
      <c r="D53" s="75" t="n"/>
      <c r="E53" s="176" t="n"/>
      <c r="F53" s="176" t="n"/>
      <c r="G53" s="176" t="n"/>
    </row>
    <row r="54">
      <c r="A54" s="41" t="n"/>
      <c r="B54" s="75" t="n"/>
      <c r="C54" s="75" t="n"/>
      <c r="D54" s="75" t="n"/>
      <c r="E54" s="176" t="n"/>
      <c r="F54" s="176" t="n"/>
      <c r="G54" s="176" t="n"/>
    </row>
    <row r="55">
      <c r="A55" s="41" t="n"/>
      <c r="B55" s="75" t="n"/>
      <c r="C55" s="75" t="n"/>
      <c r="D55" s="75" t="n"/>
      <c r="E55" s="176" t="n"/>
      <c r="F55" s="176" t="n"/>
      <c r="G55" s="176" t="n"/>
    </row>
    <row r="56">
      <c r="A56" s="41" t="n"/>
      <c r="B56" s="75" t="n"/>
      <c r="C56" s="75" t="n"/>
      <c r="D56" s="75" t="n"/>
      <c r="E56" s="176" t="n"/>
      <c r="F56" s="176" t="n"/>
      <c r="G56" s="176" t="n"/>
    </row>
    <row r="57">
      <c r="A57" s="41" t="n"/>
      <c r="B57" s="75" t="n"/>
      <c r="C57" s="75" t="n"/>
      <c r="D57" s="75" t="n"/>
      <c r="E57" s="176" t="n"/>
      <c r="F57" s="176" t="n"/>
      <c r="G57" s="176" t="n"/>
    </row>
    <row r="58">
      <c r="A58" s="41" t="n"/>
      <c r="B58" s="75" t="n"/>
      <c r="C58" s="75" t="n"/>
      <c r="D58" s="75" t="n"/>
      <c r="E58" s="176" t="n"/>
      <c r="F58" s="176" t="n"/>
      <c r="G58" s="176" t="n"/>
    </row>
    <row r="59">
      <c r="A59" s="41" t="n"/>
      <c r="B59" s="75" t="n"/>
      <c r="C59" s="75" t="n"/>
      <c r="D59" s="75" t="n"/>
      <c r="E59" s="176" t="n"/>
      <c r="F59" s="176" t="n"/>
      <c r="G59" s="176" t="n"/>
    </row>
    <row r="60">
      <c r="A60" s="41" t="n"/>
      <c r="B60" s="75" t="n"/>
      <c r="C60" s="75" t="n"/>
      <c r="D60" s="75" t="n"/>
      <c r="E60" s="176" t="n"/>
      <c r="F60" s="176" t="n"/>
      <c r="G60" s="176" t="n"/>
    </row>
    <row r="61">
      <c r="A61" s="41" t="n"/>
      <c r="B61" s="75" t="n"/>
      <c r="C61" s="75" t="n"/>
      <c r="D61" s="75" t="n"/>
      <c r="E61" s="176" t="n"/>
      <c r="F61" s="176" t="n"/>
      <c r="G61" s="176" t="n"/>
    </row>
    <row r="62">
      <c r="A62" s="41" t="n"/>
      <c r="B62" s="75" t="n"/>
      <c r="C62" s="75" t="n"/>
      <c r="D62" s="75" t="n"/>
      <c r="E62" s="176" t="n"/>
      <c r="F62" s="176" t="n"/>
      <c r="G62" s="176" t="n"/>
    </row>
    <row r="63">
      <c r="A63" s="41" t="n"/>
      <c r="B63" s="75" t="n"/>
      <c r="C63" s="75" t="n"/>
      <c r="D63" s="75" t="n"/>
      <c r="E63" s="176" t="n"/>
      <c r="F63" s="176" t="n"/>
      <c r="G63" s="176" t="n"/>
    </row>
    <row r="64">
      <c r="A64" s="41" t="n"/>
      <c r="B64" s="75" t="n"/>
      <c r="C64" s="75" t="n"/>
      <c r="D64" s="75" t="n"/>
      <c r="E64" s="176" t="n"/>
      <c r="F64" s="176" t="n"/>
      <c r="G64" s="176" t="n"/>
    </row>
    <row r="65">
      <c r="A65" s="41" t="inlineStr">
        <is>
          <t>DSO (days) - year 1</t>
        </is>
      </c>
      <c r="B65" s="193">
        <f>B15</f>
        <v/>
      </c>
      <c r="C65" s="193">
        <f>C15</f>
        <v/>
      </c>
      <c r="D65" s="193">
        <f>D15</f>
        <v/>
      </c>
      <c r="E65" s="176" t="n"/>
      <c r="F65" s="176" t="n"/>
      <c r="G65" s="176" t="n"/>
    </row>
    <row r="66">
      <c r="A66" s="41" t="inlineStr">
        <is>
          <t>DSO (days) - year 2</t>
        </is>
      </c>
      <c r="B66" s="193">
        <f>B15</f>
        <v/>
      </c>
      <c r="C66" s="193">
        <f>C15</f>
        <v/>
      </c>
      <c r="D66" s="193">
        <f>D15</f>
        <v/>
      </c>
      <c r="E66" s="176" t="n"/>
      <c r="F66" s="176" t="n"/>
      <c r="G66" s="176" t="n"/>
    </row>
    <row r="67">
      <c r="A67" s="41" t="inlineStr">
        <is>
          <t>DSO (days) - year 3</t>
        </is>
      </c>
      <c r="B67" s="193">
        <f>B15</f>
        <v/>
      </c>
      <c r="C67" s="193">
        <f>C15</f>
        <v/>
      </c>
      <c r="D67" s="193">
        <f>D15</f>
        <v/>
      </c>
      <c r="E67" s="176" t="n"/>
      <c r="F67" s="176" t="n"/>
      <c r="G67" s="176" t="n"/>
    </row>
    <row r="68">
      <c r="A68" s="41" t="inlineStr">
        <is>
          <t>DSO (days) - year 4</t>
        </is>
      </c>
      <c r="B68" s="193">
        <f>B15</f>
        <v/>
      </c>
      <c r="C68" s="193">
        <f>C15</f>
        <v/>
      </c>
      <c r="D68" s="193">
        <f>D15</f>
        <v/>
      </c>
      <c r="E68" s="176" t="n"/>
      <c r="F68" s="176" t="n"/>
      <c r="G68" s="176" t="n"/>
    </row>
    <row r="69">
      <c r="A69" s="41" t="inlineStr">
        <is>
          <t>DSO (days) - year 5</t>
        </is>
      </c>
      <c r="B69" s="193">
        <f>B15</f>
        <v/>
      </c>
      <c r="C69" s="193">
        <f>C15</f>
        <v/>
      </c>
      <c r="D69" s="193">
        <f>D15</f>
        <v/>
      </c>
      <c r="E69" s="176" t="n"/>
      <c r="F69" s="176" t="n"/>
      <c r="G69" s="176" t="n"/>
    </row>
    <row r="70">
      <c r="A70" s="41" t="inlineStr">
        <is>
          <t>Accounts receivable - year 1</t>
        </is>
      </c>
      <c r="B70" s="75">
        <f>(B65/365)*B25</f>
        <v/>
      </c>
      <c r="C70" s="75">
        <f>(C65/365)*C25</f>
        <v/>
      </c>
      <c r="D70" s="75">
        <f>(D65/365)*D25</f>
        <v/>
      </c>
      <c r="E70" s="176" t="n"/>
      <c r="F70" s="176" t="n"/>
      <c r="G70" s="176" t="n"/>
    </row>
    <row r="71">
      <c r="A71" s="41" t="inlineStr">
        <is>
          <t>Accounts receivable - year 2</t>
        </is>
      </c>
      <c r="B71" s="75">
        <f>(B66/365)*B26</f>
        <v/>
      </c>
      <c r="C71" s="75">
        <f>(C66/365)*C26</f>
        <v/>
      </c>
      <c r="D71" s="75">
        <f>(D66/365)*D26</f>
        <v/>
      </c>
      <c r="E71" s="176" t="n"/>
      <c r="F71" s="176" t="n"/>
      <c r="G71" s="176" t="n"/>
    </row>
    <row r="72">
      <c r="A72" s="41" t="inlineStr">
        <is>
          <t>Accounts receivable - year 3</t>
        </is>
      </c>
      <c r="B72" s="75">
        <f>(B67/365)*B27</f>
        <v/>
      </c>
      <c r="C72" s="75">
        <f>(C67/365)*C27</f>
        <v/>
      </c>
      <c r="D72" s="75">
        <f>(D67/365)*D27</f>
        <v/>
      </c>
      <c r="E72" s="176" t="n"/>
      <c r="F72" s="176" t="n"/>
      <c r="G72" s="176" t="n"/>
    </row>
    <row r="73">
      <c r="A73" s="41" t="inlineStr">
        <is>
          <t>Accounts receivable - year 4</t>
        </is>
      </c>
      <c r="B73" s="75">
        <f>(B68/365)*B28</f>
        <v/>
      </c>
      <c r="C73" s="75">
        <f>(C68/365)*C28</f>
        <v/>
      </c>
      <c r="D73" s="75">
        <f>(D68/365)*D28</f>
        <v/>
      </c>
      <c r="E73" s="176" t="n"/>
      <c r="F73" s="176" t="n"/>
      <c r="G73" s="176" t="n"/>
    </row>
    <row r="74">
      <c r="A74" s="41" t="inlineStr">
        <is>
          <t>Accounts receivable - year 5</t>
        </is>
      </c>
      <c r="B74" s="75">
        <f>(B69/365)*B29</f>
        <v/>
      </c>
      <c r="C74" s="75">
        <f>(C69/365)*C29</f>
        <v/>
      </c>
      <c r="D74" s="75">
        <f>(D69/365)*D29</f>
        <v/>
      </c>
      <c r="E74" s="176" t="n"/>
      <c r="F74" s="176" t="n"/>
      <c r="G74" s="176" t="n"/>
    </row>
    <row r="75">
      <c r="A75" s="41" t="inlineStr">
        <is>
          <t>DIO (days) - year 1</t>
        </is>
      </c>
      <c r="B75" s="193">
        <f>B16-B17*1</f>
        <v/>
      </c>
      <c r="C75" s="193">
        <f>C16-C17*1</f>
        <v/>
      </c>
      <c r="D75" s="193">
        <f>D16-D17*1</f>
        <v/>
      </c>
      <c r="E75" s="176" t="n"/>
      <c r="F75" s="176" t="n"/>
      <c r="G75" s="176" t="n"/>
    </row>
    <row r="76">
      <c r="A76" s="41" t="inlineStr">
        <is>
          <t>DIO (days) - year 2</t>
        </is>
      </c>
      <c r="B76" s="193">
        <f>B16-B17*2</f>
        <v/>
      </c>
      <c r="C76" s="193">
        <f>C16-C17*2</f>
        <v/>
      </c>
      <c r="D76" s="193">
        <f>D16-D17*2</f>
        <v/>
      </c>
      <c r="E76" s="176" t="n"/>
      <c r="F76" s="176" t="n"/>
      <c r="G76" s="176" t="n"/>
    </row>
    <row r="77">
      <c r="A77" s="41" t="inlineStr">
        <is>
          <t>DIO (days) - year 3</t>
        </is>
      </c>
      <c r="B77" s="193">
        <f>B16-B17*3</f>
        <v/>
      </c>
      <c r="C77" s="193">
        <f>C16-C17*3</f>
        <v/>
      </c>
      <c r="D77" s="193">
        <f>D16-D17*3</f>
        <v/>
      </c>
      <c r="E77" s="176" t="n"/>
      <c r="F77" s="176" t="n"/>
      <c r="G77" s="176" t="n"/>
    </row>
    <row r="78">
      <c r="A78" s="41" t="inlineStr">
        <is>
          <t>DIO (days) - year 4</t>
        </is>
      </c>
      <c r="B78" s="193">
        <f>B16-B17*4</f>
        <v/>
      </c>
      <c r="C78" s="193">
        <f>C16-C17*4</f>
        <v/>
      </c>
      <c r="D78" s="193">
        <f>D16-D17*4</f>
        <v/>
      </c>
      <c r="E78" s="176" t="n"/>
      <c r="F78" s="176" t="n"/>
      <c r="G78" s="176" t="n"/>
    </row>
    <row r="79">
      <c r="A79" s="41" t="inlineStr">
        <is>
          <t>DIO (days) - year 5</t>
        </is>
      </c>
      <c r="B79" s="193">
        <f>B16-B17*5</f>
        <v/>
      </c>
      <c r="C79" s="193">
        <f>C16-C17*5</f>
        <v/>
      </c>
      <c r="D79" s="193">
        <f>D16-D17*5</f>
        <v/>
      </c>
      <c r="E79" s="176" t="n"/>
      <c r="F79" s="176" t="n"/>
      <c r="G79" s="176" t="n"/>
    </row>
    <row r="80">
      <c r="A80" s="41" t="inlineStr">
        <is>
          <t>Inventories - year 1</t>
        </is>
      </c>
      <c r="B80" s="75">
        <f>(B75/365)*B35</f>
        <v/>
      </c>
      <c r="C80" s="75">
        <f>(C75/365)*C35</f>
        <v/>
      </c>
      <c r="D80" s="75">
        <f>(D75/365)*D35</f>
        <v/>
      </c>
      <c r="E80" s="176" t="n"/>
      <c r="F80" s="176" t="n"/>
      <c r="G80" s="176" t="n"/>
    </row>
    <row r="81">
      <c r="A81" s="41" t="inlineStr">
        <is>
          <t>Inventories - year 2</t>
        </is>
      </c>
      <c r="B81" s="75">
        <f>(B76/365)*B36</f>
        <v/>
      </c>
      <c r="C81" s="75">
        <f>(C76/365)*C36</f>
        <v/>
      </c>
      <c r="D81" s="75">
        <f>(D76/365)*D36</f>
        <v/>
      </c>
      <c r="E81" s="176" t="n"/>
      <c r="F81" s="176" t="n"/>
      <c r="G81" s="176" t="n"/>
    </row>
    <row r="82">
      <c r="A82" s="41" t="inlineStr">
        <is>
          <t>Inventories - year 3</t>
        </is>
      </c>
      <c r="B82" s="75">
        <f>(B77/365)*B37</f>
        <v/>
      </c>
      <c r="C82" s="75">
        <f>(C77/365)*C37</f>
        <v/>
      </c>
      <c r="D82" s="75">
        <f>(D77/365)*D37</f>
        <v/>
      </c>
      <c r="E82" s="176" t="n"/>
      <c r="F82" s="176" t="n"/>
      <c r="G82" s="176" t="n"/>
    </row>
    <row r="83">
      <c r="A83" s="41" t="inlineStr">
        <is>
          <t>Inventories - year 4</t>
        </is>
      </c>
      <c r="B83" s="75">
        <f>(B78/365)*B38</f>
        <v/>
      </c>
      <c r="C83" s="75">
        <f>(C78/365)*C38</f>
        <v/>
      </c>
      <c r="D83" s="75">
        <f>(D78/365)*D38</f>
        <v/>
      </c>
      <c r="E83" s="176" t="n"/>
      <c r="F83" s="176" t="n"/>
      <c r="G83" s="176" t="n"/>
    </row>
    <row r="84">
      <c r="A84" s="41" t="inlineStr">
        <is>
          <t>Inventories - year 5</t>
        </is>
      </c>
      <c r="B84" s="75">
        <f>(B79/365)*B39</f>
        <v/>
      </c>
      <c r="C84" s="75">
        <f>(C79/365)*C39</f>
        <v/>
      </c>
      <c r="D84" s="75">
        <f>(D79/365)*D39</f>
        <v/>
      </c>
      <c r="E84" s="176" t="n"/>
      <c r="F84" s="176" t="n"/>
      <c r="G84" s="176" t="n"/>
    </row>
    <row r="85">
      <c r="A85" s="41" t="inlineStr">
        <is>
          <t>DPO (days) - year 1</t>
        </is>
      </c>
      <c r="B85" s="193">
        <f>B18</f>
        <v/>
      </c>
      <c r="C85" s="193">
        <f>C18</f>
        <v/>
      </c>
      <c r="D85" s="193">
        <f>D18</f>
        <v/>
      </c>
      <c r="E85" s="176" t="n"/>
      <c r="F85" s="176" t="n"/>
      <c r="G85" s="176" t="n"/>
    </row>
    <row r="86">
      <c r="A86" s="41" t="inlineStr">
        <is>
          <t>DPO (days) - year 2</t>
        </is>
      </c>
      <c r="B86" s="193">
        <f>B18</f>
        <v/>
      </c>
      <c r="C86" s="193">
        <f>C18</f>
        <v/>
      </c>
      <c r="D86" s="193">
        <f>D18</f>
        <v/>
      </c>
      <c r="E86" s="176" t="n"/>
      <c r="F86" s="176" t="n"/>
      <c r="G86" s="176" t="n"/>
    </row>
    <row r="87">
      <c r="A87" s="41" t="inlineStr">
        <is>
          <t>DPO (days) - year 3</t>
        </is>
      </c>
      <c r="B87" s="193">
        <f>B18</f>
        <v/>
      </c>
      <c r="C87" s="193">
        <f>C18</f>
        <v/>
      </c>
      <c r="D87" s="193">
        <f>D18</f>
        <v/>
      </c>
      <c r="E87" s="176" t="n"/>
      <c r="F87" s="176" t="n"/>
      <c r="G87" s="176" t="n"/>
    </row>
    <row r="88">
      <c r="A88" s="41" t="inlineStr">
        <is>
          <t>DPO (days) - year 4</t>
        </is>
      </c>
      <c r="B88" s="193">
        <f>B18</f>
        <v/>
      </c>
      <c r="C88" s="193">
        <f>C18</f>
        <v/>
      </c>
      <c r="D88" s="193">
        <f>D18</f>
        <v/>
      </c>
      <c r="E88" s="176" t="n"/>
      <c r="F88" s="176" t="n"/>
      <c r="G88" s="176" t="n"/>
    </row>
    <row r="89">
      <c r="A89" s="41" t="inlineStr">
        <is>
          <t>DPO (days) - year 5</t>
        </is>
      </c>
      <c r="B89" s="193">
        <f>B18</f>
        <v/>
      </c>
      <c r="C89" s="193">
        <f>C18</f>
        <v/>
      </c>
      <c r="D89" s="193">
        <f>D18</f>
        <v/>
      </c>
      <c r="E89" s="176" t="n"/>
      <c r="F89" s="176" t="n"/>
      <c r="G89" s="176" t="n"/>
    </row>
    <row r="90">
      <c r="A90" s="41" t="inlineStr">
        <is>
          <t>Accounts payable - year 1</t>
        </is>
      </c>
      <c r="B90" s="75">
        <f>(B85/365)*B35</f>
        <v/>
      </c>
      <c r="C90" s="75">
        <f>(C85/365)*C35</f>
        <v/>
      </c>
      <c r="D90" s="75">
        <f>(D85/365)*D35</f>
        <v/>
      </c>
      <c r="E90" s="176" t="n"/>
      <c r="F90" s="176" t="n"/>
      <c r="G90" s="176" t="n"/>
    </row>
    <row r="91">
      <c r="A91" s="41" t="inlineStr">
        <is>
          <t>Accounts payable - year 2</t>
        </is>
      </c>
      <c r="B91" s="75">
        <f>(B86/365)*B36</f>
        <v/>
      </c>
      <c r="C91" s="75">
        <f>(C86/365)*C36</f>
        <v/>
      </c>
      <c r="D91" s="75">
        <f>(D86/365)*D36</f>
        <v/>
      </c>
      <c r="E91" s="176" t="n"/>
      <c r="F91" s="176" t="n"/>
      <c r="G91" s="176" t="n"/>
    </row>
    <row r="92">
      <c r="A92" s="41" t="inlineStr">
        <is>
          <t>Accounts payable - year 3</t>
        </is>
      </c>
      <c r="B92" s="75">
        <f>(B87/365)*B37</f>
        <v/>
      </c>
      <c r="C92" s="75">
        <f>(C87/365)*C37</f>
        <v/>
      </c>
      <c r="D92" s="75">
        <f>(D87/365)*D37</f>
        <v/>
      </c>
      <c r="E92" s="176" t="n"/>
      <c r="F92" s="176" t="n"/>
      <c r="G92" s="176" t="n"/>
    </row>
    <row r="93">
      <c r="A93" s="41" t="inlineStr">
        <is>
          <t>Accounts payable - year 4</t>
        </is>
      </c>
      <c r="B93" s="75">
        <f>(B88/365)*B38</f>
        <v/>
      </c>
      <c r="C93" s="75">
        <f>(C88/365)*C38</f>
        <v/>
      </c>
      <c r="D93" s="75">
        <f>(D88/365)*D38</f>
        <v/>
      </c>
      <c r="E93" s="176" t="n"/>
      <c r="F93" s="176" t="n"/>
      <c r="G93" s="176" t="n"/>
    </row>
    <row r="94">
      <c r="A94" s="41" t="inlineStr">
        <is>
          <t>Accounts payable - year 5</t>
        </is>
      </c>
      <c r="B94" s="75">
        <f>(B89/365)*B39</f>
        <v/>
      </c>
      <c r="C94" s="75">
        <f>(C89/365)*C39</f>
        <v/>
      </c>
      <c r="D94" s="75">
        <f>(D89/365)*D39</f>
        <v/>
      </c>
      <c r="E94" s="176" t="n"/>
      <c r="F94" s="176" t="n"/>
      <c r="G94" s="176" t="n"/>
    </row>
    <row r="95">
      <c r="A95" s="41" t="inlineStr">
        <is>
          <t>Prepaid expenses (other current assets) - year 1</t>
        </is>
      </c>
      <c r="B95" s="75">
        <f>B25*B19</f>
        <v/>
      </c>
      <c r="C95" s="75">
        <f>C25*C19</f>
        <v/>
      </c>
      <c r="D95" s="75">
        <f>D25*D19</f>
        <v/>
      </c>
      <c r="E95" s="176" t="n"/>
      <c r="F95" s="176" t="n"/>
      <c r="G95" s="176" t="n"/>
    </row>
    <row r="96">
      <c r="A96" s="41" t="inlineStr">
        <is>
          <t>Prepaid expenses (other current assets) - year 2</t>
        </is>
      </c>
      <c r="B96" s="75">
        <f>B26*B19</f>
        <v/>
      </c>
      <c r="C96" s="75">
        <f>C26*C19</f>
        <v/>
      </c>
      <c r="D96" s="75">
        <f>D26*D19</f>
        <v/>
      </c>
      <c r="E96" s="176" t="n"/>
      <c r="F96" s="176" t="n"/>
      <c r="G96" s="176" t="n"/>
    </row>
    <row r="97">
      <c r="A97" s="41" t="inlineStr">
        <is>
          <t>Prepaid expenses (other current assets) - year 3</t>
        </is>
      </c>
      <c r="B97" s="75">
        <f>B27*B19</f>
        <v/>
      </c>
      <c r="C97" s="75">
        <f>C27*C19</f>
        <v/>
      </c>
      <c r="D97" s="75">
        <f>D27*D19</f>
        <v/>
      </c>
      <c r="E97" s="176" t="n"/>
      <c r="F97" s="176" t="n"/>
      <c r="G97" s="176" t="n"/>
    </row>
    <row r="98">
      <c r="A98" s="41" t="inlineStr">
        <is>
          <t>Prepaid expenses (other current assets) - year 4</t>
        </is>
      </c>
      <c r="B98" s="75">
        <f>B28*B19</f>
        <v/>
      </c>
      <c r="C98" s="75">
        <f>C28*C19</f>
        <v/>
      </c>
      <c r="D98" s="75">
        <f>D28*D19</f>
        <v/>
      </c>
      <c r="E98" s="176" t="n"/>
      <c r="F98" s="176" t="n"/>
      <c r="G98" s="176" t="n"/>
    </row>
    <row r="99">
      <c r="A99" s="41" t="inlineStr">
        <is>
          <t>Prepaid expenses (other current assets) - year 5</t>
        </is>
      </c>
      <c r="B99" s="75">
        <f>B29*B19</f>
        <v/>
      </c>
      <c r="C99" s="75">
        <f>C29*C19</f>
        <v/>
      </c>
      <c r="D99" s="75">
        <f>D29*D19</f>
        <v/>
      </c>
      <c r="E99" s="176" t="n"/>
      <c r="F99" s="176" t="n"/>
      <c r="G99" s="176" t="n"/>
    </row>
    <row r="100">
      <c r="A100" s="41" t="inlineStr">
        <is>
          <t>Accrued liabilities - year 1</t>
        </is>
      </c>
      <c r="B100" s="75">
        <f>B25*B20</f>
        <v/>
      </c>
      <c r="C100" s="75">
        <f>C25*C20</f>
        <v/>
      </c>
      <c r="D100" s="75">
        <f>D25*D20</f>
        <v/>
      </c>
      <c r="E100" s="176" t="n"/>
      <c r="F100" s="176" t="n"/>
      <c r="G100" s="176" t="n"/>
    </row>
    <row r="101">
      <c r="A101" s="41" t="inlineStr">
        <is>
          <t>Accrued liabilities - year 2</t>
        </is>
      </c>
      <c r="B101" s="75">
        <f>B26*B20</f>
        <v/>
      </c>
      <c r="C101" s="75">
        <f>C26*C20</f>
        <v/>
      </c>
      <c r="D101" s="75">
        <f>D26*D20</f>
        <v/>
      </c>
      <c r="E101" s="176" t="n"/>
      <c r="F101" s="176" t="n"/>
      <c r="G101" s="176" t="n"/>
    </row>
    <row r="102">
      <c r="A102" s="41" t="inlineStr">
        <is>
          <t>Accrued liabilities - year 3</t>
        </is>
      </c>
      <c r="B102" s="75">
        <f>B27*B20</f>
        <v/>
      </c>
      <c r="C102" s="75">
        <f>C27*C20</f>
        <v/>
      </c>
      <c r="D102" s="75">
        <f>D27*D20</f>
        <v/>
      </c>
      <c r="E102" s="176" t="n"/>
      <c r="F102" s="176" t="n"/>
      <c r="G102" s="176" t="n"/>
    </row>
    <row r="103">
      <c r="A103" s="41" t="inlineStr">
        <is>
          <t>Accrued liabilities - year 4</t>
        </is>
      </c>
      <c r="B103" s="75">
        <f>B28*B20</f>
        <v/>
      </c>
      <c r="C103" s="75">
        <f>C28*C20</f>
        <v/>
      </c>
      <c r="D103" s="75">
        <f>D28*D20</f>
        <v/>
      </c>
      <c r="E103" s="176" t="n"/>
      <c r="F103" s="176" t="n"/>
      <c r="G103" s="176" t="n"/>
    </row>
    <row r="104">
      <c r="A104" s="41" t="inlineStr">
        <is>
          <t>Accrued liabilities - year 5</t>
        </is>
      </c>
      <c r="B104" s="75">
        <f>B29*B20</f>
        <v/>
      </c>
      <c r="C104" s="75">
        <f>C29*C20</f>
        <v/>
      </c>
      <c r="D104" s="75">
        <f>D29*D20</f>
        <v/>
      </c>
      <c r="E104" s="176" t="n"/>
      <c r="F104" s="176" t="n"/>
      <c r="G104" s="176" t="n"/>
    </row>
    <row r="105">
      <c r="A105" s="41" t="inlineStr">
        <is>
          <t>Current operating assets (AR + inv + prepaids) - year 1</t>
        </is>
      </c>
      <c r="B105" s="75">
        <f>B70+B80+B95</f>
        <v/>
      </c>
      <c r="C105" s="75">
        <f>C70+C80+C95</f>
        <v/>
      </c>
      <c r="D105" s="75">
        <f>D70+D80+D95</f>
        <v/>
      </c>
      <c r="E105" s="176" t="n"/>
      <c r="F105" s="176" t="n"/>
      <c r="G105" s="176" t="n"/>
    </row>
    <row r="106">
      <c r="A106" s="41" t="inlineStr">
        <is>
          <t>Current operating assets (AR + inv + prepaids) - year 2</t>
        </is>
      </c>
      <c r="B106" s="75">
        <f>B71+B81+B96</f>
        <v/>
      </c>
      <c r="C106" s="75">
        <f>C71+C81+C96</f>
        <v/>
      </c>
      <c r="D106" s="75">
        <f>D71+D81+D96</f>
        <v/>
      </c>
      <c r="E106" s="176" t="n"/>
      <c r="F106" s="176" t="n"/>
      <c r="G106" s="176" t="n"/>
    </row>
    <row r="107">
      <c r="A107" s="41" t="inlineStr">
        <is>
          <t>Current operating assets (AR + inv + prepaids) - year 3</t>
        </is>
      </c>
      <c r="B107" s="75">
        <f>B72+B82+B97</f>
        <v/>
      </c>
      <c r="C107" s="75">
        <f>C72+C82+C97</f>
        <v/>
      </c>
      <c r="D107" s="75">
        <f>D72+D82+D97</f>
        <v/>
      </c>
      <c r="E107" s="176" t="n"/>
      <c r="F107" s="176" t="n"/>
      <c r="G107" s="176" t="n"/>
    </row>
    <row r="108">
      <c r="A108" s="41" t="inlineStr">
        <is>
          <t>Current operating assets (AR + inv + prepaids) - year 4</t>
        </is>
      </c>
      <c r="B108" s="75">
        <f>B73+B83+B98</f>
        <v/>
      </c>
      <c r="C108" s="75">
        <f>C73+C83+C98</f>
        <v/>
      </c>
      <c r="D108" s="75">
        <f>D73+D83+D98</f>
        <v/>
      </c>
      <c r="E108" s="176" t="n"/>
      <c r="F108" s="176" t="n"/>
      <c r="G108" s="176" t="n"/>
    </row>
    <row r="109">
      <c r="A109" s="41" t="inlineStr">
        <is>
          <t>Current operating assets (AR + inv + prepaids) - year 5</t>
        </is>
      </c>
      <c r="B109" s="75">
        <f>B74+B84+B99</f>
        <v/>
      </c>
      <c r="C109" s="75">
        <f>C74+C84+C99</f>
        <v/>
      </c>
      <c r="D109" s="75">
        <f>D74+D84+D99</f>
        <v/>
      </c>
      <c r="E109" s="176" t="n"/>
      <c r="F109" s="176" t="n"/>
      <c r="G109" s="176" t="n"/>
    </row>
    <row r="110">
      <c r="A110" s="41" t="inlineStr">
        <is>
          <t>Current operating liabilities (AP + accruals) - year 1</t>
        </is>
      </c>
      <c r="B110" s="75">
        <f>B90+B100</f>
        <v/>
      </c>
      <c r="C110" s="75">
        <f>C90+C100</f>
        <v/>
      </c>
      <c r="D110" s="75">
        <f>D90+D100</f>
        <v/>
      </c>
      <c r="E110" s="176" t="n"/>
      <c r="F110" s="176" t="n"/>
      <c r="G110" s="176" t="n"/>
    </row>
    <row r="111">
      <c r="A111" s="41" t="inlineStr">
        <is>
          <t>Current operating liabilities (AP + accruals) - year 2</t>
        </is>
      </c>
      <c r="B111" s="75">
        <f>B91+B101</f>
        <v/>
      </c>
      <c r="C111" s="75">
        <f>C91+C101</f>
        <v/>
      </c>
      <c r="D111" s="75">
        <f>D91+D101</f>
        <v/>
      </c>
      <c r="E111" s="176" t="n"/>
      <c r="F111" s="176" t="n"/>
      <c r="G111" s="176" t="n"/>
    </row>
    <row r="112">
      <c r="A112" s="41" t="inlineStr">
        <is>
          <t>Current operating liabilities (AP + accruals) - year 3</t>
        </is>
      </c>
      <c r="B112" s="75">
        <f>B92+B102</f>
        <v/>
      </c>
      <c r="C112" s="75">
        <f>C92+C102</f>
        <v/>
      </c>
      <c r="D112" s="75">
        <f>D92+D102</f>
        <v/>
      </c>
      <c r="E112" s="176" t="n"/>
      <c r="F112" s="176" t="n"/>
      <c r="G112" s="176" t="n"/>
    </row>
    <row r="113">
      <c r="A113" s="41" t="inlineStr">
        <is>
          <t>Current operating liabilities (AP + accruals) - year 4</t>
        </is>
      </c>
      <c r="B113" s="75">
        <f>B93+B103</f>
        <v/>
      </c>
      <c r="C113" s="75">
        <f>C93+C103</f>
        <v/>
      </c>
      <c r="D113" s="75">
        <f>D93+D103</f>
        <v/>
      </c>
      <c r="E113" s="176" t="n"/>
      <c r="F113" s="176" t="n"/>
      <c r="G113" s="176" t="n"/>
    </row>
    <row r="114">
      <c r="A114" s="41" t="inlineStr">
        <is>
          <t>Current operating liabilities (AP + accruals) - year 5</t>
        </is>
      </c>
      <c r="B114" s="75">
        <f>B94+B104</f>
        <v/>
      </c>
      <c r="C114" s="75">
        <f>C94+C104</f>
        <v/>
      </c>
      <c r="D114" s="75">
        <f>D94+D104</f>
        <v/>
      </c>
      <c r="E114" s="176" t="n"/>
      <c r="F114" s="176" t="n"/>
      <c r="G114" s="176" t="n"/>
    </row>
    <row r="115">
      <c r="A115" s="41" t="inlineStr">
        <is>
          <t>Net working capital - year 1</t>
        </is>
      </c>
      <c r="B115" s="75">
        <f>B105-B110</f>
        <v/>
      </c>
      <c r="C115" s="75">
        <f>C105-C110</f>
        <v/>
      </c>
      <c r="D115" s="75">
        <f>D105-D110</f>
        <v/>
      </c>
      <c r="E115" s="176" t="n"/>
      <c r="F115" s="176" t="n"/>
      <c r="G115" s="176" t="n"/>
    </row>
    <row r="116">
      <c r="A116" s="41" t="inlineStr">
        <is>
          <t>Net working capital - year 2</t>
        </is>
      </c>
      <c r="B116" s="75">
        <f>B106-B111</f>
        <v/>
      </c>
      <c r="C116" s="75">
        <f>C106-C111</f>
        <v/>
      </c>
      <c r="D116" s="75">
        <f>D106-D111</f>
        <v/>
      </c>
      <c r="E116" s="176" t="n"/>
      <c r="F116" s="176" t="n"/>
      <c r="G116" s="176" t="n"/>
    </row>
    <row r="117">
      <c r="A117" s="41" t="inlineStr">
        <is>
          <t>Net working capital - year 3</t>
        </is>
      </c>
      <c r="B117" s="75">
        <f>B107-B112</f>
        <v/>
      </c>
      <c r="C117" s="75">
        <f>C107-C112</f>
        <v/>
      </c>
      <c r="D117" s="75">
        <f>D107-D112</f>
        <v/>
      </c>
      <c r="E117" s="176" t="n"/>
      <c r="F117" s="176" t="n"/>
      <c r="G117" s="176" t="n"/>
    </row>
    <row r="118">
      <c r="A118" s="41" t="inlineStr">
        <is>
          <t>Net working capital - year 4</t>
        </is>
      </c>
      <c r="B118" s="75">
        <f>B108-B113</f>
        <v/>
      </c>
      <c r="C118" s="75">
        <f>C108-C113</f>
        <v/>
      </c>
      <c r="D118" s="75">
        <f>D108-D113</f>
        <v/>
      </c>
      <c r="E118" s="176" t="n"/>
      <c r="F118" s="176" t="n"/>
      <c r="G118" s="176" t="n"/>
    </row>
    <row r="119">
      <c r="A119" s="41" t="inlineStr">
        <is>
          <t>Net working capital - year 5</t>
        </is>
      </c>
      <c r="B119" s="75">
        <f>B109-B114</f>
        <v/>
      </c>
      <c r="C119" s="75">
        <f>C109-C114</f>
        <v/>
      </c>
      <c r="D119" s="75">
        <f>D109-D114</f>
        <v/>
      </c>
      <c r="E119" s="176" t="n"/>
      <c r="F119" s="176" t="n"/>
      <c r="G119" s="176" t="n"/>
    </row>
    <row r="120">
      <c r="A120" s="41" t="inlineStr">
        <is>
          <t>Delta NWC (prior yr - current yr) - year 1</t>
        </is>
      </c>
      <c r="B120" s="75">
        <f>1461096-B115</f>
        <v/>
      </c>
      <c r="C120" s="75">
        <f>1461096-C115</f>
        <v/>
      </c>
      <c r="D120" s="75">
        <f>1461096-D115</f>
        <v/>
      </c>
      <c r="E120" s="176" t="n"/>
      <c r="F120" s="176" t="n"/>
      <c r="G120" s="176" t="n"/>
    </row>
    <row r="121">
      <c r="A121" s="41" t="inlineStr">
        <is>
          <t>Delta NWC (prior yr - current yr) - year 2</t>
        </is>
      </c>
      <c r="B121" s="75">
        <f>B115-B116</f>
        <v/>
      </c>
      <c r="C121" s="75">
        <f>C115-C116</f>
        <v/>
      </c>
      <c r="D121" s="75">
        <f>D115-D116</f>
        <v/>
      </c>
      <c r="E121" s="176" t="n"/>
      <c r="F121" s="176" t="n"/>
      <c r="G121" s="176" t="n"/>
    </row>
    <row r="122">
      <c r="A122" s="41" t="inlineStr">
        <is>
          <t>Delta NWC (prior yr - current yr) - year 3</t>
        </is>
      </c>
      <c r="B122" s="75">
        <f>B116-B117</f>
        <v/>
      </c>
      <c r="C122" s="75">
        <f>C116-C117</f>
        <v/>
      </c>
      <c r="D122" s="75">
        <f>D116-D117</f>
        <v/>
      </c>
      <c r="E122" s="176" t="n"/>
      <c r="F122" s="176" t="n"/>
      <c r="G122" s="176" t="n"/>
    </row>
    <row r="123">
      <c r="A123" s="41" t="inlineStr">
        <is>
          <t>Delta NWC (prior yr - current yr) - year 4</t>
        </is>
      </c>
      <c r="B123" s="75">
        <f>B117-B118</f>
        <v/>
      </c>
      <c r="C123" s="75">
        <f>C117-C118</f>
        <v/>
      </c>
      <c r="D123" s="75">
        <f>D117-D118</f>
        <v/>
      </c>
      <c r="E123" s="176" t="n"/>
      <c r="F123" s="176" t="n"/>
      <c r="G123" s="176" t="n"/>
    </row>
    <row r="124">
      <c r="A124" s="41" t="inlineStr">
        <is>
          <t>Delta NWC (prior yr - current yr) - year 5</t>
        </is>
      </c>
      <c r="B124" s="75">
        <f>B118-B119</f>
        <v/>
      </c>
      <c r="C124" s="75">
        <f>C118-C119</f>
        <v/>
      </c>
      <c r="D124" s="75">
        <f>D118-D119</f>
        <v/>
      </c>
      <c r="E124" s="176" t="n"/>
      <c r="F124" s="176" t="n"/>
      <c r="G124" s="176" t="n"/>
    </row>
    <row r="125">
      <c r="A125" s="41" t="inlineStr">
        <is>
          <t>Unlevered FCF - year 1</t>
        </is>
      </c>
      <c r="B125" s="75">
        <f>B50+B55-B60+B120</f>
        <v/>
      </c>
      <c r="C125" s="75">
        <f>C50+C55-C60+C120</f>
        <v/>
      </c>
      <c r="D125" s="75">
        <f>D50+D55-D60+D120</f>
        <v/>
      </c>
      <c r="E125" s="176" t="n"/>
      <c r="F125" s="176" t="n"/>
      <c r="G125" s="176" t="n"/>
    </row>
    <row r="126">
      <c r="A126" s="41" t="inlineStr">
        <is>
          <t>Unlevered FCF - year 2</t>
        </is>
      </c>
      <c r="B126" s="75">
        <f>B51+B56-B61+B121</f>
        <v/>
      </c>
      <c r="C126" s="75">
        <f>C51+C56-C61+C121</f>
        <v/>
      </c>
      <c r="D126" s="75">
        <f>D51+D56-D61+D121</f>
        <v/>
      </c>
      <c r="E126" s="176" t="n"/>
      <c r="F126" s="176" t="n"/>
      <c r="G126" s="176" t="n"/>
    </row>
    <row r="127">
      <c r="A127" s="41" t="inlineStr">
        <is>
          <t>Unlevered FCF - year 3</t>
        </is>
      </c>
      <c r="B127" s="75">
        <f>B52+B57-B62+B122</f>
        <v/>
      </c>
      <c r="C127" s="75">
        <f>C52+C57-C62+C122</f>
        <v/>
      </c>
      <c r="D127" s="75">
        <f>D52+D57-D62+D122</f>
        <v/>
      </c>
      <c r="E127" s="176" t="n"/>
      <c r="F127" s="176" t="n"/>
      <c r="G127" s="176" t="n"/>
    </row>
    <row r="128">
      <c r="A128" s="41" t="inlineStr">
        <is>
          <t>Unlevered FCF - year 4</t>
        </is>
      </c>
      <c r="B128" s="75">
        <f>B53+B58-B63+B123</f>
        <v/>
      </c>
      <c r="C128" s="75">
        <f>C53+C58-C63+C123</f>
        <v/>
      </c>
      <c r="D128" s="75">
        <f>D53+D58-D63+D123</f>
        <v/>
      </c>
      <c r="E128" s="176" t="n"/>
      <c r="F128" s="176" t="n"/>
      <c r="G128" s="176" t="n"/>
    </row>
    <row r="129">
      <c r="A129" s="41" t="inlineStr">
        <is>
          <t>Unlevered FCF - year 5</t>
        </is>
      </c>
      <c r="B129" s="75">
        <f>B54+B59-B64+B124</f>
        <v/>
      </c>
      <c r="C129" s="75">
        <f>C54+C59-C64+C124</f>
        <v/>
      </c>
      <c r="D129" s="75">
        <f>D54+D59-D64+D124</f>
        <v/>
      </c>
      <c r="E129" s="176" t="n"/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31">
        <f>NPV(B9,B125,B126,B127,B128,B129)+(B129*(1+B10)/(B9-B10))/(1+B9)^5</f>
        <v/>
      </c>
      <c r="C131" s="31">
        <f>NPV(C9,C125,C126,C127,C128,C129)+(C129*(1+C10)/(C9-C10))/(1+C9)^5</f>
        <v/>
      </c>
      <c r="D131" s="31">
        <f>NPV(D9,D125,D126,D127,D128,D129)+(D129*(1+D10)/(D9-D10))/(1+D9)^5</f>
        <v/>
      </c>
      <c r="E131" s="176" t="n"/>
      <c r="F131" s="176" t="n"/>
      <c r="G131" s="176" t="n"/>
    </row>
    <row r="132">
      <c r="A132" s="124" t="inlineStr">
        <is>
          <t>Implied share price</t>
        </is>
      </c>
      <c r="B132" s="139">
        <f>(B131+1807202-1798441)/111380</f>
        <v/>
      </c>
      <c r="C132" s="139">
        <f>(C131+1807202-1798441)/111380</f>
        <v/>
      </c>
      <c r="D132" s="139">
        <f>(D131+1807202-1798441)/111380</f>
        <v/>
      </c>
      <c r="E132" s="176" t="n"/>
      <c r="F132" s="176" t="n"/>
      <c r="G132" s="176" t="n"/>
    </row>
    <row r="133">
      <c r="A133" s="68" t="inlineStr">
        <is>
          <t>Upside / (downside) vs current</t>
        </is>
      </c>
      <c r="B133" s="32">
        <f>B132/100.0-1</f>
        <v/>
      </c>
      <c r="C133" s="32">
        <f>C132/100.0-1</f>
        <v/>
      </c>
      <c r="D133" s="32">
        <f>D132/100.0-1</f>
        <v/>
      </c>
      <c r="E133" s="176" t="n"/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Financial statement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87" t="n">
        <v>45000</v>
      </c>
      <c r="C138" s="187" t="n">
        <v>45000</v>
      </c>
      <c r="D138" s="187" t="n">
        <v>45000</v>
      </c>
      <c r="E138" s="176" t="n"/>
      <c r="F138" s="176" t="n"/>
      <c r="G138" s="176" t="n"/>
    </row>
    <row r="139">
      <c r="A139" s="41" t="inlineStr">
        <is>
          <t>Other income - year 2</t>
        </is>
      </c>
      <c r="B139" s="187" t="n">
        <v>40000</v>
      </c>
      <c r="C139" s="187" t="n">
        <v>40000</v>
      </c>
      <c r="D139" s="187" t="n">
        <v>40000</v>
      </c>
      <c r="E139" s="176" t="n"/>
      <c r="F139" s="176" t="n"/>
      <c r="G139" s="176" t="n"/>
    </row>
    <row r="140">
      <c r="A140" s="41" t="inlineStr">
        <is>
          <t>Other income - year 3</t>
        </is>
      </c>
      <c r="B140" s="187" t="n">
        <v>35000</v>
      </c>
      <c r="C140" s="187" t="n">
        <v>35000</v>
      </c>
      <c r="D140" s="187" t="n">
        <v>35000</v>
      </c>
      <c r="E140" s="176" t="n"/>
      <c r="F140" s="176" t="n"/>
      <c r="G140" s="176" t="n"/>
    </row>
    <row r="141">
      <c r="A141" s="41" t="inlineStr">
        <is>
          <t>Other income - year 4</t>
        </is>
      </c>
      <c r="B141" s="187" t="n">
        <v>30000</v>
      </c>
      <c r="C141" s="187" t="n">
        <v>30000</v>
      </c>
      <c r="D141" s="187" t="n">
        <v>30000</v>
      </c>
      <c r="E141" s="176" t="n"/>
      <c r="F141" s="176" t="n"/>
      <c r="G141" s="176" t="n"/>
    </row>
    <row r="142">
      <c r="A142" s="41" t="inlineStr">
        <is>
          <t>Other income - year 5</t>
        </is>
      </c>
      <c r="B142" s="187" t="n">
        <v>25000</v>
      </c>
      <c r="C142" s="187" t="n">
        <v>25000</v>
      </c>
      <c r="D142" s="187" t="n">
        <v>25000</v>
      </c>
      <c r="E142" s="176" t="n"/>
      <c r="F142" s="176" t="n"/>
      <c r="G142" s="176" t="n"/>
    </row>
    <row r="143">
      <c r="A143" s="41" t="inlineStr">
        <is>
          <t>Net income - year 1</t>
        </is>
      </c>
      <c r="B143" s="75">
        <f>(B45+B138)*(1-B11)</f>
        <v/>
      </c>
      <c r="C143" s="75">
        <f>(C45+C138)*(1-C11)</f>
        <v/>
      </c>
      <c r="D143" s="75">
        <f>(D45+D138)*(1-D11)</f>
        <v/>
      </c>
      <c r="E143" s="176" t="n"/>
      <c r="F143" s="176" t="n"/>
      <c r="G143" s="176" t="n"/>
    </row>
    <row r="144">
      <c r="A144" s="41" t="inlineStr">
        <is>
          <t>Net income - year 2</t>
        </is>
      </c>
      <c r="B144" s="75">
        <f>(B46+B139)*(1-B11)</f>
        <v/>
      </c>
      <c r="C144" s="75">
        <f>(C46+C139)*(1-C11)</f>
        <v/>
      </c>
      <c r="D144" s="75">
        <f>(D46+D139)*(1-D11)</f>
        <v/>
      </c>
      <c r="E144" s="176" t="n"/>
      <c r="F144" s="176" t="n"/>
      <c r="G144" s="176" t="n"/>
    </row>
    <row r="145">
      <c r="A145" s="41" t="inlineStr">
        <is>
          <t>Net income - year 3</t>
        </is>
      </c>
      <c r="B145" s="75">
        <f>(B47+B140)*(1-B11)</f>
        <v/>
      </c>
      <c r="C145" s="75">
        <f>(C47+C140)*(1-C11)</f>
        <v/>
      </c>
      <c r="D145" s="75">
        <f>(D47+D140)*(1-D11)</f>
        <v/>
      </c>
      <c r="E145" s="176" t="n"/>
      <c r="F145" s="176" t="n"/>
      <c r="G145" s="176" t="n"/>
    </row>
    <row r="146">
      <c r="A146" s="41" t="inlineStr">
        <is>
          <t>Net income - year 4</t>
        </is>
      </c>
      <c r="B146" s="75">
        <f>(B48+B141)*(1-B11)</f>
        <v/>
      </c>
      <c r="C146" s="75">
        <f>(C48+C141)*(1-C11)</f>
        <v/>
      </c>
      <c r="D146" s="75">
        <f>(D48+D141)*(1-D11)</f>
        <v/>
      </c>
      <c r="E146" s="176" t="n"/>
      <c r="F146" s="176" t="n"/>
      <c r="G146" s="176" t="n"/>
    </row>
    <row r="147">
      <c r="A147" s="41" t="inlineStr">
        <is>
          <t>Net income - year 5</t>
        </is>
      </c>
      <c r="B147" s="75">
        <f>(B49+B142)*(1-B11)</f>
        <v/>
      </c>
      <c r="C147" s="75">
        <f>(C49+C142)*(1-C11)</f>
        <v/>
      </c>
      <c r="D147" s="75">
        <f>(D49+D142)*(1-D11)</f>
        <v/>
      </c>
      <c r="E147" s="176" t="n"/>
      <c r="F147" s="176" t="n"/>
      <c r="G147" s="176" t="n"/>
    </row>
    <row r="148">
      <c r="A148" s="41" t="inlineStr">
        <is>
          <t>Cash from operations - year 1</t>
        </is>
      </c>
      <c r="B148" s="75">
        <f>B143+B55+B120</f>
        <v/>
      </c>
      <c r="C148" s="75">
        <f>C143+C55+C120</f>
        <v/>
      </c>
      <c r="D148" s="75">
        <f>D143+D55+D120</f>
        <v/>
      </c>
      <c r="E148" s="176" t="n"/>
      <c r="F148" s="176" t="n"/>
      <c r="G148" s="176" t="n"/>
    </row>
    <row r="149">
      <c r="A149" s="41" t="inlineStr">
        <is>
          <t>Cash from operations - year 2</t>
        </is>
      </c>
      <c r="B149" s="75">
        <f>B144+B56+B121</f>
        <v/>
      </c>
      <c r="C149" s="75">
        <f>C144+C56+C121</f>
        <v/>
      </c>
      <c r="D149" s="75">
        <f>D144+D56+D121</f>
        <v/>
      </c>
      <c r="E149" s="176" t="n"/>
      <c r="F149" s="176" t="n"/>
      <c r="G149" s="176" t="n"/>
    </row>
    <row r="150">
      <c r="A150" s="41" t="inlineStr">
        <is>
          <t>Cash from operations - year 3</t>
        </is>
      </c>
      <c r="B150" s="75">
        <f>B145+B57+B122</f>
        <v/>
      </c>
      <c r="C150" s="75">
        <f>C145+C57+C122</f>
        <v/>
      </c>
      <c r="D150" s="75">
        <f>D145+D57+D122</f>
        <v/>
      </c>
      <c r="E150" s="176" t="n"/>
      <c r="F150" s="176" t="n"/>
      <c r="G150" s="176" t="n"/>
    </row>
    <row r="151">
      <c r="A151" s="41" t="inlineStr">
        <is>
          <t>Cash from operations - year 4</t>
        </is>
      </c>
      <c r="B151" s="75">
        <f>B146+B58+B123</f>
        <v/>
      </c>
      <c r="C151" s="75">
        <f>C146+C58+C123</f>
        <v/>
      </c>
      <c r="D151" s="75">
        <f>D146+D58+D123</f>
        <v/>
      </c>
      <c r="E151" s="176" t="n"/>
      <c r="F151" s="176" t="n"/>
      <c r="G151" s="176" t="n"/>
    </row>
    <row r="152">
      <c r="A152" s="41" t="inlineStr">
        <is>
          <t>Cash from operations - year 5</t>
        </is>
      </c>
      <c r="B152" s="75">
        <f>B147+B59+B124</f>
        <v/>
      </c>
      <c r="C152" s="75">
        <f>C147+C59+C124</f>
        <v/>
      </c>
      <c r="D152" s="75">
        <f>D147+D59+D124</f>
        <v/>
      </c>
      <c r="E152" s="176" t="n"/>
      <c r="F152" s="176" t="n"/>
      <c r="G152" s="176" t="n"/>
    </row>
    <row r="153">
      <c r="A153" s="41" t="inlineStr">
        <is>
          <t>Free cash flow (CFS) - year 1</t>
        </is>
      </c>
      <c r="B153" s="75">
        <f>B148-B60</f>
        <v/>
      </c>
      <c r="C153" s="75">
        <f>C148-C60</f>
        <v/>
      </c>
      <c r="D153" s="75">
        <f>D148-D60</f>
        <v/>
      </c>
      <c r="E153" s="176" t="n"/>
      <c r="F153" s="176" t="n"/>
      <c r="G153" s="176" t="n"/>
    </row>
    <row r="154">
      <c r="A154" s="41" t="inlineStr">
        <is>
          <t>Free cash flow (CFS) - year 2</t>
        </is>
      </c>
      <c r="B154" s="75">
        <f>B149-B61</f>
        <v/>
      </c>
      <c r="C154" s="75">
        <f>C149-C61</f>
        <v/>
      </c>
      <c r="D154" s="75">
        <f>D149-D61</f>
        <v/>
      </c>
      <c r="E154" s="176" t="n"/>
      <c r="F154" s="176" t="n"/>
      <c r="G154" s="176" t="n"/>
    </row>
    <row r="155">
      <c r="A155" s="41" t="inlineStr">
        <is>
          <t>Free cash flow (CFS) - year 3</t>
        </is>
      </c>
      <c r="B155" s="75">
        <f>B150-B62</f>
        <v/>
      </c>
      <c r="C155" s="75">
        <f>C150-C62</f>
        <v/>
      </c>
      <c r="D155" s="75">
        <f>D150-D62</f>
        <v/>
      </c>
      <c r="E155" s="176" t="n"/>
      <c r="F155" s="176" t="n"/>
      <c r="G155" s="176" t="n"/>
    </row>
    <row r="156">
      <c r="A156" s="41" t="inlineStr">
        <is>
          <t>Free cash flow (CFS) - year 4</t>
        </is>
      </c>
      <c r="B156" s="75">
        <f>B151-B63</f>
        <v/>
      </c>
      <c r="C156" s="75">
        <f>C151-C63</f>
        <v/>
      </c>
      <c r="D156" s="75">
        <f>D151-D63</f>
        <v/>
      </c>
      <c r="E156" s="176" t="n"/>
      <c r="F156" s="176" t="n"/>
      <c r="G156" s="176" t="n"/>
    </row>
    <row r="157">
      <c r="A157" s="41" t="inlineStr">
        <is>
          <t>Free cash flow (CFS) - year 5</t>
        </is>
      </c>
      <c r="B157" s="75">
        <f>B152-B64</f>
        <v/>
      </c>
      <c r="C157" s="75">
        <f>C152-C64</f>
        <v/>
      </c>
      <c r="D157" s="75">
        <f>D152-D64</f>
        <v/>
      </c>
      <c r="E157" s="176" t="n"/>
      <c r="F157" s="176" t="n"/>
      <c r="G157" s="176" t="n"/>
    </row>
    <row r="158">
      <c r="A158" s="41" t="inlineStr">
        <is>
          <t>Share repurchases - year 1</t>
        </is>
      </c>
      <c r="B158" s="75">
        <f>-B21</f>
        <v/>
      </c>
      <c r="C158" s="75">
        <f>-C21</f>
        <v/>
      </c>
      <c r="D158" s="75">
        <f>-ROUND(D22*D153,0)</f>
        <v/>
      </c>
      <c r="E158" s="176" t="n"/>
      <c r="F158" s="176" t="n"/>
      <c r="G158" s="176" t="n"/>
    </row>
    <row r="159">
      <c r="A159" s="41" t="inlineStr">
        <is>
          <t>Share repurchases - year 2</t>
        </is>
      </c>
      <c r="B159" s="75">
        <f>-B21</f>
        <v/>
      </c>
      <c r="C159" s="75">
        <f>-C21</f>
        <v/>
      </c>
      <c r="D159" s="75">
        <f>-ROUND(D22*D154,0)</f>
        <v/>
      </c>
      <c r="E159" s="176" t="n"/>
      <c r="F159" s="176" t="n"/>
      <c r="G159" s="176" t="n"/>
    </row>
    <row r="160">
      <c r="A160" s="41" t="inlineStr">
        <is>
          <t>Share repurchases - year 3</t>
        </is>
      </c>
      <c r="B160" s="75">
        <f>-B21</f>
        <v/>
      </c>
      <c r="C160" s="75">
        <f>-C21</f>
        <v/>
      </c>
      <c r="D160" s="75">
        <f>-ROUND(D22*D155,0)</f>
        <v/>
      </c>
      <c r="E160" s="176" t="n"/>
      <c r="F160" s="176" t="n"/>
      <c r="G160" s="176" t="n"/>
    </row>
    <row r="161">
      <c r="A161" s="41" t="inlineStr">
        <is>
          <t>Share repurchases - year 4</t>
        </is>
      </c>
      <c r="B161" s="75">
        <f>-B21</f>
        <v/>
      </c>
      <c r="C161" s="75">
        <f>-C21</f>
        <v/>
      </c>
      <c r="D161" s="75">
        <f>-ROUND(D22*D156,0)</f>
        <v/>
      </c>
      <c r="E161" s="176" t="n"/>
      <c r="F161" s="176" t="n"/>
      <c r="G161" s="176" t="n"/>
    </row>
    <row r="162">
      <c r="A162" s="41" t="inlineStr">
        <is>
          <t>Share repurchases - year 5</t>
        </is>
      </c>
      <c r="B162" s="75">
        <f>-B21</f>
        <v/>
      </c>
      <c r="C162" s="75">
        <f>-C21</f>
        <v/>
      </c>
      <c r="D162" s="75">
        <f>-ROUND(D22*D157,0)</f>
        <v/>
      </c>
      <c r="E162" s="176" t="n"/>
      <c r="F162" s="176" t="n"/>
      <c r="G162" s="176" t="n"/>
    </row>
    <row r="163">
      <c r="A163" s="41" t="inlineStr">
        <is>
          <t>Cash &amp; equivalents - year 1</t>
        </is>
      </c>
      <c r="B163" s="75">
        <f>1807202+B153+B158</f>
        <v/>
      </c>
      <c r="C163" s="75">
        <f>1807202+C153+C158</f>
        <v/>
      </c>
      <c r="D163" s="75">
        <f>1807202+D153+D158</f>
        <v/>
      </c>
      <c r="E163" s="176" t="n"/>
      <c r="F163" s="176" t="n"/>
      <c r="G163" s="176" t="n"/>
    </row>
    <row r="164">
      <c r="A164" s="41" t="inlineStr">
        <is>
          <t>Cash &amp; equivalents - year 2</t>
        </is>
      </c>
      <c r="B164" s="75">
        <f>B163+B154+B159</f>
        <v/>
      </c>
      <c r="C164" s="75">
        <f>C163+C154+C159</f>
        <v/>
      </c>
      <c r="D164" s="75">
        <f>D163+D154+D159</f>
        <v/>
      </c>
      <c r="E164" s="176" t="n"/>
      <c r="F164" s="176" t="n"/>
      <c r="G164" s="176" t="n"/>
    </row>
    <row r="165">
      <c r="A165" s="41" t="inlineStr">
        <is>
          <t>Cash &amp; equivalents - year 3</t>
        </is>
      </c>
      <c r="B165" s="75">
        <f>B164+B155+B160</f>
        <v/>
      </c>
      <c r="C165" s="75">
        <f>C164+C155+C160</f>
        <v/>
      </c>
      <c r="D165" s="75">
        <f>D164+D155+D160</f>
        <v/>
      </c>
      <c r="E165" s="176" t="n"/>
      <c r="F165" s="176" t="n"/>
      <c r="G165" s="176" t="n"/>
    </row>
    <row r="166">
      <c r="A166" s="41" t="inlineStr">
        <is>
          <t>Cash &amp; equivalents - year 4</t>
        </is>
      </c>
      <c r="B166" s="75">
        <f>B165+B156+B161</f>
        <v/>
      </c>
      <c r="C166" s="75">
        <f>C165+C156+C161</f>
        <v/>
      </c>
      <c r="D166" s="75">
        <f>D165+D156+D161</f>
        <v/>
      </c>
      <c r="E166" s="176" t="n"/>
      <c r="F166" s="176" t="n"/>
      <c r="G166" s="176" t="n"/>
    </row>
    <row r="167">
      <c r="A167" s="41" t="inlineStr">
        <is>
          <t>Cash &amp; equivalents - year 5</t>
        </is>
      </c>
      <c r="B167" s="75">
        <f>B166+B157+B162</f>
        <v/>
      </c>
      <c r="C167" s="75">
        <f>C166+C157+C162</f>
        <v/>
      </c>
      <c r="D167" s="75">
        <f>D166+D157+D162</f>
        <v/>
      </c>
      <c r="E167" s="176" t="n"/>
      <c r="F167" s="176" t="n"/>
      <c r="G167" s="176" t="n"/>
    </row>
    <row r="168">
      <c r="A168" s="41" t="inlineStr">
        <is>
          <t>Total assets - year 1</t>
        </is>
      </c>
      <c r="B168" s="75">
        <f>$B$194*B25/DCF!$B$6</f>
        <v/>
      </c>
      <c r="C168" s="75">
        <f>$B$194*C25/DCF!$B$6</f>
        <v/>
      </c>
      <c r="D168" s="75">
        <f>$B$194*D25/DCF!$B$6</f>
        <v/>
      </c>
      <c r="E168" s="176" t="n"/>
      <c r="F168" s="176" t="n"/>
      <c r="G168" s="176" t="n"/>
    </row>
    <row r="169">
      <c r="A169" s="41" t="inlineStr">
        <is>
          <t>Total assets - year 2</t>
        </is>
      </c>
      <c r="B169" s="75">
        <f>$B$194*B26/DCF!$B$6</f>
        <v/>
      </c>
      <c r="C169" s="75">
        <f>$B$194*C26/DCF!$B$6</f>
        <v/>
      </c>
      <c r="D169" s="75">
        <f>$B$194*D26/DCF!$B$6</f>
        <v/>
      </c>
      <c r="E169" s="176" t="n"/>
      <c r="F169" s="176" t="n"/>
      <c r="G169" s="176" t="n"/>
    </row>
    <row r="170">
      <c r="A170" s="41" t="inlineStr">
        <is>
          <t>Total assets - year 3</t>
        </is>
      </c>
      <c r="B170" s="75">
        <f>$B$194*B27/DCF!$B$6</f>
        <v/>
      </c>
      <c r="C170" s="75">
        <f>$B$194*C27/DCF!$B$6</f>
        <v/>
      </c>
      <c r="D170" s="75">
        <f>$B$194*D27/DCF!$B$6</f>
        <v/>
      </c>
      <c r="E170" s="176" t="n"/>
      <c r="F170" s="176" t="n"/>
      <c r="G170" s="176" t="n"/>
    </row>
    <row r="171">
      <c r="A171" s="41" t="inlineStr">
        <is>
          <t>Total assets - year 4</t>
        </is>
      </c>
      <c r="B171" s="75">
        <f>$B$194*B28/DCF!$B$6</f>
        <v/>
      </c>
      <c r="C171" s="75">
        <f>$B$194*C28/DCF!$B$6</f>
        <v/>
      </c>
      <c r="D171" s="75">
        <f>$B$194*D28/DCF!$B$6</f>
        <v/>
      </c>
      <c r="E171" s="176" t="n"/>
      <c r="F171" s="176" t="n"/>
      <c r="G171" s="176" t="n"/>
    </row>
    <row r="172">
      <c r="A172" s="41" t="inlineStr">
        <is>
          <t>Total assets - year 5</t>
        </is>
      </c>
      <c r="B172" s="75">
        <f>$B$194*B29/DCF!$B$6</f>
        <v/>
      </c>
      <c r="C172" s="75">
        <f>$B$194*C29/DCF!$B$6</f>
        <v/>
      </c>
      <c r="D172" s="75">
        <f>$B$194*D29/DCF!$B$6</f>
        <v/>
      </c>
      <c r="E172" s="176" t="n"/>
      <c r="F172" s="176" t="n"/>
      <c r="G172" s="176" t="n"/>
    </row>
    <row r="173">
      <c r="A173" s="41" t="inlineStr">
        <is>
          <t>Total liabilities - year 1</t>
        </is>
      </c>
      <c r="B173" s="75">
        <f>$B$195*B25/DCF!$B$6</f>
        <v/>
      </c>
      <c r="C173" s="75">
        <f>$B$195*C25/DCF!$B$6</f>
        <v/>
      </c>
      <c r="D173" s="75">
        <f>$B$195*D25/DCF!$B$6</f>
        <v/>
      </c>
      <c r="E173" s="176" t="n"/>
      <c r="F173" s="176" t="n"/>
      <c r="G173" s="176" t="n"/>
    </row>
    <row r="174">
      <c r="A174" s="41" t="inlineStr">
        <is>
          <t>Total liabilities - year 2</t>
        </is>
      </c>
      <c r="B174" s="75">
        <f>$B$195*B26/DCF!$B$6</f>
        <v/>
      </c>
      <c r="C174" s="75">
        <f>$B$195*C26/DCF!$B$6</f>
        <v/>
      </c>
      <c r="D174" s="75">
        <f>$B$195*D26/DCF!$B$6</f>
        <v/>
      </c>
      <c r="E174" s="176" t="n"/>
      <c r="F174" s="176" t="n"/>
      <c r="G174" s="176" t="n"/>
    </row>
    <row r="175">
      <c r="A175" s="41" t="inlineStr">
        <is>
          <t>Total liabilities - year 3</t>
        </is>
      </c>
      <c r="B175" s="75">
        <f>$B$195*B27/DCF!$B$6</f>
        <v/>
      </c>
      <c r="C175" s="75">
        <f>$B$195*C27/DCF!$B$6</f>
        <v/>
      </c>
      <c r="D175" s="75">
        <f>$B$195*D27/DCF!$B$6</f>
        <v/>
      </c>
      <c r="E175" s="176" t="n"/>
      <c r="F175" s="176" t="n"/>
      <c r="G175" s="176" t="n"/>
    </row>
    <row r="176">
      <c r="A176" s="41" t="inlineStr">
        <is>
          <t>Total liabilities - year 4</t>
        </is>
      </c>
      <c r="B176" s="75">
        <f>$B$195*B28/DCF!$B$6</f>
        <v/>
      </c>
      <c r="C176" s="75">
        <f>$B$195*C28/DCF!$B$6</f>
        <v/>
      </c>
      <c r="D176" s="75">
        <f>$B$195*D28/DCF!$B$6</f>
        <v/>
      </c>
      <c r="E176" s="176" t="n"/>
      <c r="F176" s="176" t="n"/>
      <c r="G176" s="176" t="n"/>
    </row>
    <row r="177">
      <c r="A177" s="41" t="inlineStr">
        <is>
          <t>Total liabilities - year 5</t>
        </is>
      </c>
      <c r="B177" s="75">
        <f>$B$195*B29/DCF!$B$6</f>
        <v/>
      </c>
      <c r="C177" s="75">
        <f>$B$195*C29/DCF!$B$6</f>
        <v/>
      </c>
      <c r="D177" s="75">
        <f>$B$195*D29/DCF!$B$6</f>
        <v/>
      </c>
      <c r="E177" s="176" t="n"/>
      <c r="F177" s="176" t="n"/>
      <c r="G177" s="176" t="n"/>
    </row>
    <row r="178">
      <c r="A178" s="41" t="inlineStr">
        <is>
          <t>Total equity - year 1</t>
        </is>
      </c>
      <c r="B178" s="75">
        <f>$B$196*B25/DCF!$B$6</f>
        <v/>
      </c>
      <c r="C178" s="75">
        <f>$B$196*C25/DCF!$B$6</f>
        <v/>
      </c>
      <c r="D178" s="75">
        <f>$B$196*D25/DCF!$B$6</f>
        <v/>
      </c>
      <c r="E178" s="176" t="n"/>
      <c r="F178" s="176" t="n"/>
      <c r="G178" s="176" t="n"/>
    </row>
    <row r="179">
      <c r="A179" s="41" t="inlineStr">
        <is>
          <t>Total equity - year 2</t>
        </is>
      </c>
      <c r="B179" s="75">
        <f>$B$196*B26/DCF!$B$6</f>
        <v/>
      </c>
      <c r="C179" s="75">
        <f>$B$196*C26/DCF!$B$6</f>
        <v/>
      </c>
      <c r="D179" s="75">
        <f>$B$196*D26/DCF!$B$6</f>
        <v/>
      </c>
      <c r="E179" s="176" t="n"/>
      <c r="F179" s="176" t="n"/>
      <c r="G179" s="176" t="n"/>
    </row>
    <row r="180">
      <c r="A180" s="41" t="inlineStr">
        <is>
          <t>Total equity - year 3</t>
        </is>
      </c>
      <c r="B180" s="75">
        <f>$B$196*B27/DCF!$B$6</f>
        <v/>
      </c>
      <c r="C180" s="75">
        <f>$B$196*C27/DCF!$B$6</f>
        <v/>
      </c>
      <c r="D180" s="75">
        <f>$B$196*D27/DCF!$B$6</f>
        <v/>
      </c>
      <c r="E180" s="176" t="n"/>
      <c r="F180" s="176" t="n"/>
      <c r="G180" s="176" t="n"/>
    </row>
    <row r="181">
      <c r="A181" s="41" t="inlineStr">
        <is>
          <t>Total equity - year 4</t>
        </is>
      </c>
      <c r="B181" s="75">
        <f>$B$196*B28/DCF!$B$6</f>
        <v/>
      </c>
      <c r="C181" s="75">
        <f>$B$196*C28/DCF!$B$6</f>
        <v/>
      </c>
      <c r="D181" s="75">
        <f>$B$196*D28/DCF!$B$6</f>
        <v/>
      </c>
      <c r="E181" s="176" t="n"/>
      <c r="F181" s="176" t="n"/>
      <c r="G181" s="176" t="n"/>
    </row>
    <row r="182">
      <c r="A182" s="41" t="inlineStr">
        <is>
          <t>Total equity - year 5</t>
        </is>
      </c>
      <c r="B182" s="75">
        <f>$B$196*B29/DCF!$B$6</f>
        <v/>
      </c>
      <c r="C182" s="75">
        <f>$B$196*C29/DCF!$B$6</f>
        <v/>
      </c>
      <c r="D182" s="75">
        <f>$B$196*D29/DCF!$B$6</f>
        <v/>
      </c>
      <c r="E182" s="176" t="n"/>
      <c r="F182" s="176" t="n"/>
      <c r="G182" s="176" t="n"/>
    </row>
    <row r="183">
      <c r="A183" s="41" t="inlineStr">
        <is>
          <t>Diluted shares (000) - year 1</t>
        </is>
      </c>
      <c r="B183" s="187">
        <f>$B$197-B21/$B$198</f>
        <v/>
      </c>
      <c r="C183" s="187">
        <f>$B$197-C21/$B$198</f>
        <v/>
      </c>
      <c r="D183" s="187">
        <f>$B$197-ROUND(D22*D153,0)/$B$198</f>
        <v/>
      </c>
      <c r="E183" s="176" t="n"/>
      <c r="F183" s="176" t="n"/>
      <c r="G183" s="176" t="n"/>
    </row>
    <row r="184">
      <c r="A184" s="41" t="inlineStr">
        <is>
          <t>Diluted shares (000) - year 2</t>
        </is>
      </c>
      <c r="B184" s="187">
        <f>B183-B21/$B$199</f>
        <v/>
      </c>
      <c r="C184" s="187">
        <f>C183-C21/$B$199</f>
        <v/>
      </c>
      <c r="D184" s="187">
        <f>D183-ROUND(D22*D154,0)/$B$199</f>
        <v/>
      </c>
      <c r="E184" s="176" t="n"/>
      <c r="F184" s="176" t="n"/>
      <c r="G184" s="176" t="n"/>
    </row>
    <row r="185">
      <c r="A185" s="41" t="inlineStr">
        <is>
          <t>Diluted shares (000) - year 3</t>
        </is>
      </c>
      <c r="B185" s="187">
        <f>B184-B21/$B$200</f>
        <v/>
      </c>
      <c r="C185" s="187">
        <f>C184-C21/$B$200</f>
        <v/>
      </c>
      <c r="D185" s="187">
        <f>D184-ROUND(D22*D155,0)/$B$200</f>
        <v/>
      </c>
      <c r="E185" s="176" t="n"/>
      <c r="F185" s="176" t="n"/>
      <c r="G185" s="176" t="n"/>
    </row>
    <row r="186">
      <c r="A186" s="41" t="inlineStr">
        <is>
          <t>Diluted shares (000) - year 4</t>
        </is>
      </c>
      <c r="B186" s="187">
        <f>B185-B21/$B$201</f>
        <v/>
      </c>
      <c r="C186" s="187">
        <f>C185-C21/$B$201</f>
        <v/>
      </c>
      <c r="D186" s="187">
        <f>D185-ROUND(D22*D156,0)/$B$201</f>
        <v/>
      </c>
      <c r="E186" s="176" t="n"/>
      <c r="F186" s="176" t="n"/>
      <c r="G186" s="176" t="n"/>
    </row>
    <row r="187">
      <c r="A187" s="41" t="inlineStr">
        <is>
          <t>Diluted shares (000) - year 5</t>
        </is>
      </c>
      <c r="B187" s="187">
        <f>B186-B21/$B$202</f>
        <v/>
      </c>
      <c r="C187" s="187">
        <f>C186-C21/$B$202</f>
        <v/>
      </c>
      <c r="D187" s="187">
        <f>D186-ROUND(D22*D157,0)/$B$202</f>
        <v/>
      </c>
      <c r="E187" s="176" t="n"/>
      <c r="F187" s="176" t="n"/>
      <c r="G187" s="176" t="n"/>
    </row>
    <row r="188">
      <c r="A188" s="41" t="inlineStr">
        <is>
          <t>Diluted EPS ($) - year 1</t>
        </is>
      </c>
      <c r="B188" s="99">
        <f>B143/B183</f>
        <v/>
      </c>
      <c r="C188" s="99">
        <f>C143/C183</f>
        <v/>
      </c>
      <c r="D188" s="99">
        <f>D143/D183</f>
        <v/>
      </c>
      <c r="E188" s="176" t="n"/>
      <c r="F188" s="176" t="n"/>
      <c r="G188" s="176" t="n"/>
    </row>
    <row r="189">
      <c r="A189" s="41" t="inlineStr">
        <is>
          <t>Diluted EPS ($) - year 2</t>
        </is>
      </c>
      <c r="B189" s="99">
        <f>B144/B184</f>
        <v/>
      </c>
      <c r="C189" s="99">
        <f>C144/C184</f>
        <v/>
      </c>
      <c r="D189" s="99">
        <f>D144/D184</f>
        <v/>
      </c>
      <c r="E189" s="176" t="n"/>
      <c r="F189" s="176" t="n"/>
      <c r="G189" s="176" t="n"/>
    </row>
    <row r="190">
      <c r="A190" s="41" t="inlineStr">
        <is>
          <t>Diluted EPS ($) - year 3</t>
        </is>
      </c>
      <c r="B190" s="99">
        <f>B145/B185</f>
        <v/>
      </c>
      <c r="C190" s="99">
        <f>C145/C185</f>
        <v/>
      </c>
      <c r="D190" s="99">
        <f>D145/D185</f>
        <v/>
      </c>
      <c r="E190" s="176" t="n"/>
      <c r="F190" s="176" t="n"/>
      <c r="G190" s="176" t="n"/>
    </row>
    <row r="191">
      <c r="A191" s="41" t="inlineStr">
        <is>
          <t>Diluted EPS ($) - year 4</t>
        </is>
      </c>
      <c r="B191" s="99">
        <f>B146/B186</f>
        <v/>
      </c>
      <c r="C191" s="99">
        <f>C146/C186</f>
        <v/>
      </c>
      <c r="D191" s="99">
        <f>D146/D186</f>
        <v/>
      </c>
      <c r="E191" s="176" t="n"/>
      <c r="F191" s="176" t="n"/>
      <c r="G191" s="176" t="n"/>
    </row>
    <row r="192">
      <c r="A192" s="41" t="inlineStr">
        <is>
          <t>Diluted EPS ($) - year 5</t>
        </is>
      </c>
      <c r="B192" s="99">
        <f>B147/B187</f>
        <v/>
      </c>
      <c r="C192" s="99">
        <f>C147/C187</f>
        <v/>
      </c>
      <c r="D192" s="99">
        <f>D147/D187</f>
        <v/>
      </c>
      <c r="E192" s="176" t="n"/>
      <c r="F192" s="176" t="n"/>
      <c r="G192" s="176" t="n"/>
    </row>
    <row r="193">
      <c r="A193" s="26" t="inlineStr">
        <is>
          <t>Assumptions (FY25 anchors &amp; repurchase prices)</t>
        </is>
      </c>
      <c r="B193" s="176" t="n"/>
      <c r="C193" s="176" t="n"/>
      <c r="D193" s="176" t="n"/>
      <c r="E193" s="176" t="n"/>
      <c r="F193" s="176" t="n"/>
      <c r="G193" s="176" t="n"/>
    </row>
    <row r="194">
      <c r="A194" s="176" t="inlineStr">
        <is>
          <t>FY25 total assets ($000)</t>
        </is>
      </c>
      <c r="B194" s="176" t="n"/>
      <c r="C194" s="176" t="n"/>
      <c r="D194" s="176" t="n"/>
      <c r="E194" s="176" t="n"/>
      <c r="F194" s="176" t="n"/>
      <c r="G194" s="176" t="n"/>
    </row>
    <row r="195">
      <c r="A195" s="176" t="inlineStr">
        <is>
          <t>FY25 total liabilities ($000)</t>
        </is>
      </c>
      <c r="B195" s="176" t="n"/>
      <c r="C195" s="176" t="n"/>
      <c r="D195" s="176" t="n"/>
      <c r="E195" s="176" t="n"/>
      <c r="F195" s="176" t="n"/>
      <c r="G195" s="176" t="n"/>
    </row>
    <row r="196">
      <c r="A196" s="176" t="inlineStr">
        <is>
          <t>FY25 total equity ($000)</t>
        </is>
      </c>
      <c r="B196" s="176" t="n"/>
      <c r="C196" s="176" t="n"/>
      <c r="D196" s="176" t="n"/>
      <c r="E196" s="176" t="n"/>
      <c r="F196" s="176" t="n"/>
      <c r="G196" s="176" t="n"/>
    </row>
    <row r="197">
      <c r="A197" s="176" t="inlineStr">
        <is>
          <t>FY25 diluted shares (000)</t>
        </is>
      </c>
      <c r="B197" s="176" t="n"/>
      <c r="C197" s="176" t="n"/>
      <c r="D197" s="176" t="n"/>
      <c r="E197" s="176" t="n"/>
      <c r="F197" s="176" t="n"/>
      <c r="G197" s="176" t="n"/>
    </row>
    <row r="198">
      <c r="A198" s="176" t="inlineStr">
        <is>
          <t>Repurchase avg price Y1 ($/sh)</t>
        </is>
      </c>
      <c r="B198" s="176" t="n"/>
      <c r="C198" s="176" t="n"/>
      <c r="D198" s="176" t="n"/>
      <c r="E198" s="176" t="n"/>
      <c r="F198" s="176" t="n"/>
      <c r="G198" s="176" t="n"/>
    </row>
    <row r="199">
      <c r="A199" s="176" t="inlineStr">
        <is>
          <t>Repurchase avg price Y2 ($/sh)</t>
        </is>
      </c>
      <c r="B199" s="176" t="n"/>
      <c r="C199" s="176" t="n"/>
      <c r="D199" s="176" t="n"/>
      <c r="E199" s="176" t="n"/>
      <c r="F199" s="176" t="n"/>
      <c r="G199" s="176" t="n"/>
    </row>
    <row r="200">
      <c r="A200" s="176" t="inlineStr">
        <is>
          <t>Repurchase avg price Y3 ($/sh)</t>
        </is>
      </c>
      <c r="B200" s="176" t="n"/>
      <c r="C200" s="176" t="n"/>
      <c r="D200" s="176" t="n"/>
      <c r="E200" s="176" t="n"/>
      <c r="F200" s="176" t="n"/>
      <c r="G200" s="176" t="n"/>
    </row>
    <row r="201">
      <c r="A201" s="176" t="inlineStr">
        <is>
          <t>Repurchase avg price Y4 ($/sh)</t>
        </is>
      </c>
      <c r="B201" s="176" t="n"/>
      <c r="C201" s="176" t="n"/>
      <c r="D201" s="176" t="n"/>
      <c r="E201" s="176" t="n"/>
      <c r="F201" s="176" t="n"/>
      <c r="G201" s="176" t="n"/>
    </row>
    <row r="202">
      <c r="A202" s="176" t="inlineStr">
        <is>
          <t>Repurchase avg price Y5 ($/sh)</t>
        </is>
      </c>
      <c r="B202" s="176" t="n"/>
      <c r="C202" s="176" t="n"/>
      <c r="D202" s="176" t="n"/>
      <c r="E202" s="176" t="n"/>
      <c r="F202" s="176" t="n"/>
      <c r="G202" s="17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I73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Revenue drivers (FY26–30)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Americas: ~6–8 net new stores/yr (slower than China).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China: ~20 store openings in FY26 (expansion plan).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RoW: ~4–6 net new stores/yr.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</row>
    <row r="28" ht="28" customHeight="1">
      <c r="A28" s="41" t="inlineStr">
        <is>
          <t>Prior-year store channel revenue ($000)</t>
        </is>
      </c>
      <c r="B28" s="75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</row>
    <row r="29" ht="28" customHeight="1">
      <c r="A29" s="41" t="inlineStr">
        <is>
          <t>Comparable store revenue ($000)</t>
        </is>
      </c>
      <c r="B29" s="75" t="n">
        <v>5049744</v>
      </c>
      <c r="C29" s="75">
        <f>B28*$B$71*(1+C25)+B28*$B$72*(1+C26)+B28*$B$73*(1+C27)</f>
        <v/>
      </c>
      <c r="D29" s="75">
        <f>C28*$B$71*(1+D25)+C28*$B$72*(1+D26)+C28*$B$73*(1+D27)</f>
        <v/>
      </c>
      <c r="E29" s="75">
        <f>D28*$B$71*(1+E25)+D28*$B$72*(1+E26)+D28*$B$73*(1+E27)</f>
        <v/>
      </c>
      <c r="F29" s="75">
        <f>E28*$B$71*(1+F25)+E28*$B$72*(1+F26)+E28*$B$73*(1+F27)</f>
        <v/>
      </c>
      <c r="G29" s="75">
        <f>F28*$B$71*(1+G25)+F28*$B$72*(1+G26)+F28*$B$73*(1+G27)</f>
        <v/>
      </c>
      <c r="H29" s="176" t="n"/>
      <c r="I29" s="9" t="inlineStr">
        <is>
          <t>Existing-store sales only; prior store rev grown by.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</row>
    <row r="31" ht="28" customHeight="1">
      <c r="A31" s="61" t="inlineStr">
        <is>
          <t>Store channel revenue ($000)</t>
        </is>
      </c>
      <c r="B31" s="75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</row>
    <row r="41" ht="28" customHeight="1">
      <c r="A41" s="61" t="inlineStr">
        <is>
          <t>E-commerce revenue ($000)</t>
        </is>
      </c>
      <c r="B41" s="75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</row>
    <row r="45" ht="28" customHeight="1">
      <c r="A45" s="41" t="inlineStr">
        <is>
          <t>Other channels (wholesale / license / outlets) ($000)</t>
        </is>
      </c>
      <c r="B45" s="75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</row>
    <row r="46" ht="15" customHeight="1">
      <c r="A46" s="41" t="inlineStr">
        <is>
          <t>Americas net revenue ($000)</t>
        </is>
      </c>
      <c r="B46" s="75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</row>
    <row r="47" ht="15" customHeight="1">
      <c r="A47" s="41" t="inlineStr">
        <is>
          <t>China Mainland net revenue ($000)</t>
        </is>
      </c>
      <c r="B47" s="75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</row>
    <row r="48" ht="15" customHeight="1">
      <c r="A48" s="41" t="inlineStr">
        <is>
          <t>Rest of World net revenue ($000)</t>
        </is>
      </c>
      <c r="B48" s="75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</row>
    <row r="49" ht="28" customHeight="1">
      <c r="A49" s="41" t="inlineStr">
        <is>
          <t>Women's % of revenue</t>
        </is>
      </c>
      <c r="B49" s="75" t="n">
        <v>0.63</v>
      </c>
      <c r="C49" s="75" t="n">
        <v>0.62</v>
      </c>
      <c r="D49" s="75" t="n">
        <v>0.615</v>
      </c>
      <c r="E49" s="75" t="n">
        <v>0.61</v>
      </c>
      <c r="F49" s="75" t="n">
        <v>0.605</v>
      </c>
      <c r="G49" s="75" t="n">
        <v>0.6</v>
      </c>
      <c r="H49" s="176" t="n"/>
      <c r="I49" s="9" t="inlineStr">
        <is>
          <t>Women's mix fades 62.5% to 60% as men's penetrates; FY25.</t>
        </is>
      </c>
    </row>
    <row r="50" ht="28" customHeight="1">
      <c r="A50" s="41" t="inlineStr">
        <is>
          <t>Men's % of revenue</t>
        </is>
      </c>
      <c r="B50" s="75" t="n">
        <v>0.24</v>
      </c>
      <c r="C50" s="75" t="n">
        <v>0.25</v>
      </c>
      <c r="D50" s="75" t="n">
        <v>0.255</v>
      </c>
      <c r="E50" s="75" t="n">
        <v>0.26</v>
      </c>
      <c r="F50" s="75" t="n">
        <v>0.265</v>
      </c>
      <c r="G50" s="75" t="n">
        <v>0.27</v>
      </c>
      <c r="H50" s="176" t="n"/>
      <c r="I50" s="9" t="inlineStr">
        <is>
          <t>Men's mix rises 24.5% to 27%; FY25 men's grew 4%.</t>
        </is>
      </c>
    </row>
    <row r="51" ht="28" customHeight="1">
      <c r="A51" s="41" t="inlineStr">
        <is>
          <t>Accessories &amp; other % of revenue</t>
        </is>
      </c>
      <c r="B51" s="75" t="n">
        <v>0.13</v>
      </c>
      <c r="C51" s="75" t="n">
        <v>0.13</v>
      </c>
      <c r="D51" s="75" t="n">
        <v>0.13</v>
      </c>
      <c r="E51" s="75" t="n">
        <v>0.13</v>
      </c>
      <c r="F51" s="75" t="n">
        <v>0.13</v>
      </c>
      <c r="G51" s="75" t="n">
        <v>0.13</v>
      </c>
      <c r="H51" s="176" t="n"/>
      <c r="I51" s="9" t="inlineStr">
        <is>
          <t>Accessories steady at 13% of revenue; FY25 accessories.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</row>
    <row r="53">
      <c r="A53" s="68" t="inlineStr">
        <is>
          <t>Consolidated revenue check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</row>
    <row r="55" ht="28" customHeight="1">
      <c r="A55" s="68" t="inlineStr">
        <is>
          <t>Total revenue ($000)</t>
        </is>
      </c>
      <c r="B55" s="75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</row>
    <row r="56" ht="28" customHeight="1">
      <c r="A56" s="41" t="inlineStr">
        <is>
          <t>Scenarios base-case revenue ($000)</t>
        </is>
      </c>
      <c r="B56" s="75" t="n">
        <v>11102600</v>
      </c>
      <c r="C56" s="75">
        <f>DCF!C6</f>
        <v/>
      </c>
      <c r="D56" s="75">
        <f>DCF!D6</f>
        <v/>
      </c>
      <c r="E56" s="75">
        <f>DCF!E6</f>
        <v/>
      </c>
      <c r="F56" s="75">
        <f>DCF!F6</f>
        <v/>
      </c>
      <c r="G56" s="75">
        <f>DCF!G6</f>
        <v/>
      </c>
      <c r="H56" s="176" t="n"/>
      <c r="I56" s="9" t="inlineStr">
        <is>
          <t>Pulls the Scenarios base-case revenue path; that's still.</t>
        </is>
      </c>
    </row>
    <row r="57" ht="28" customHeight="1">
      <c r="A57" s="41" t="inlineStr">
        <is>
          <t>Variance vs scenarios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</row>
    <row r="60">
      <c r="A60" s="176" t="n"/>
      <c r="B60" s="176" t="n"/>
      <c r="C60" s="176" t="n"/>
      <c r="D60" s="176" t="n"/>
      <c r="E60" s="176" t="n"/>
      <c r="F60" s="176" t="n"/>
      <c r="G60" s="176" t="n"/>
      <c r="H60" s="176" t="n"/>
      <c r="I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  <c r="I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  <c r="H62" s="176" t="n"/>
      <c r="I62" s="176" t="n"/>
    </row>
    <row r="63">
      <c r="A63" s="176" t="n"/>
      <c r="B63" s="176" t="n"/>
      <c r="C63" s="176" t="n"/>
      <c r="D63" s="176" t="n"/>
      <c r="E63" s="176" t="n"/>
      <c r="F63" s="176" t="n"/>
      <c r="G63" s="176" t="n"/>
      <c r="H63" s="176" t="n"/>
      <c r="I63" s="176" t="n"/>
    </row>
    <row r="64">
      <c r="A64" s="176" t="n"/>
      <c r="B64" s="176" t="n"/>
      <c r="C64" s="176" t="n"/>
      <c r="D64" s="176" t="n"/>
      <c r="E64" s="176" t="n"/>
      <c r="F64" s="176" t="n"/>
      <c r="G64" s="176" t="n"/>
      <c r="H64" s="176" t="n"/>
      <c r="I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  <c r="H65" s="176" t="n"/>
      <c r="I65" s="176" t="n"/>
    </row>
    <row r="66">
      <c r="A66" s="176" t="n"/>
      <c r="B66" s="176" t="n"/>
      <c r="C66" s="176" t="n"/>
      <c r="D66" s="176" t="n"/>
      <c r="E66" s="176" t="n"/>
      <c r="F66" s="176" t="n"/>
      <c r="G66" s="176" t="n"/>
      <c r="H66" s="176" t="n"/>
      <c r="I66" s="176" t="n"/>
    </row>
    <row r="67">
      <c r="A67" s="176" t="n"/>
      <c r="B67" s="176" t="n"/>
      <c r="C67" s="176" t="n"/>
      <c r="D67" s="176" t="n"/>
      <c r="E67" s="176" t="n"/>
      <c r="F67" s="176" t="n"/>
      <c r="G67" s="176" t="n"/>
      <c r="H67" s="176" t="n"/>
      <c r="I67" s="176" t="n"/>
    </row>
    <row r="68">
      <c r="A68" s="176" t="n"/>
      <c r="B68" s="176" t="n"/>
      <c r="C68" s="176" t="n"/>
      <c r="D68" s="176" t="n"/>
      <c r="E68" s="176" t="n"/>
      <c r="F68" s="176" t="n"/>
      <c r="G68" s="176" t="n"/>
      <c r="H68" s="176" t="n"/>
      <c r="I68" s="176" t="n"/>
    </row>
    <row r="69">
      <c r="A69" s="176" t="n"/>
      <c r="B69" s="176" t="n"/>
      <c r="C69" s="176" t="n"/>
      <c r="D69" s="176" t="n"/>
      <c r="E69" s="176" t="n"/>
      <c r="F69" s="176" t="n"/>
      <c r="G69" s="176" t="n"/>
      <c r="H69" s="176" t="n"/>
      <c r="I69" s="176" t="n"/>
    </row>
    <row r="70">
      <c r="A70" s="176" t="n"/>
      <c r="B70" s="176" t="n"/>
      <c r="C70" s="176" t="n"/>
      <c r="D70" s="176" t="n"/>
      <c r="E70" s="176" t="n"/>
      <c r="F70" s="176" t="n"/>
      <c r="G70" s="176" t="n"/>
      <c r="H70" s="176" t="n"/>
      <c r="I70" s="176" t="n"/>
    </row>
    <row r="71">
      <c r="A71" s="176" t="inlineStr">
        <is>
          <t>Americas comp mix %</t>
        </is>
      </c>
      <c r="B71" s="220" t="n">
        <v>0.71</v>
      </c>
      <c r="C71" s="176" t="n"/>
      <c r="D71" s="176" t="n"/>
      <c r="E71" s="176" t="n"/>
      <c r="F71" s="176" t="n"/>
      <c r="G71" s="176" t="n"/>
      <c r="H71" s="176" t="n"/>
      <c r="I71" s="176" t="n"/>
    </row>
    <row r="72">
      <c r="A72" s="176" t="inlineStr">
        <is>
          <t>China comp mix %</t>
        </is>
      </c>
      <c r="B72" s="220" t="n">
        <v>0.16</v>
      </c>
      <c r="C72" s="176" t="n"/>
      <c r="D72" s="176" t="n"/>
      <c r="E72" s="176" t="n"/>
      <c r="F72" s="176" t="n"/>
      <c r="G72" s="176" t="n"/>
      <c r="H72" s="176" t="n"/>
      <c r="I72" s="176" t="n"/>
    </row>
    <row r="73">
      <c r="A73" s="176" t="inlineStr">
        <is>
          <t>RoW comp mix %</t>
        </is>
      </c>
      <c r="B73" s="220" t="n">
        <v>0.13</v>
      </c>
      <c r="C73" s="176" t="n"/>
      <c r="D73" s="176" t="n"/>
      <c r="E73" s="176" t="n"/>
      <c r="F73" s="176" t="n"/>
      <c r="G73" s="176" t="n"/>
      <c r="H73" s="176" t="n"/>
      <c r="I73" s="17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bridge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75" t="n">
        <v>0</v>
      </c>
      <c r="C7" s="75" t="n">
        <v>0</v>
      </c>
      <c r="D7" s="75" t="n">
        <v>0</v>
      </c>
      <c r="E7" s="75" t="n">
        <v>0</v>
      </c>
      <c r="F7" s="75" t="n">
        <v>0</v>
      </c>
      <c r="G7" s="75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75" t="n">
        <v>2210615</v>
      </c>
      <c r="C16" s="75">
        <f>DCF!C11</f>
        <v/>
      </c>
      <c r="D16" s="75">
        <f>DCF!D11</f>
        <v/>
      </c>
      <c r="E16" s="75">
        <f>DCF!E11</f>
        <v/>
      </c>
      <c r="F16" s="75">
        <f>DCF!F11</f>
        <v/>
      </c>
      <c r="G16" s="75">
        <f>DCF!G11</f>
        <v/>
      </c>
    </row>
    <row r="17" ht="28" customHeight="1">
      <c r="A17" s="16" t="inlineStr">
        <is>
          <t>+ Impairment / intangible amortization (add-back)</t>
        </is>
      </c>
      <c r="B17" s="75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 t="n">
        <v>62203</v>
      </c>
      <c r="C20" s="75">
        <f>IF($B$7=1,DCF!C6*$B$20/DCF!$B$6,0)</f>
        <v/>
      </c>
      <c r="D20" s="75">
        <f>IF($B$7=1,DCF!D6*$B$20/DCF!$B$6,0)</f>
        <v/>
      </c>
      <c r="E20" s="75">
        <f>IF($B$7=1,DCF!E6*$B$20/DCF!$B$6,0)</f>
        <v/>
      </c>
      <c r="F20" s="75">
        <f>IF($B$7=1,DCF!F6*$B$20/DCF!$B$6,0)</f>
        <v/>
      </c>
      <c r="G20" s="75">
        <f>IF($B$7=1,DCF!G6*$B$20/DCF!$B$6,0)</f>
        <v/>
      </c>
    </row>
    <row r="21" ht="28" customHeight="1">
      <c r="A21" s="68" t="inlineStr">
        <is>
          <t>Adjusted EBIT</t>
        </is>
      </c>
      <c r="B21" s="176" t="n"/>
      <c r="C21" s="130">
        <f>SUM(C16:C20)</f>
        <v/>
      </c>
      <c r="D21" s="130">
        <f>SUM(D16:D20)</f>
        <v/>
      </c>
      <c r="E21" s="130">
        <f>SUM(E16:E20)</f>
        <v/>
      </c>
      <c r="F21" s="130">
        <f>SUM(F16:F20)</f>
        <v/>
      </c>
      <c r="G21" s="130">
        <f>SUM(G16:G20)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75" t="n">
        <v>1028</v>
      </c>
      <c r="C23" s="75">
        <f>$B$23*(DCF!C6/DCF!$B$6)</f>
        <v/>
      </c>
      <c r="D23" s="75">
        <f>$B$23*(DCF!D6/DCF!$B$6)</f>
        <v/>
      </c>
      <c r="E23" s="75">
        <f>$B$23*(DCF!E6/DCF!$B$6)</f>
        <v/>
      </c>
      <c r="F23" s="75">
        <f>$B$23*(DCF!F6/DCF!$B$6)</f>
        <v/>
      </c>
      <c r="G23" s="75">
        <f>$B$23*(DCF!G6/DCF!$B$6)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75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75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Drivers'!F31</f>
        <v/>
      </c>
      <c r="G28" s="75">
        <f>'Revenue Drivers'!G31</f>
        <v/>
      </c>
    </row>
    <row r="29" ht="28" customHeight="1">
      <c r="A29" s="16" t="inlineStr">
        <is>
          <t>E-commerce revenue</t>
        </is>
      </c>
      <c r="B29" s="75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Drivers'!F41</f>
        <v/>
      </c>
      <c r="G29" s="75">
        <f>'Revenue Drivers'!G41</f>
        <v/>
      </c>
    </row>
    <row r="30" ht="28" customHeight="1">
      <c r="A30" s="16" t="inlineStr">
        <is>
          <t>Other channels revenue</t>
        </is>
      </c>
      <c r="B30" s="75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Drivers'!F45</f>
        <v/>
      </c>
      <c r="G30" s="75">
        <f>'Revenue Drivers'!G45</f>
        <v/>
      </c>
    </row>
    <row r="31" ht="15" customHeight="1">
      <c r="A31" s="16" t="inlineStr">
        <is>
          <t>Store-channel EBIT (= Rev x store margin)</t>
        </is>
      </c>
      <c r="B31" s="75">
        <f>C31</f>
        <v/>
      </c>
      <c r="C31" s="32">
        <f>C28*B$9</f>
        <v/>
      </c>
      <c r="D31" s="32">
        <f>D28*B$9</f>
        <v/>
      </c>
      <c r="E31" s="32">
        <f>E28*B$9</f>
        <v/>
      </c>
      <c r="F31" s="32">
        <f>F28*B$9</f>
        <v/>
      </c>
      <c r="G31" s="32">
        <f>G28*B$9</f>
        <v/>
      </c>
    </row>
    <row r="32" ht="15" customHeight="1">
      <c r="A32" s="16" t="inlineStr">
        <is>
          <t>E-commerce EBIT (= Rev x e-comm margin)</t>
        </is>
      </c>
      <c r="B32" s="75">
        <f>C32</f>
        <v/>
      </c>
      <c r="C32" s="32">
        <f>C29*B$10</f>
        <v/>
      </c>
      <c r="D32" s="32">
        <f>D29*B$10</f>
        <v/>
      </c>
      <c r="E32" s="32">
        <f>E29*B$10</f>
        <v/>
      </c>
      <c r="F32" s="32">
        <f>F29*B$10</f>
        <v/>
      </c>
      <c r="G32" s="32">
        <f>G29*B$10</f>
        <v/>
      </c>
    </row>
    <row r="33" ht="15" customHeight="1">
      <c r="A33" s="16" t="inlineStr">
        <is>
          <t>Other-channels EBIT (= Rev x other margin)</t>
        </is>
      </c>
      <c r="B33" s="75">
        <f>C33</f>
        <v/>
      </c>
      <c r="C33" s="32">
        <f>C30*B$11</f>
        <v/>
      </c>
      <c r="D33" s="32">
        <f>D30*B$11</f>
        <v/>
      </c>
      <c r="E33" s="32">
        <f>E30*B$11</f>
        <v/>
      </c>
      <c r="F33" s="32">
        <f>F30*B$11</f>
        <v/>
      </c>
      <c r="G33" s="32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C31+C32+C33+Scenarios!C7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30">
        <f>C35</f>
        <v/>
      </c>
      <c r="C35" s="31">
        <f>C34</f>
        <v/>
      </c>
      <c r="D35" s="31">
        <f>D34</f>
        <v/>
      </c>
      <c r="E35" s="31">
        <f>E34</f>
        <v/>
      </c>
      <c r="F35" s="31">
        <f>F34</f>
        <v/>
      </c>
      <c r="G35" s="31">
        <f>G34</f>
        <v/>
      </c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DCF!C11</f>
        <v/>
      </c>
      <c r="D36" s="130">
        <f>DCF!D11</f>
        <v/>
      </c>
      <c r="E36" s="130">
        <f>DCF!E11</f>
        <v/>
      </c>
      <c r="F36" s="130">
        <f>DCF!F11</f>
        <v/>
      </c>
      <c r="G36" s="130">
        <f>DCF!G11</f>
        <v/>
      </c>
    </row>
    <row r="37">
      <c r="A37" s="16" t="inlineStr">
        <is>
          <t>EBIT variance vs Scenarios ($000)</t>
        </is>
      </c>
      <c r="B37" s="176" t="n"/>
      <c r="C37" s="75">
        <f>C36-DCF!C11</f>
        <v/>
      </c>
      <c r="D37" s="75">
        <f>D36-DCF!D11</f>
        <v/>
      </c>
      <c r="E37" s="75">
        <f>E36-DCF!E11</f>
        <v/>
      </c>
      <c r="F37" s="75">
        <f>F36-DCF!F11</f>
        <v/>
      </c>
      <c r="G37" s="75">
        <f>G36-DCF!G11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0.295</v>
      </c>
      <c r="C39" s="32">
        <f>$B$39+(C$12-$B$39)*1/5</f>
        <v/>
      </c>
      <c r="D39" s="32">
        <f>$B$39+(D$12-$B$39)*2/5</f>
        <v/>
      </c>
      <c r="E39" s="32">
        <f>$B$39+(E$12-$B$39)*3/5</f>
        <v/>
      </c>
      <c r="F39" s="32">
        <f>$B$39+(F$12-$B$39)*4/5</f>
        <v/>
      </c>
      <c r="G39" s="32">
        <f>$B$39+(G$12-$B$39)*5/5</f>
        <v/>
      </c>
    </row>
    <row r="40" ht="28" customHeight="1">
      <c r="A40" s="16" t="inlineStr">
        <is>
          <t>Unlevered tax on normalized EBIT</t>
        </is>
      </c>
      <c r="B40" s="218">
        <f>B36*B39</f>
        <v/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68" t="inlineStr">
        <is>
          <t>NORMALIZED NOPAT</t>
        </is>
      </c>
      <c r="B41" s="218">
        <f>B36-B40</f>
        <v/>
      </c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Build checklist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Reported EBIT adjustments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R&amp;D capitalization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Lease interest reclass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Channel EBIT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Tax-normalized NOPAT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FY26 tariff refund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inlineStr">
        <is>
          <t>Active case (1=Bear, 2=Base, 3=Bull)</t>
        </is>
      </c>
      <c r="B3" s="198" t="n">
        <v>2</v>
      </c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s="176" t="inlineStr">
        <is>
          <t>Revenue Growth %</t>
        </is>
      </c>
      <c r="B5" s="176" t="n"/>
      <c r="C5" s="220">
        <f>CHOOSE(DCF!$B$3,Scenarios!$B$4,Scenarios!$C$4,Scenarios!$D$4)</f>
        <v/>
      </c>
      <c r="D5" s="220">
        <f>CHOOSE(DCF!$B$3,Scenarios!$B$5,Scenarios!$C$5,Scenarios!$D$5)</f>
        <v/>
      </c>
      <c r="E5" s="220">
        <f>CHOOSE(DCF!$B$3,Scenarios!$B$5,Scenarios!$C$5,Scenarios!$D$5)</f>
        <v/>
      </c>
      <c r="F5" s="220">
        <f>CHOOSE(DCF!$B$3,Scenarios!$B$5,Scenarios!$C$5,Scenarios!$D$5)</f>
        <v/>
      </c>
      <c r="G5" s="220">
        <f>CHOOSE(DCF!$B$3,Scenarios!$B$5,Scenarios!$C$5,Scenarios!$D$5)</f>
        <v/>
      </c>
    </row>
    <row r="6" ht="15" customHeight="1">
      <c r="A6" s="16" t="inlineStr">
        <is>
          <t>Net revenue</t>
        </is>
      </c>
      <c r="B6" s="75" t="n">
        <v>11102600</v>
      </c>
      <c r="C6" s="75">
        <f>B6*(1+C5)</f>
        <v/>
      </c>
      <c r="D6" s="75">
        <f>C6*(1+D5)</f>
        <v/>
      </c>
      <c r="E6" s="75">
        <f>D6*(1+E5)</f>
        <v/>
      </c>
      <c r="F6" s="75">
        <f>E6*(1+F5)</f>
        <v/>
      </c>
      <c r="G6" s="75">
        <f>F6*(1+G5)</f>
        <v/>
      </c>
    </row>
    <row r="7" ht="15" customHeight="1">
      <c r="A7" s="16" t="inlineStr">
        <is>
          <t>Gross margin %</t>
        </is>
      </c>
      <c r="B7" s="32">
        <f>(B6-B8)/B6</f>
        <v/>
      </c>
      <c r="C7" s="32">
        <f>(C6-C8)/C6</f>
        <v/>
      </c>
      <c r="D7" s="32">
        <f>(D6-D8)/D6</f>
        <v/>
      </c>
      <c r="E7" s="32">
        <f>(E6-E8)/E6</f>
        <v/>
      </c>
      <c r="F7" s="32">
        <f>(F6-F8)/F6</f>
        <v/>
      </c>
      <c r="G7" s="32">
        <f>(G6-G8)/G6</f>
        <v/>
      </c>
    </row>
    <row r="8">
      <c r="A8" s="16" t="inlineStr">
        <is>
          <t>COGS</t>
        </is>
      </c>
      <c r="B8" s="75" t="n">
        <v>4818468</v>
      </c>
      <c r="C8" s="75">
        <f>C6*(1-CHOOSE(DCF!$B$3,Scenarios!$B$14,Scenarios!$C$14,Scenarios!$D$14))</f>
        <v/>
      </c>
      <c r="D8" s="75">
        <f>D6*(1-CHOOSE(DCF!$B$3,Scenarios!$B$14,Scenarios!$C$14,Scenarios!$D$14))</f>
        <v/>
      </c>
      <c r="E8" s="75">
        <f>E6*(1-CHOOSE(DCF!$B$3,Scenarios!$B$14,Scenarios!$C$14,Scenarios!$D$14))</f>
        <v/>
      </c>
      <c r="F8" s="75">
        <f>F6*(1-CHOOSE(DCF!$B$3,Scenarios!$B$14,Scenarios!$C$14,Scenarios!$D$14))</f>
        <v/>
      </c>
      <c r="G8" s="75">
        <f>G6*(1-CHOOSE(DCF!$B$3,Scenarios!$B$14,Scenarios!$C$14,Scenarios!$D$14))</f>
        <v/>
      </c>
    </row>
    <row r="9" ht="15" customHeight="1">
      <c r="A9" s="16" t="inlineStr">
        <is>
          <t>EBIT Margin %</t>
        </is>
      </c>
      <c r="B9" s="176" t="n"/>
      <c r="C9" s="32">
        <f>CHOOSE(DCF!$B$3,Scenarios!$B$6,Scenarios!$C$6,Scenarios!$D$6)</f>
        <v/>
      </c>
      <c r="D9" s="32">
        <f>C9+(CHOOSE(DCF!$B$3,Scenarios!$B$8,Scenarios!$C$8,Scenarios!$D$8)-CHOOSE(DCF!$B$3,Scenarios!$B$6,Scenarios!$C$6,Scenarios!$D$6))/4</f>
        <v/>
      </c>
      <c r="E9" s="32">
        <f>D9+(CHOOSE(DCF!$B$3,Scenarios!$B$8,Scenarios!$C$8,Scenarios!$D$8)-CHOOSE(DCF!$B$3,Scenarios!$B$6,Scenarios!$C$6,Scenarios!$D$6))/4</f>
        <v/>
      </c>
      <c r="F9" s="32">
        <f>E9+(CHOOSE(DCF!$B$3,Scenarios!$B$8,Scenarios!$C$8,Scenarios!$D$8)-CHOOSE(DCF!$B$3,Scenarios!$B$6,Scenarios!$C$6,Scenarios!$D$6))/4</f>
        <v/>
      </c>
      <c r="G9" s="32">
        <f>F9+(CHOOSE(DCF!$B$3,Scenarios!$B$8,Scenarios!$C$8,Scenarios!$D$8)-CHOOSE(DCF!$B$3,Scenarios!$B$6,Scenarios!$C$6,Scenarios!$D$6))/4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CHOOSE(DCF!$B$3,Scenarios!$B$7,Scenarios!$C$7,Scenarios!$D$7)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30" t="n">
        <v>2210615</v>
      </c>
      <c r="C11" s="130">
        <f>C6*C9+C10</f>
        <v/>
      </c>
      <c r="D11" s="130">
        <f>D6*D9</f>
        <v/>
      </c>
      <c r="E11" s="130">
        <f>E6*E9</f>
        <v/>
      </c>
      <c r="F11" s="130">
        <f>F6*F9</f>
        <v/>
      </c>
      <c r="G11" s="130">
        <f>G6*G9</f>
        <v/>
      </c>
    </row>
    <row r="12">
      <c r="A12" s="16" t="inlineStr">
        <is>
          <t>Reported EBIT margin % (incl. FY26 refund)</t>
        </is>
      </c>
      <c r="B12" s="32">
        <f>B11/B6</f>
        <v/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218">
        <f>-'NOPAT Bridge'!B40</f>
        <v/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68" t="inlineStr">
        <is>
          <t>NOPAT</t>
        </is>
      </c>
      <c r="B14" s="218">
        <f>'NOPAT Bridge'!B41</f>
        <v/>
      </c>
      <c r="C14" s="130">
        <f>'NOPAT Bridge'!C41</f>
        <v/>
      </c>
      <c r="D14" s="130">
        <f>'NOPAT Bridge'!D41</f>
        <v/>
      </c>
      <c r="E14" s="130">
        <f>'NOPAT Bridge'!E41</f>
        <v/>
      </c>
      <c r="F14" s="130">
        <f>'NOPAT Bridge'!F41</f>
        <v/>
      </c>
      <c r="G14" s="130">
        <f>'NOPAT Bridge'!G41</f>
        <v/>
      </c>
    </row>
    <row r="15" ht="28" customHeight="1">
      <c r="A15" s="176" t="inlineStr">
        <is>
          <t>FY25 D&amp;A ($000)</t>
        </is>
      </c>
      <c r="B15" s="218" t="n">
        <v>496228</v>
      </c>
      <c r="C15" s="176" t="n"/>
      <c r="D15" s="176" t="n"/>
      <c r="E15" s="176" t="n"/>
      <c r="F15" s="176" t="n"/>
      <c r="G15" s="176" t="n"/>
    </row>
    <row r="16">
      <c r="A16" s="16" t="inlineStr">
        <is>
          <t>D&amp;A % of revenue</t>
        </is>
      </c>
      <c r="B16" s="176" t="n"/>
      <c r="C16" s="32">
        <f>CHOOSE(DCF!$B$3,Scenarios!$B$12,Scenarios!$C$12,Scenarios!$D$12)</f>
        <v/>
      </c>
      <c r="D16" s="32">
        <f>CHOOSE(DCF!$B$3,Scenarios!$B$12,Scenarios!$C$12,Scenarios!$D$12)</f>
        <v/>
      </c>
      <c r="E16" s="32">
        <f>CHOOSE(DCF!$B$3,Scenarios!$B$12,Scenarios!$C$12,Scenarios!$D$12)</f>
        <v/>
      </c>
      <c r="F16" s="32">
        <f>CHOOSE(DCF!$B$3,Scenarios!$B$12,Scenarios!$C$12,Scenarios!$D$12)</f>
        <v/>
      </c>
      <c r="G16" s="32">
        <f>CHOOSE(DCF!$B$3,Scenarios!$B$12,Scenarios!$C$12,Scenarios!$D$12)</f>
        <v/>
      </c>
    </row>
    <row r="17" ht="15" customHeight="1">
      <c r="A17" s="16" t="inlineStr">
        <is>
          <t>Plus: D&amp;A</t>
        </is>
      </c>
      <c r="B17" s="218">
        <f>B15</f>
        <v/>
      </c>
      <c r="C17" s="75">
        <f>C6*CHOOSE(DCF!$B$3,Scenarios!$B$12,Scenarios!$C$12,Scenarios!$D$12)</f>
        <v/>
      </c>
      <c r="D17" s="75">
        <f>D6*CHOOSE(DCF!$B$3,Scenarios!$B$12,Scenarios!$C$12,Scenarios!$D$12)</f>
        <v/>
      </c>
      <c r="E17" s="75">
        <f>E6*CHOOSE(DCF!$B$3,Scenarios!$B$12,Scenarios!$C$12,Scenarios!$D$12)</f>
        <v/>
      </c>
      <c r="F17" s="75">
        <f>F6*CHOOSE(DCF!$B$3,Scenarios!$B$12,Scenarios!$C$12,Scenarios!$D$12)</f>
        <v/>
      </c>
      <c r="G17" s="75">
        <f>G6*CHOOSE(DCF!$B$3,Scenarios!$B$12,Scenarios!$C$12,Scenarios!$D$12)</f>
        <v/>
      </c>
    </row>
    <row r="18">
      <c r="A18" s="16" t="inlineStr">
        <is>
          <t>Capex % of revenue</t>
        </is>
      </c>
      <c r="B18" s="176" t="n"/>
      <c r="C18" s="32">
        <f>CHOOSE(DCF!$B$3,Scenarios!$B$13,Scenarios!$C$13,Scenarios!$D$13)</f>
        <v/>
      </c>
      <c r="D18" s="32">
        <f>CHOOSE(DCF!$B$3,Scenarios!$B$13,Scenarios!$C$13,Scenarios!$D$13)</f>
        <v/>
      </c>
      <c r="E18" s="32">
        <f>CHOOSE(DCF!$B$3,Scenarios!$B$13,Scenarios!$C$13,Scenarios!$D$13)</f>
        <v/>
      </c>
      <c r="F18" s="32">
        <f>CHOOSE(DCF!$B$3,Scenarios!$B$13,Scenarios!$C$13,Scenarios!$D$13)</f>
        <v/>
      </c>
      <c r="G18" s="32">
        <f>CHOOSE(DCF!$B$3,Scenarios!$B$13,Scenarios!$C$13,Scenarios!$D$13)</f>
        <v/>
      </c>
    </row>
    <row r="19">
      <c r="A19" s="16" t="inlineStr">
        <is>
          <t>Less: Capex</t>
        </is>
      </c>
      <c r="B19" s="218">
        <f>-680802</f>
        <v/>
      </c>
      <c r="C19" s="75">
        <f>-C6*CHOOSE(DCF!$B$3,Scenarios!$B$13,Scenarios!$C$13,Scenarios!$D$13)</f>
        <v/>
      </c>
      <c r="D19" s="75">
        <f>-D6*CHOOSE(DCF!$B$3,Scenarios!$B$13,Scenarios!$C$13,Scenarios!$D$13)</f>
        <v/>
      </c>
      <c r="E19" s="75">
        <f>-E6*CHOOSE(DCF!$B$3,Scenarios!$B$13,Scenarios!$C$13,Scenarios!$D$13)</f>
        <v/>
      </c>
      <c r="F19" s="75">
        <f>-F6*CHOOSE(DCF!$B$3,Scenarios!$B$13,Scenarios!$C$13,Scenarios!$D$13)</f>
        <v/>
      </c>
      <c r="G19" s="75">
        <f>-G6*CHOOSE(DCF!$B$3,Scenarios!$B$13,Scenarios!$C$13,Scenarios!$D$13)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>
        <f>Scenarios!$C$15</f>
        <v/>
      </c>
      <c r="C21" s="193">
        <f>CHOOSE(DCF!$B$3,Scenarios!$B$15,Scenarios!$C$15,Scenarios!$D$15)</f>
        <v/>
      </c>
      <c r="D21" s="193">
        <f>CHOOSE(DCF!$B$3,Scenarios!$B$15,Scenarios!$C$15,Scenarios!$D$15)</f>
        <v/>
      </c>
      <c r="E21" s="193">
        <f>CHOOSE(DCF!$B$3,Scenarios!$B$15,Scenarios!$C$15,Scenarios!$D$15)</f>
        <v/>
      </c>
      <c r="F21" s="193">
        <f>CHOOSE(DCF!$B$3,Scenarios!$B$15,Scenarios!$C$15,Scenarios!$D$15)</f>
        <v/>
      </c>
      <c r="G21" s="193">
        <f>CHOOSE(DCF!$B$3,Scenarios!$B$15,Scenarios!$C$15,Scenarios!$D$15)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C6*C21/365</f>
        <v/>
      </c>
      <c r="D22" s="75">
        <f>D6*D21/365</f>
        <v/>
      </c>
      <c r="E22" s="75">
        <f>E6*E21/365</f>
        <v/>
      </c>
      <c r="F22" s="75">
        <f>F6*F21/365</f>
        <v/>
      </c>
      <c r="G22" s="75">
        <f>G6*G21/365</f>
        <v/>
      </c>
    </row>
    <row r="23" ht="15" customHeight="1">
      <c r="A23" s="16" t="inlineStr">
        <is>
          <t>DIO (days)</t>
        </is>
      </c>
      <c r="B23" s="193">
        <f>Scenarios!$C$16</f>
        <v/>
      </c>
      <c r="C23" s="193">
        <f>CHOOSE(DCF!$B$3,Scenarios!$B$16,Scenarios!$C$16,Scenarios!$D$16)-0*CHOOSE(DCF!$B$3,Scenarios!$B$17,Scenarios!$C$17,Scenarios!$D$17)</f>
        <v/>
      </c>
      <c r="D23" s="193">
        <f>CHOOSE(DCF!$B$3,Scenarios!$B$16,Scenarios!$C$16,Scenarios!$D$16)-1*CHOOSE(DCF!$B$3,Scenarios!$B$17,Scenarios!$C$17,Scenarios!$D$17)</f>
        <v/>
      </c>
      <c r="E23" s="193">
        <f>CHOOSE(DCF!$B$3,Scenarios!$B$16,Scenarios!$C$16,Scenarios!$D$16)-2*CHOOSE(DCF!$B$3,Scenarios!$B$17,Scenarios!$C$17,Scenarios!$D$17)</f>
        <v/>
      </c>
      <c r="F23" s="193">
        <f>CHOOSE(DCF!$B$3,Scenarios!$B$16,Scenarios!$C$16,Scenarios!$D$16)-3*CHOOSE(DCF!$B$3,Scenarios!$B$17,Scenarios!$C$17,Scenarios!$D$17)</f>
        <v/>
      </c>
      <c r="G23" s="193">
        <f>CHOOSE(DCF!$B$3,Scenarios!$B$16,Scenarios!$C$16,Scenarios!$D$16)-4*CHOOSE(DCF!$B$3,Scenarios!$B$17,Scenarios!$C$17,Scenarios!$D$17)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C8*C23/365</f>
        <v/>
      </c>
      <c r="D24" s="75">
        <f>D8*D23/365</f>
        <v/>
      </c>
      <c r="E24" s="75">
        <f>E8*E23/365</f>
        <v/>
      </c>
      <c r="F24" s="75">
        <f>F8*F23/365</f>
        <v/>
      </c>
      <c r="G24" s="75">
        <f>G8*G23/365</f>
        <v/>
      </c>
    </row>
    <row r="25" ht="15" customHeight="1">
      <c r="A25" s="16" t="inlineStr">
        <is>
          <t>DPO (days)</t>
        </is>
      </c>
      <c r="B25" s="193">
        <f>Scenarios!$C$18</f>
        <v/>
      </c>
      <c r="C25" s="193">
        <f>CHOOSE(DCF!$B$3,Scenarios!$B$18,Scenarios!$C$18,Scenarios!$D$18)</f>
        <v/>
      </c>
      <c r="D25" s="193">
        <f>CHOOSE(DCF!$B$3,Scenarios!$B$18,Scenarios!$C$18,Scenarios!$D$18)</f>
        <v/>
      </c>
      <c r="E25" s="193">
        <f>CHOOSE(DCF!$B$3,Scenarios!$B$18,Scenarios!$C$18,Scenarios!$D$18)</f>
        <v/>
      </c>
      <c r="F25" s="193">
        <f>CHOOSE(DCF!$B$3,Scenarios!$B$18,Scenarios!$C$18,Scenarios!$D$18)</f>
        <v/>
      </c>
      <c r="G25" s="193">
        <f>CHOOSE(DCF!$B$3,Scenarios!$B$18,Scenarios!$C$18,Scenarios!$D$18)</f>
        <v/>
      </c>
    </row>
    <row r="26" ht="15" customHeight="1">
      <c r="A26" s="16" t="inlineStr">
        <is>
          <t>Accounts payable</t>
        </is>
      </c>
      <c r="B26" s="75" t="n">
        <v>331421</v>
      </c>
      <c r="C26" s="75">
        <f>C8*C25/365</f>
        <v/>
      </c>
      <c r="D26" s="75">
        <f>D8*D25/365</f>
        <v/>
      </c>
      <c r="E26" s="75">
        <f>E8*E25/365</f>
        <v/>
      </c>
      <c r="F26" s="75">
        <f>F8*F25/365</f>
        <v/>
      </c>
      <c r="G26" s="75">
        <f>G8*G25/365</f>
        <v/>
      </c>
    </row>
    <row r="27" ht="15" customHeight="1">
      <c r="A27" s="16" t="inlineStr">
        <is>
          <t>Prepaid expenses (% of revenue)</t>
        </is>
      </c>
      <c r="B27" s="32">
        <f>Scenarios!$C$19</f>
        <v/>
      </c>
      <c r="C27" s="32">
        <f>CHOOSE(DCF!$B$3,Scenarios!$B$19,Scenarios!$C$19,Scenarios!$D$19)</f>
        <v/>
      </c>
      <c r="D27" s="32">
        <f>CHOOSE(DCF!$B$3,Scenarios!$B$19,Scenarios!$C$19,Scenarios!$D$19)</f>
        <v/>
      </c>
      <c r="E27" s="32">
        <f>CHOOSE(DCF!$B$3,Scenarios!$B$19,Scenarios!$C$19,Scenarios!$D$19)</f>
        <v/>
      </c>
      <c r="F27" s="32">
        <f>CHOOSE(DCF!$B$3,Scenarios!$B$19,Scenarios!$C$19,Scenarios!$D$19)</f>
        <v/>
      </c>
      <c r="G27" s="32">
        <f>CHOOSE(DCF!$B$3,Scenarios!$B$19,Scenarios!$C$19,Scenarios!$D$19)</f>
        <v/>
      </c>
    </row>
    <row r="28" ht="15" customHeight="1">
      <c r="A28" s="16" t="inlineStr">
        <is>
          <t>Prepaid expenses (other current assets)</t>
        </is>
      </c>
      <c r="B28" s="75" t="n">
        <v>564089</v>
      </c>
      <c r="C28" s="75">
        <f>C6*C27</f>
        <v/>
      </c>
      <c r="D28" s="75">
        <f>D6*D27</f>
        <v/>
      </c>
      <c r="E28" s="75">
        <f>E6*E27</f>
        <v/>
      </c>
      <c r="F28" s="75">
        <f>F6*F27</f>
        <v/>
      </c>
      <c r="G28" s="75">
        <f>G6*G27</f>
        <v/>
      </c>
    </row>
    <row r="29" ht="15" customHeight="1">
      <c r="A29" s="16" t="inlineStr">
        <is>
          <t>Accrued liabilities (% of revenue)</t>
        </is>
      </c>
      <c r="B29" s="32">
        <f>Scenarios!$C$20</f>
        <v/>
      </c>
      <c r="C29" s="75">
        <f>CHOOSE(DCF!$B$3,Scenarios!$B$20,Scenarios!$C$20,Scenarios!$D$20)</f>
        <v/>
      </c>
      <c r="D29" s="75">
        <f>CHOOSE(DCF!$B$3,Scenarios!$B$20,Scenarios!$C$20,Scenarios!$D$20)</f>
        <v/>
      </c>
      <c r="E29" s="75">
        <f>CHOOSE(DCF!$B$3,Scenarios!$B$20,Scenarios!$C$20,Scenarios!$D$20)</f>
        <v/>
      </c>
      <c r="F29" s="75">
        <f>CHOOSE(DCF!$B$3,Scenarios!$B$20,Scenarios!$C$20,Scenarios!$D$20)</f>
        <v/>
      </c>
      <c r="G29" s="75">
        <f>CHOOSE(DCF!$B$3,Scenarios!$B$20,Scenarios!$C$20,Scenarios!$D$20)</f>
        <v/>
      </c>
    </row>
    <row r="30" ht="15" customHeight="1">
      <c r="A30" s="16" t="inlineStr">
        <is>
          <t>Accrued liabilities and other</t>
        </is>
      </c>
      <c r="B30" s="75" t="n">
        <v>662982</v>
      </c>
      <c r="C30" s="75">
        <f>C6*C29</f>
        <v/>
      </c>
      <c r="D30" s="75">
        <f>D6*D29</f>
        <v/>
      </c>
      <c r="E30" s="75">
        <f>E6*E29</f>
        <v/>
      </c>
      <c r="F30" s="75">
        <f>F6*F29</f>
        <v/>
      </c>
      <c r="G30" s="75">
        <f>G6*G29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C22+C24+C28</f>
        <v/>
      </c>
      <c r="D31" s="75">
        <f>D22+D24+D28</f>
        <v/>
      </c>
      <c r="E31" s="75">
        <f>E22+E24+E28</f>
        <v/>
      </c>
      <c r="F31" s="75">
        <f>F22+F24+F28</f>
        <v/>
      </c>
      <c r="G31" s="75">
        <f>G22+G24+G28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C26+C30</f>
        <v/>
      </c>
      <c r="D32" s="75">
        <f>D26+D30</f>
        <v/>
      </c>
      <c r="E32" s="75">
        <f>E26+E30</f>
        <v/>
      </c>
      <c r="F32" s="75">
        <f>F26+F30</f>
        <v/>
      </c>
      <c r="G32" s="75">
        <f>G26+G30</f>
        <v/>
      </c>
    </row>
    <row r="33" ht="15" customHeight="1">
      <c r="A33" s="68" t="inlineStr">
        <is>
          <t>Net working capital</t>
        </is>
      </c>
      <c r="B33" s="130" t="n">
        <v>1461096</v>
      </c>
      <c r="C33" s="130">
        <f>C31-C32</f>
        <v/>
      </c>
      <c r="D33" s="130">
        <f>D31-D32</f>
        <v/>
      </c>
      <c r="E33" s="130">
        <f>E31-E32</f>
        <v/>
      </c>
      <c r="F33" s="130">
        <f>F31-F32</f>
        <v/>
      </c>
      <c r="G33" s="130">
        <f>G31-G32</f>
        <v/>
      </c>
    </row>
    <row r="34">
      <c r="A34" s="68" t="inlineStr">
        <is>
          <t>Delta NWC (prior yr - current yr)</t>
        </is>
      </c>
      <c r="B34" s="176" t="n"/>
      <c r="C34" s="130">
        <f>B33-C33</f>
        <v/>
      </c>
      <c r="D34" s="130">
        <f>C33-D33</f>
        <v/>
      </c>
      <c r="E34" s="130">
        <f>D33-E33</f>
        <v/>
      </c>
      <c r="F34" s="130">
        <f>E33-F33</f>
        <v/>
      </c>
      <c r="G34" s="130">
        <f>F33-G33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C14+C17+C19+C34</f>
        <v/>
      </c>
      <c r="D36" s="200">
        <f>D14+D17+D19+D34</f>
        <v/>
      </c>
      <c r="E36" s="200">
        <f>E14+E17+E19+E34</f>
        <v/>
      </c>
      <c r="F36" s="200">
        <f>F14+F17+F19+F34</f>
        <v/>
      </c>
      <c r="G36" s="200">
        <f>G14+G17+G19+G34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Terminal value — Gordon growth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Scenarios!C10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</t>
        </is>
      </c>
      <c r="B46" s="32">
        <f>G36*(1+Scenarios!C10)/(WACC!B36-Scenarios!C10)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</t>
        </is>
      </c>
      <c r="B47" s="94">
        <f>B46/B45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32">
        <f>G36/B45*(1+Scenarios!C10)/(WACC!B36-Scenarios!C10)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31">
        <f>B43+B49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75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75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99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Terminal value % of EV</t>
        </is>
      </c>
      <c r="B60" s="75">
        <f>B49/B50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75">
        <f>Scenarios!$C$21</f>
        <v/>
      </c>
      <c r="C66" s="75">
        <f>Scenarios!$C$21</f>
        <v/>
      </c>
      <c r="D66" s="75">
        <f>Scenarios!$C$21</f>
        <v/>
      </c>
      <c r="E66" s="75">
        <f>Scenarios!$C$21</f>
        <v/>
      </c>
      <c r="F66" s="75">
        <f>Scenarios!$C$21</f>
        <v/>
      </c>
      <c r="G66" s="75">
        <f>Scenarios!$C$21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B67</f>
        <v/>
      </c>
      <c r="D67" s="32">
        <f>B67</f>
        <v/>
      </c>
      <c r="E67" s="32">
        <f>B67</f>
        <v/>
      </c>
      <c r="F67" s="32">
        <f>B67</f>
        <v/>
      </c>
      <c r="G67" s="32">
        <f>B67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Scenarios!$C$21</f>
        <v/>
      </c>
      <c r="D70" s="75">
        <f>Scenarios!$C$21</f>
        <v/>
      </c>
      <c r="E70" s="75">
        <f>Scenarios!$C$21</f>
        <v/>
      </c>
      <c r="F70" s="75">
        <f>Scenarios!$C$21</f>
        <v/>
      </c>
      <c r="G70" s="75">
        <f>Scenarios!$C$21</f>
        <v/>
      </c>
    </row>
    <row r="71">
      <c r="A71" s="16" t="inlineStr">
        <is>
          <t>Repurchase as % of UFCF (derived)</t>
        </is>
      </c>
      <c r="B71" s="176" t="n"/>
      <c r="C71" s="75">
        <f>C70/C69</f>
        <v/>
      </c>
      <c r="D71" s="75">
        <f>D70/D69</f>
        <v/>
      </c>
      <c r="E71" s="75">
        <f>E70/E69</f>
        <v/>
      </c>
      <c r="F71" s="75">
        <f>F70/F69</f>
        <v/>
      </c>
      <c r="G71" s="75">
        <f>G70/G69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99" t="n">
        <v>100</v>
      </c>
      <c r="C73" s="99">
        <f>Scenarios!$B$198</f>
        <v/>
      </c>
      <c r="D73" s="99">
        <f>Scenarios!$B$199</f>
        <v/>
      </c>
      <c r="E73" s="99">
        <f>Scenarios!$B$200</f>
        <v/>
      </c>
      <c r="F73" s="99">
        <f>Scenarios!$B$201</f>
        <v/>
      </c>
      <c r="G73" s="99">
        <f>Scenarios!$B$202</f>
        <v/>
      </c>
    </row>
    <row r="74">
      <c r="A74" s="16" t="inlineStr">
        <is>
          <t>Shares retired (000)</t>
        </is>
      </c>
      <c r="B74" s="187" t="n">
        <v>0</v>
      </c>
      <c r="C74" s="187">
        <f>C70/C73</f>
        <v/>
      </c>
      <c r="D74" s="187">
        <f>D70/D73</f>
        <v/>
      </c>
      <c r="E74" s="187">
        <f>E70/E73</f>
        <v/>
      </c>
      <c r="F74" s="187">
        <f>F70/F73</f>
        <v/>
      </c>
      <c r="G74" s="187">
        <f>G70/G73</f>
        <v/>
      </c>
    </row>
    <row r="75">
      <c r="A75" s="16" t="inlineStr">
        <is>
          <t>Beginning shares (000)</t>
        </is>
      </c>
      <c r="B75" s="187" t="n">
        <v>111380</v>
      </c>
      <c r="C75" s="187">
        <f>Scenarios!$C$197</f>
        <v/>
      </c>
      <c r="D75" s="187">
        <f>C76</f>
        <v/>
      </c>
      <c r="E75" s="187">
        <f>D76</f>
        <v/>
      </c>
      <c r="F75" s="187">
        <f>E76</f>
        <v/>
      </c>
      <c r="G75" s="187">
        <f>F76</f>
        <v/>
      </c>
    </row>
    <row r="76">
      <c r="A76" s="68" t="inlineStr">
        <is>
          <t>Ending shares (000)</t>
        </is>
      </c>
      <c r="B76" s="197" t="n">
        <v>111380</v>
      </c>
      <c r="C76" s="197">
        <f>Scenarios!$C$183</f>
        <v/>
      </c>
      <c r="D76" s="197">
        <f>Scenarios!$C$184</f>
        <v/>
      </c>
      <c r="E76" s="197">
        <f>Scenarios!$C$185</f>
        <v/>
      </c>
      <c r="F76" s="197">
        <f>Scenarios!$C$186</f>
        <v/>
      </c>
      <c r="G76" s="197">
        <f>Scenarios!$C$187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75" t="n">
        <v>1579183</v>
      </c>
      <c r="C78" s="75">
        <f>Scenarios!$C$143</f>
        <v/>
      </c>
      <c r="D78" s="75">
        <f>Scenarios!$C$144</f>
        <v/>
      </c>
      <c r="E78" s="75">
        <f>Scenarios!$C$145</f>
        <v/>
      </c>
      <c r="F78" s="75">
        <f>Scenarios!$C$146</f>
        <v/>
      </c>
      <c r="G78" s="75">
        <f>Scenarios!$C$147</f>
        <v/>
      </c>
    </row>
    <row r="79">
      <c r="A79" s="68" t="inlineStr">
        <is>
          <t>Accretive EPS ($/share) = Net income / ending shares</t>
        </is>
      </c>
      <c r="B79" s="150" t="n">
        <v>14.18</v>
      </c>
      <c r="C79" s="150">
        <f>Scenarios!$C$188</f>
        <v/>
      </c>
      <c r="D79" s="150">
        <f>Scenarios!$C$189</f>
        <v/>
      </c>
      <c r="E79" s="150">
        <f>Scenarios!$C$190</f>
        <v/>
      </c>
      <c r="F79" s="150">
        <f>Scenarios!$C$191</f>
        <v/>
      </c>
      <c r="G79" s="150">
        <f>Scenarios!$C$192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218" t="n"/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</t>
        </is>
      </c>
      <c r="B83" s="94">
        <f>B47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(exit multiple)</t>
        </is>
      </c>
      <c r="B84" s="94">
        <f>B45*B83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31">
        <f>B43+B85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(B86+B51+B52)/B56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check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Gordon Growth</t>
        </is>
      </c>
      <c r="C90" s="176" t="inlineStr">
        <is>
          <t>Exit Multiple</t>
        </is>
      </c>
      <c r="D90" s="176" t="inlineStr">
        <is>
          <t>Variance</t>
        </is>
      </c>
      <c r="E90" s="176" t="n"/>
      <c r="F90" s="176" t="n"/>
      <c r="G90" s="176" t="n"/>
    </row>
    <row r="91">
      <c r="A91" s="68" t="inlineStr">
        <is>
          <t>Terminal value ($)</t>
        </is>
      </c>
      <c r="B91" s="218">
        <f>B46</f>
        <v/>
      </c>
      <c r="C91" s="218">
        <f>B84</f>
        <v/>
      </c>
      <c r="D91" s="218">
        <f>B91-C91</f>
        <v/>
      </c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219">
        <f>B47</f>
        <v/>
      </c>
      <c r="C92" s="219">
        <f>B83</f>
        <v/>
      </c>
      <c r="D92" s="219">
        <f>B92-C92</f>
        <v/>
      </c>
      <c r="E92" s="176" t="n"/>
      <c r="F92" s="176" t="n"/>
      <c r="G92" s="176" t="n"/>
    </row>
    <row r="93">
      <c r="A93" s="16" t="inlineStr">
        <is>
          <t>Terminal value variance (%)</t>
        </is>
      </c>
      <c r="B93" s="176" t="n"/>
      <c r="C93" s="176" t="n"/>
      <c r="D93" s="220">
        <f>(B91-C91)/B91</f>
        <v/>
      </c>
      <c r="E93" s="176" t="n"/>
      <c r="F93" s="176" t="n"/>
      <c r="G93" s="176" t="n"/>
    </row>
    <row r="94">
      <c r="A94" s="68" t="inlineStr">
        <is>
          <t>Implied share price</t>
        </is>
      </c>
      <c r="B94" s="221">
        <f>B57</f>
        <v/>
      </c>
      <c r="C94" s="221">
        <f>B87</f>
        <v/>
      </c>
      <c r="D94" s="221">
        <f>B94-C94</f>
        <v/>
      </c>
      <c r="E94" s="176" t="n"/>
      <c r="F94" s="176" t="n"/>
      <c r="G94" s="176" t="n"/>
    </row>
    <row r="95">
      <c r="A95" s="68" t="inlineStr">
        <is>
          <t>Exit multiple check (±1.5x)</t>
        </is>
      </c>
      <c r="B95" s="219">
        <f>IF(ABS(D92)&lt;=1.5,"PASS","REVIEW")</f>
        <v/>
      </c>
      <c r="C95" s="219">
        <f>TEXT(D92,"0.0")&amp;"x spread vs Gordon-implied exit"</f>
        <v/>
      </c>
      <c r="D95" s="176" t="inlineStr">
        <is>
          <t>Exit multiple = Gordon-implied (FY30 EBITDA)</t>
        </is>
      </c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(NPV($A100,C36:G36)+(G36*(1+C$99)/($A100-C$99))/(1+$A100)^5+B51+B52)/B56</f>
        <v/>
      </c>
      <c r="D100" s="121">
        <f>(NPV($A100,C36:G36)+(G36*(1+D$99)/($A100-D$99))/(1+$A100)^5+B51+B52)/B56</f>
        <v/>
      </c>
      <c r="E100" s="121">
        <f>(NPV($A100,C36:G36)+(G36*(1+E$99)/($A100-E$99))/(1+$A100)^5+B51+B52)/B56</f>
        <v/>
      </c>
      <c r="F100" s="121">
        <f>(NPV($A100,C36:G36)+(G36*(1+F$99)/($A100-F$99))/(1+$A100)^5+B51+B52)/B56</f>
        <v/>
      </c>
      <c r="G100" s="121">
        <f>(NPV($A100,C36:G36)+(G36*(1+G$99)/($A100-G$99))/(1+$A100)^5+B51+B52)/B56</f>
        <v/>
      </c>
    </row>
    <row r="101" ht="28" customHeight="1">
      <c r="A101" s="205" t="n">
        <v>0.1</v>
      </c>
      <c r="B101" s="176" t="n"/>
      <c r="C101" s="121">
        <f>(NPV($A101,C36:G36)+(G36*(1+C$99)/($A101-C$99))/(1+$A101)^5+B51+B52)/B56</f>
        <v/>
      </c>
      <c r="D101" s="121">
        <f>(NPV($A101,C36:G36)+(G36*(1+D$99)/($A101-D$99))/(1+$A101)^5+B51+B52)/B56</f>
        <v/>
      </c>
      <c r="E101" s="121">
        <f>(NPV($A101,C36:G36)+(G36*(1+E$99)/($A101-E$99))/(1+$A101)^5+B51+B52)/B56</f>
        <v/>
      </c>
      <c r="F101" s="121">
        <f>(NPV($A101,C36:G36)+(G36*(1+F$99)/($A101-F$99))/(1+$A101)^5+B51+B52)/B56</f>
        <v/>
      </c>
      <c r="G101" s="121">
        <f>(NPV($A101,C36:G36)+(G36*(1+G$99)/($A101-G$99))/(1+$A101)^5+B51+B52)/B56</f>
        <v/>
      </c>
    </row>
    <row r="102" ht="28" customHeight="1">
      <c r="A102" s="205" t="n">
        <v>0.105</v>
      </c>
      <c r="B102" s="176" t="n"/>
      <c r="C102" s="121">
        <f>(NPV($A102,C36:G36)+(G36*(1+C$99)/($A102-C$99))/(1+$A102)^5+B51+B52)/B56</f>
        <v/>
      </c>
      <c r="D102" s="121">
        <f>(NPV($A102,C36:G36)+(G36*(1+D$99)/($A102-D$99))/(1+$A102)^5+B51+B52)/B56</f>
        <v/>
      </c>
      <c r="E102" s="121">
        <f>(NPV($A102,C36:G36)+(G36*(1+E$99)/($A102-E$99))/(1+$A102)^5+B51+B52)/B56</f>
        <v/>
      </c>
      <c r="F102" s="121">
        <f>(NPV($A102,C36:G36)+(G36*(1+F$99)/($A102-F$99))/(1+$A102)^5+B51+B52)/B56</f>
        <v/>
      </c>
      <c r="G102" s="121">
        <f>(NPV($A102,C36:G36)+(G36*(1+G$99)/($A102-G$99))/(1+$A102)^5+B51+B52)/B56</f>
        <v/>
      </c>
    </row>
    <row r="103" ht="28" customHeight="1">
      <c r="A103" s="205" t="n">
        <v>0.11</v>
      </c>
      <c r="B103" s="176" t="n"/>
      <c r="C103" s="121">
        <f>(NPV($A103,C36:G36)+(G36*(1+C$99)/($A103-C$99))/(1+$A103)^5+B51+B52)/B56</f>
        <v/>
      </c>
      <c r="D103" s="121">
        <f>(NPV($A103,C36:G36)+(G36*(1+D$99)/($A103-D$99))/(1+$A103)^5+B51+B52)/B56</f>
        <v/>
      </c>
      <c r="E103" s="121">
        <f>(NPV($A103,C36:G36)+(G36*(1+E$99)/($A103-E$99))/(1+$A103)^5+B51+B52)/B56</f>
        <v/>
      </c>
      <c r="F103" s="121">
        <f>(NPV($A103,C36:G36)+(G36*(1+F$99)/($A103-F$99))/(1+$A103)^5+B51+B52)/B56</f>
        <v/>
      </c>
      <c r="G103" s="121">
        <f>(NPV($A103,C36:G36)+(G36*(1+G$99)/($A103-G$99))/(1+$A103)^5+B51+B52)/B56</f>
        <v/>
      </c>
    </row>
    <row r="104" ht="28" customHeight="1">
      <c r="A104" s="205" t="n">
        <v>0.115</v>
      </c>
      <c r="B104" s="176" t="n"/>
      <c r="C104" s="121">
        <f>(NPV($A104,C36:G36)+(G36*(1+C$99)/($A104-C$99))/(1+$A104)^5+B51+B52)/B56</f>
        <v/>
      </c>
      <c r="D104" s="121">
        <f>(NPV($A104,C36:G36)+(G36*(1+D$99)/($A104-D$99))/(1+$A104)^5+B51+B52)/B56</f>
        <v/>
      </c>
      <c r="E104" s="121">
        <f>(NPV($A104,C36:G36)+(G36*(1+E$99)/($A104-E$99))/(1+$A104)^5+B51+B52)/B56</f>
        <v/>
      </c>
      <c r="F104" s="121">
        <f>(NPV($A104,C36:G36)+(G36*(1+F$99)/($A104-F$99))/(1+$A104)^5+B51+B52)/B56</f>
        <v/>
      </c>
      <c r="G104" s="121">
        <f>(NPV($A104,C36:G36)+(G36*(1+G$99)/($A104-G$99))/(1+$A104)^5+B51+B52)/B56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75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75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99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222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Gordon-implied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vs Gordon-implied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222" t="n">
        <v>5</v>
      </c>
      <c r="C57" s="222" t="n">
        <v>8</v>
      </c>
      <c r="D57" s="222">
        <f>(B6*B57+B8)/B9</f>
        <v/>
      </c>
      <c r="E57" s="222">
        <f>(B6*C57+B8)/B9</f>
        <v/>
      </c>
      <c r="F57" s="176" t="n"/>
      <c r="G57" s="176" t="n"/>
    </row>
    <row r="58" ht="28" customHeight="1">
      <c r="A58" s="68" t="inlineStr">
        <is>
          <t>DCF exit method</t>
        </is>
      </c>
      <c r="B58" s="222">
        <f>DCF!B82</f>
        <v/>
      </c>
      <c r="C58" s="176" t="n"/>
      <c r="D58" s="222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Scenarios!B132</f>
        <v/>
      </c>
      <c r="E60" s="121">
        <f>Scenarios!D132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Microsoft Excel</dc:creator>
  <dc:title>LULU DCF Model</dc:title>
  <dc:subject>lululemon unlevered DCF</dc:subject>
  <ns2:created xsi:type="dcterms:W3CDTF">2026-09-09T15:52:21Z</ns2:created>
  <ns2:modified xsi:type="dcterms:W3CDTF">2026-09-10T15:18:22Z</ns2:modified>
  <ns0:lastModifiedBy>Microsoft Excel</ns0:lastModifiedBy>
  <ns0:revision>1</ns0:revision>
  <ns0:creator>Microsoft Excel</ns0:creator>
</ns0:coreProperties>
</file>
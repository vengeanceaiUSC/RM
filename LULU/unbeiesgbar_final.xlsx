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FRED macro anchor. AAA blue-chip proxy; for unlevered FCF. Source: https://fred.stlouisfed.org/series/DGS10</t>
      </text>
    </comment>
    <comment ref="D4" authorId="0" shapeId="0">
      <text>
        <t>Damodaran implied ERP reference. Conservative ERP overlay vs implied market ERP. Source: https://www.stern.nyu.edu/~adamodar/New_Home_Page/datafile/histimpl.html</t>
      </text>
    </comment>
    <comment ref="D5" authorId="0" shapeId="0">
      <text>
        <t>Q2 FY26 management guidance. Cash tax assumption for Hamada relever and NOPAT. Source: https://corporate.lululemon.com/newsroom/press-releases/2026/09-03-2026-210528733</t>
      </text>
    </comment>
    <comment ref="D8" authorId="0" shapeId="0">
      <text>
        <t>NASDAQ last-sale cross-check. Market equity input for capital structure and beta relever. Source: https://www.nasdaq.com/market-activity/stocks/lulu</t>
      </text>
    </comment>
    <comment ref="D9" authorId="0" shapeId="0">
      <text>
        <t>FY25 10-K anchor. on reported baseline. Source: https://www.sec.gov/Archives/edgar/data/1397187/000139718726000020/lulu-20260201.htm</t>
      </text>
    </comment>
    <comment ref="D10" authorId="0" shapeId="0">
      <text>
        <t>Share price row × shares outstanding row on this tab. on reported baseline.</t>
      </text>
    </comment>
    <comment ref="D11" authorId="0" shapeId="0">
      <text>
        <t>FY25 10-K anchor. ASC 842 lease debt equivalent in capital structure. Source: https://www.sec.gov/Archives/edgar/data/1397187/000139718726000020/lulu-20260201.htm</t>
      </text>
    </comment>
    <comment ref="D12" authorId="0" shapeId="0">
      <text>
        <t>FY25 10-K anchor. ASC 842 lease debt equivalent in capital structure. Source: https://www.sec.gov/Archives/edgar/data/1397187/000139718726000020/lulu-20260201.htm</t>
      </text>
    </comment>
    <comment ref="D16" authorId="0" shapeId="0">
      <text>
        <t>Yahoo Finance market-data cross-check. Hamada beta chain; discount rate input. Source: https://finance.yahoo.com/quote/LULU/key-statistics/</t>
      </text>
    </comment>
    <comment ref="D17" authorId="0" shapeId="0">
      <text>
        <t>Yahoo Finance market-data cross-check. ASC 842 lease debt equivalent in capital structure. Source: https://finance.yahoo.com/quote/LULU/key-statistics/</t>
      </text>
    </comment>
    <comment ref="D18" authorId="0" shapeId="0">
      <text>
        <t>Yahoo Finance market-data cross-check. Market equity input for capital structure and beta relever. Source: https://finance.yahoo.com/quote/LULU/key-statistics/</t>
      </text>
    </comment>
    <comment ref="D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D20" authorId="0" shapeId="0">
      <text>
        <t>Yahoo Finance market-data cross-check. on reported baseline. Source: https://finance.yahoo.com/quote/LULU/key-statistics/</t>
      </text>
    </comment>
    <comment ref="D21" authorId="0" shapeId="0">
      <text>
        <t>Yahoo Finance market-data cross-check. βu = E[βL] ÷ (1 + 0.70 × E[D/E Yahoo]). Hamada beta chain; discount rate input.</t>
      </text>
    </comment>
    <comment ref="D22" authorId="0" shapeId="0">
      <text>
        <t>D/E = E[FY25 lease debt] ÷ E[market cap]. ASC 842 lease debt equivalent in capital structure.</t>
      </text>
    </comment>
    <comment ref="D23" authorId="0" shapeId="0">
      <text>
        <t>Damodaran implied ERP reference. Hamada beta chain; discount rate input. Source: https://www.stern.nyu.edu/~adamodar/New_Home_Page/datafile/Betas.html</t>
      </text>
    </comment>
    <comment ref="D24" authorId="0" shapeId="0">
      <text>
        <t>YAHOO KEY STATISTICS; βL + debt + equity on ONE page (No vendor publishes the D/E… Hamada beta chain; discount rate input.</t>
      </text>
    </comment>
    <comment ref="D30" authorId="0" shapeId="0">
      <text>
        <t>FY25 10-K anchor. ASC 842 lease debt equivalent in capital structure. Source: https://www.sec.gov/Archives/edgar/data/1397187/000139718726000020/lulu-20260201.htm</t>
      </text>
    </comment>
    <comment ref="D34" authorId="0" shapeId="0">
      <text>
        <t>Equity weight = market cap ÷ (market cap + lease debt). on reported baseline.</t>
      </text>
    </comment>
    <comment ref="D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F4" authorId="0" shapeId="0">
      <text>
        <t>Q2 FY26 management guidance. cash-flow read-through. Source: https://corporate.lululemon.com/newsroom/press-releases/2026/09-03-2026-210528733</t>
      </text>
    </comment>
    <comment ref="F5" authorId="0" shapeId="0">
      <text>
        <t>StockAnalysis consensus forecast. cash-flow read-through. Source: https://stockanalysis.com/stocks/lulu/statistics/</t>
      </text>
    </comment>
    <comment ref="F6" authorId="0" shapeId="0">
      <text>
        <t>Q2 FY26 management guidance. cash-flow read-through. Source: https://corporate.lululemon.com/newsroom/press-releases/2026/09-03-2026-210528733</t>
      </text>
    </comment>
    <comment ref="F7" authorId="0" shapeId="0">
      <text>
        <t>Q2 FY26 management guidance. on reported baseline. Source: https://corporate.lululemon.com/newsroom/press-releases/2026/09-03-2026-210528733</t>
      </text>
    </comment>
    <comment ref="F8" authorId="0" shapeId="0">
      <text>
        <t>FY25 10-K anchor. cash-flow read-through. Source: https://www.sec.gov/Archives/edgar/data/1397187/000139718726000020/lulu-20260201.htm</t>
      </text>
    </comment>
    <comment ref="F9" authorId="0" shapeId="0">
      <text>
        <t>WACC tab to green cell = rf 4.8% + relevered β × ERP 6.0% Lease-adjusted WACC; base case for DCF and sensitivity.</t>
      </text>
    </comment>
    <comment ref="F10" authorId="0" shapeId="0">
      <text>
        <t>FRED macro anchor. on reported baseline. Source: https://fred.stlouisfed.org/series/GDPC1</t>
      </text>
    </comment>
    <comment ref="F11" authorId="0" shapeId="0">
      <text>
        <t>Q2 FY26 management guidance. Cash tax assumption for Hamada relever and NOPAT. Source: https://corporate.lululemon.com/newsroom/press-releases/2026/09-03-2026-210528733</t>
      </text>
    </comment>
    <comment ref="F12" authorId="0" shapeId="0">
      <text>
        <t>FY25 10-K anchor. cash-flow read-through. Source: https://www.sec.gov/Archives/edgar/data/1397187/000139718726000020/lulu-20260201.htm</t>
      </text>
    </comment>
    <comment ref="F13" authorId="0" shapeId="0">
      <text>
        <t>FY25 10-K anchor. FY25 actual (10-K) 680.8 / 11,102.6 = 6.1% FY26 capex (10-K) FY26 sales (earnings) 7.0%… cash-flow read-through. Source: https://www.sec.gov/Archives/edgar/data/1397187/000139718726000020/lulu-20260201.htm</t>
      </text>
    </comment>
    <comment ref="F14" authorId="0" shapeId="0">
      <text>
        <t>FY25 10-K anchor. 56.6% of revenue (gross margin). cash-flow read-through. Source: https://www.sec.gov/Archives/edgar/data/1397187/000139718726000020/lulu-20260201.htm</t>
      </text>
    </comment>
    <comment ref="F15" authorId="0" shapeId="0">
      <text>
        <t>FY25 10-K anchor. Not % of revenue; DSO (days), flat ~6.3. ; supports unlevered FCF bridge. Source: https://www.sec.gov/Archives/edgar/data/1397187/000139718726000020/lulu-20260201.htm</t>
      </text>
    </comment>
    <comment ref="F16" authorId="0" shapeId="0">
      <text>
        <t>FY25 10-K anchor. Not % of revenue; DIO (days). ; supports unlevered FCF bridge. Source: https://www.sec.gov/Archives/edgar/data/1397187/000139718726000020/lulu-20260201.htm</t>
      </text>
    </comment>
    <comment ref="F17" authorId="0" shapeId="0">
      <text>
        <t>FY25 10-K anchor. Not % of revenue; DIO −1 day/yr (−5 days FY26–30). ; supports unlevered FCF bridge. Source: https://www.sec.gov/Archives/edgar/data/1397187/000139718726000020/lulu-20260201.htm</t>
      </text>
    </comment>
    <comment ref="F18" authorId="0" shapeId="0">
      <text>
        <t>FY25 10-K anchor. to 331,421 ($000) to 4,818,468 ($000) Not % of revenue; DPO ≈ 25.1 days. ; supports unlevered FCF bridge. Source: https://www.sec.gov/Archives/edgar/data/1397187/000139718726000020/lulu-20260201.htm</t>
      </text>
    </comment>
    <comment ref="F19" authorId="0" shapeId="0">
      <text>
        <t>FY25 10-K anchor. to 211,620 ($000) to 352,469 ($000) 5.1% of revenue (flat). cash-flow read-through. Source: https://www.sec.gov/Archives/edgar/data/1397187/000139718726000020/lulu-20260201.htm</t>
      </text>
    </comment>
    <comment ref="F20" authorId="0" shapeId="0">
      <text>
        <t>FY25 10-K anchor. to 662,982 ($000) to 11,102,600 ($000) 6.0% of revenue (flat).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on reported baseline. Source: https://www.sec.gov/Archives/edgar/data/1397187/000139718726000020/lulu-20260201.htm</t>
      </text>
    </comment>
    <comment ref="C8" authorId="0" shapeId="0">
      <text>
        <t>FY25 10-K anchor. on reported baseline. Source: https://www.sec.gov/Archives/edgar/data/1397187/000139718726000020/lulu-20260201.htm</t>
      </text>
    </comment>
    <comment ref="C11" authorId="0" shapeId="0">
      <text>
        <t>FY25 10-K anchor. on reported baseline. Source: https://www.sec.gov/Archives/edgar/data/1397187/000139718726000020/lulu-20260201.htm</t>
      </text>
    </comment>
    <comment ref="C12" authorId="0" shapeId="0">
      <text>
        <t>FY25 10-K anchor. on reported baseline. Source: https://www.sec.gov/Archives/edgar/data/1397187/000139718726000020/lulu-20260201.htm</t>
      </text>
    </comment>
    <comment ref="C15" authorId="0" shapeId="0">
      <text>
        <t>FY25 10-K anchor. on reported baseline. Source: https://www.sec.gov/Archives/edgar/data/1397187/000139718726000020/lulu-20260201.htm</t>
      </text>
    </comment>
    <comment ref="C16" authorId="0" shapeId="0">
      <text>
        <t>FY25 10-K anchor. on reported baseline. Source: https://www.sec.gov/Archives/edgar/data/1397187/000139718726000020/lulu-20260201.htm</t>
      </text>
    </comment>
    <comment ref="C18" authorId="0" shapeId="0">
      <text>
        <t>FY25 10-K anchor. on reported baseline. Source: https://www.sec.gov/Archives/edgar/data/1397187/000139718726000020/lulu-20260201.htm</t>
      </text>
    </comment>
    <comment ref="C19" authorId="0" shapeId="0">
      <text>
        <t>FY25 10-K anchor. on reported baseline. Source: https://www.sec.gov/Archives/edgar/data/1397187/000139718726000020/lulu-20260201.htm</t>
      </text>
    </comment>
    <comment ref="C24" authorId="0" shapeId="0">
      <text>
        <t>FY25 10-K anchor. on reported baseline. Source: https://www.sec.gov/Archives/edgar/data/1397187/000139718726000020/lulu-20260201.htm</t>
      </text>
    </comment>
    <comment ref="C25" authorId="0" shapeId="0">
      <text>
        <t>FY25 10-K anchor. on reported baseline. Source: https://www.sec.gov/Archives/edgar/data/1397187/000139718726000020/lulu-20260201.htm</t>
      </text>
    </comment>
    <comment ref="C26" authorId="0" shapeId="0">
      <text>
        <t>FY25 10-K anchor. on reported baseline. Source: https://www.sec.gov/Archives/edgar/data/1397187/000139718726000020/lulu-20260201.htm</t>
      </text>
    </comment>
    <comment ref="C27" authorId="0" shapeId="0">
      <text>
        <t>FY25 10-K anchor. on reported baseline. Source: https://www.sec.gov/Archives/edgar/data/1397187/000139718726000020/lulu-20260201.htm</t>
      </text>
    </comment>
    <comment ref="C28" authorId="0" shapeId="0">
      <text>
        <t>FY25 10-K anchor. cash-flow read-through. Source: https://www.sec.gov/Archives/edgar/data/1397187/000139718726000020/lulu-20260201.htm</t>
      </text>
    </comment>
    <comment ref="C31" authorId="0" shapeId="0">
      <text>
        <t>FY25 10-K anchor. cash-flow read-through. Source: https://www.sec.gov/Archives/edgar/data/1397187/000139718726000020/lulu-20260201.htm</t>
      </text>
    </comment>
    <comment ref="C32" authorId="0" shapeId="0">
      <text>
        <t>FY25 10-K anchor. on reported baseline. Source: https://www.sec.gov/Archives/edgar/data/1397187/000139718726000020/lulu-20260201.htm</t>
      </text>
    </comment>
    <comment ref="C33" authorId="0" shapeId="0">
      <text>
        <t>FY25 10-K anchor. on reported baseline. Source: https://www.sec.gov/Archives/edgar/data/1397187/000139718726000020/lulu-20260201.htm</t>
      </text>
    </comment>
    <comment ref="C34" authorId="0" shapeId="0">
      <text>
        <t>FY25 10-K anchor. on reported baseline. Source: https://www.sec.gov/Archives/edgar/data/1397187/000139718726000020/lulu-20260201.htm</t>
      </text>
    </comment>
    <comment ref="C38" authorId="0" shapeId="0">
      <text>
        <t>FY25 10-K anchor. on reported baseline. Source: https://www.sec.gov/Archives/edgar/data/1397187/000139718726000020/lulu-20260201.htm</t>
      </text>
    </comment>
    <comment ref="C39" authorId="0" shapeId="0">
      <text>
        <t>FY25 10-K anchor. on reported baseline. Source: https://www.sec.gov/Archives/edgar/data/1397187/000139718726000020/lulu-20260201.htm</t>
      </text>
    </comment>
    <comment ref="C40" authorId="0" shapeId="0">
      <text>
        <t>FY25 10-K anchor. on reported baseline. Source: https://www.sec.gov/Archives/edgar/data/1397187/000139718726000020/lulu-20260201.htm</t>
      </text>
    </comment>
    <comment ref="C41" authorId="0" shapeId="0">
      <text>
        <t>FY25 10-K anchor. cash-flow read-through. Source: https://www.sec.gov/Archives/edgar/data/1397187/000139718726000020/lulu-20260201.htm</t>
      </text>
    </comment>
    <comment ref="C45" authorId="0" shapeId="0">
      <text>
        <t>FY25 10-K anchor. on reported baseline. Source: https://www.sec.gov/Archives/edgar/data/1397187/000139718726000020/lulu-20260201.htm</t>
      </text>
    </comment>
    <comment ref="C46" authorId="0" shapeId="0">
      <text>
        <t>FY25 10-K anchor. cash-flow read-through. Source: https://www.sec.gov/Archives/edgar/data/1397187/000139718726000020/lulu-20260201.htm</t>
      </text>
    </comment>
    <comment ref="C47" authorId="0" shapeId="0">
      <text>
        <t>FY25 10-K anchor. cash-flow read-through. Source: https://www.sec.gov/Archives/edgar/data/1397187/000139718726000020/lulu-20260201.htm</t>
      </text>
    </comment>
    <comment ref="C48" authorId="0" shapeId="0">
      <text>
        <t>FY25 10-K anchor. cash-flow read-through. Source: https://www.sec.gov/Archives/edgar/data/1397187/000139718726000020/lulu-20260201.htm</t>
      </text>
    </comment>
    <comment ref="C49" authorId="0" shapeId="0">
      <text>
        <t>FY25 10-K anchor. cash-flow read-through. Source: https://www.sec.gov/Archives/edgar/data/1397187/000139718726000020/lulu-20260201.htm</t>
      </text>
    </comment>
    <comment ref="C50" authorId="0" shapeId="0">
      <text>
        <t>FY25 10-K anchor. cash-flow read-through. Source: https://www.sec.gov/Archives/edgar/data/1397187/000139718726000020/lulu-20260201.htm</t>
      </text>
    </comment>
    <comment ref="C51" authorId="0" shapeId="0">
      <text>
        <t>FY25 10-K anchor. cash-flow read-through. Source: https://www.sec.gov/Archives/edgar/data/1397187/000139718726000020/lulu-20260201.htm</t>
      </text>
    </comment>
    <comment ref="C55" authorId="0" shapeId="0">
      <text>
        <t>FY25 10-K anchor. cash-flow read-through. Source: https://www.sec.gov/Archives/edgar/data/1397187/000139718726000020/lulu-20260201.htm</t>
      </text>
    </comment>
    <comment ref="C56" authorId="0" shapeId="0">
      <text>
        <t>FY25 10-K anchor.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E9" authorId="0" shapeId="0">
      <text>
        <t>FY25 10-K anchor. Not consolidated EBIT margin; EBIT ÷ store revenue only (cf. cash-flow read-through. Source: https://www.sec.gov/Archives/edgar/data/1397187/000139718726000020/lulu-20260201.htm</t>
      </text>
    </comment>
    <comment ref="E10" authorId="0" shapeId="0">
      <text>
        <t>FY25 10-K anchor. Not consolidated EBIT margin; EBIT ÷ e-commerce revenue only (cf. cash-flow read-through. Source: https://www.sec.gov/Archives/edgar/data/1397187/000139718726000020/lulu-20260201.htm</t>
      </text>
    </comment>
    <comment ref="E11" authorId="0" shapeId="0">
      <text>
        <t>FY25 10-K anchor. Not consolidated EBIT margin; EBIT ÷ other-channel revenue only (cf. cash-flow read-through. Source: https://www.sec.gov/Archives/edgar/data/1397187/000139718726000020/lulu-20260201.htm</t>
      </text>
    </comment>
    <comment ref="E12" authorId="0" shapeId="0">
      <text>
        <t>Q2 FY26 management guidance. Cash tax assumption for Hamada relever and NOPAT. Source: https://corporate.lululemon.com/newsroom/press-releases/2026/09-03-2026-210528733</t>
      </text>
    </comment>
    <comment ref="E13" authorId="0" shapeId="0">
      <text>
        <t>Driver tab linkage. Amortization period if R&amp;D capitalized (3–5 yr convention). on reported baseline.</t>
      </text>
    </comment>
    <comment ref="E16" authorId="0" shapeId="0">
      <text>
        <t>FY25 10-K anchor. on reported baseline. Source: https://www.sec.gov/Archives/edgar/data/1397187/000139718726000020/lulu-20260201.htm</t>
      </text>
    </comment>
    <comment ref="E17" authorId="0" shapeId="0">
      <text>
        <t>FY25 10-K anchor. on reported baseline. Source: https://www.sec.gov/Archives/edgar/data/1397187/000139718726000020/lulu-20260201.htm</t>
      </text>
    </comment>
    <comment ref="E18" authorId="0" shapeId="0">
      <text>
        <t>FY25 10-K anchor. on reported baseline. Source: https://www.sec.gov/Archives/edgar/data/1397187/000139718726000020/lulu-20260201.htm</t>
      </text>
    </comment>
    <comment ref="E19" authorId="0" shapeId="0">
      <text>
        <t>FY25 10-K anchor. One-off legal/M&amp;A fees in SG&amp;A; none identified FY25. on reported baseline. Source: https://www.sec.gov/Archives/edgar/data/1397187/000139718726000020/lulu-20260201.htm</t>
      </text>
    </comment>
    <comment ref="E20" authorId="0" shapeId="0">
      <text>
        <t>FY25 10-K anchor. to 62,203 ($000) FY25 reference. on reported baseline. Source: https://www.sec.gov/Archives/edgar/data/1397187/000139718726000020/lulu-20260201.htm</t>
      </text>
    </comment>
    <comment ref="E21" authorId="0" shapeId="0">
      <text>
        <t>Driver tab linkage. Sum of reported EBIT + Phase 1 add-backs on this tab. on reported baseline.</t>
      </text>
    </comment>
    <comment ref="E23" authorId="0" shapeId="0">
      <text>
        <t>FY25 10-K anchor. to 1,028 ($000) supplemental cash-flow disclosure. ASC 842 lease debt equivalent in capital structure. Source: https://www.sec.gov/Archives/edgar/data/1397187/000139718726000020/lulu-20260201.htm</t>
      </text>
    </comment>
    <comment ref="E24" authorId="0" shapeId="0">
      <text>
        <t>FY25 10-K anchor. R&amp;D / software capitalization; LULU immaterial; held at $0. on reported baseline. Source: https://www.sec.gov/Archives/edgar/data/1397187/000139718726000020/lulu-20260201.htm</t>
      </text>
    </comment>
    <comment ref="E25" authorId="0" shapeId="0">
      <text>
        <t>FY25 10-K anchor. Amortization of prior capitalized intangibles; netted in D&amp;A line. on reported baseline. Source: https://www.sec.gov/Archives/edgar/data/1397187/000139718726000020/lulu-20260201.htm</t>
      </text>
    </comment>
    <comment ref="E26" authorId="0" shapeId="0">
      <text>
        <t>Driver tab linkage. Phase 1 + lease interest + R&amp;D cap − amortization. ASC 842 lease debt equivalent in capital structure.</t>
      </text>
    </comment>
    <comment ref="E28" authorId="0" shapeId="0">
      <text>
        <t>FY25 10-K anchor. Revenue Drivers tab to store-channel revenue row. cash-flow read-through. Source: https://www.sec.gov/Archives/edgar/data/1397187/000139718726000020/lulu-20260201.htm</t>
      </text>
    </comment>
    <comment ref="E29" authorId="0" shapeId="0">
      <text>
        <t>FY25 10-K anchor. Revenue Drivers tab to e-commerce revenue row. cash-flow read-through. Source: https://www.sec.gov/Archives/edgar/data/1397187/000139718726000020/lulu-20260201.htm</t>
      </text>
    </comment>
    <comment ref="E30" authorId="0" shapeId="0">
      <text>
        <t>FY25 10-K anchor. Revenue Drivers tab to other channels revenue row. cash-flow read-through. Source: https://www.sec.gov/Archives/edgar/data/1397187/000139718726000020/lulu-20260201.htm</t>
      </text>
    </comment>
    <comment ref="E31" authorId="0" shapeId="0">
      <text>
        <t>FY25 10-K anchor. Not consolidated EBIT margin; store EBIT ÷ store revenue only. cash-flow read-through. Source: https://www.sec.gov/Archives/edgar/data/1397187/000139718726000020/lulu-20260201.htm</t>
      </text>
    </comment>
    <comment ref="E32" authorId="0" shapeId="0">
      <text>
        <t>FY25 10-K anchor. Not consolidated EBIT margin; e-commerce EBIT ÷ e-commerce revenue only. cash-flow read-through. Source: https://www.sec.gov/Archives/edgar/data/1397187/000139718726000020/lulu-20260201.htm</t>
      </text>
    </comment>
    <comment ref="E33" authorId="0" shapeId="0">
      <text>
        <t>FY25 10-K anchor. Not consolidated EBIT margin; other-channel EBIT ÷ other revenue only. cash-flow read-through. Source: https://www.sec.gov/Archives/edgar/data/1397187/000139718726000020/lulu-20260201.htm</t>
      </text>
    </comment>
    <comment ref="E34" authorId="0" shapeId="0">
      <text>
        <t>Driver tab linkage. Sum of sector EBIT rows. on reported baseline.</t>
      </text>
    </comment>
    <comment ref="E35" authorId="0" shapeId="0">
      <text>
        <t>FY25 10-K anchor. Channel EBIT subtotal (Phase 3). on reported baseline. Source: https://www.sec.gov/Archives/edgar/data/1397187/000139718726000020/lulu-20260201.htm</t>
      </text>
    </comment>
    <comment ref="E36" authorId="0" shapeId="0">
      <text>
        <t>Scenarios tab: base-case EBIT (forecast) FY25: Phase 1–2 formula. on reported baseline.</t>
      </text>
    </comment>
    <comment ref="E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E40" authorId="0" shapeId="0">
      <text>
        <t>Driver tab linkage. Normalized EBIT × t_operating; unlevered tax (no debt shield). on reported baseline.</t>
      </text>
    </comment>
    <comment ref="E41" authorId="0" shapeId="0">
      <text>
        <t>Driver tab linkage. EBIT_norm − unlevered tax. on reported baseline.</t>
      </text>
    </comment>
    <comment ref="E45" authorId="0" shapeId="0">
      <text>
        <t>EBIT = 13.2% × rev + tariff; SBC stays expensed (flag = 0). DCF unchanged. on reported baseline.</t>
      </text>
    </comment>
    <comment ref="E46" authorId="0" shapeId="0">
      <text>
        <t>R&amp;D/software expensed in full each year ($0 for LULU). DCF unchanged. on reported baseline.</t>
      </text>
    </comment>
    <comment ref="E47" authorId="0" shapeId="0">
      <text>
        <t>Rent in opex; no implied lease-interest add-back. DCF unchanged. ASC 842 lease debt equivalent in capital structure.</t>
      </text>
    </comment>
    <comment ref="E48" authorId="0" shapeId="0">
      <text>
        <t>DCF uses consolidated 13.2% on total revenue (+ tariff). DCF unchanged. on reported baseline.</t>
      </text>
    </comment>
    <comment ref="E49" authorId="0" shapeId="0">
      <text>
        <t>NOPAT = EBIT × (1 − 30%) flat sc_tax. NOPAT = EBIT × (1 − t_operating) — same EBIT, slightly higher NOPAT. on reported baseline.</t>
      </text>
    </comment>
    <comment ref="E50" authorId="0" shapeId="0">
      <text>
        <t>EBIT = Rev × 13.2% only (no refund). + $134,500k in FY26 — DCF uses this.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D3" authorId="0" shapeId="0">
      <text>
        <t>FY25 10-K anchor. on reported baseline. Source: https://www.sec.gov/Archives/edgar/data/1397187/000139718726000020/lulu-20260201.htm</t>
      </text>
    </comment>
    <comment ref="E5" authorId="0" shapeId="0">
      <text>
        <t>FY25 10-K anchor. cash-flow read-through. Source: https://www.sec.gov/Archives/edgar/data/1397187/000139718726000020/lulu-20260201.htm</t>
      </text>
    </comment>
    <comment ref="E6" authorId="0" shapeId="0">
      <text>
        <t>Q2 FY26 management guidance. Also: cash-flow read-through. Source: https://corporate.lululemon.com/newsroom/press-releases/2026/09-03-2026-210528733</t>
      </text>
    </comment>
    <comment ref="E7" authorId="0" shapeId="0">
      <text>
        <t>FY25 10-K anchor. 56.6% of revenue (gross margin). cash-flow read-through. Source: https://www.sec.gov/Archives/edgar/data/1397187/000139718726000020/lulu-20260201.htm</t>
      </text>
    </comment>
    <comment ref="E8" authorId="0" shapeId="0">
      <text>
        <t>FY25 10-K anchor. on reported baseline. Source: https://www.sec.gov/Archives/edgar/data/1397187/000139718726000020/lulu-20260201.htm</t>
      </text>
    </comment>
    <comment ref="E9" authorId="0" shapeId="0">
      <text>
        <t>FY25 10-K anchor. Also: cash-flow read-through. Source: https://corporate.lululemon.com/newsroom/press-releases/2026/09-03-2026-210528733</t>
      </text>
    </comment>
    <comment ref="E10" authorId="0" shapeId="0">
      <text>
        <t>FY25 10-K anchor. on reported baseline. Source: https://corporate.lululemon.com/newsroom/press-releases/2026/09-03-2026-210528733 Source: https://www.sec.gov/Archives/edgar/data/1397187/000139718726000020/lulu-20260201.htm</t>
      </text>
    </comment>
    <comment ref="E11" authorId="0" shapeId="0">
      <text>
        <t>FY25 10-K anchor. on reported baseline. Source: https://www.sec.gov/Archives/edgar/data/1397187/000139718726000020/lulu-20260201.htm</t>
      </text>
    </comment>
    <comment ref="E12" authorId="0" shapeId="0">
      <text>
        <t>FY25 10-K anchor. cash-flow read-through. Source: https://www.sec.gov/Archives/edgar/data/1397187/000139718726000020/lulu-20260201.htm</t>
      </text>
    </comment>
    <comment ref="E15" authorId="0" shapeId="0">
      <text>
        <t>FY25 10-K anchor. cash-flow read-through. Source: https://www.sec.gov/Archives/edgar/data/1397187/000139718726000020/lulu-20260201.htm</t>
      </text>
    </comment>
    <comment ref="E17" authorId="0" shapeId="0">
      <text>
        <t>FY25 10-K anchor. FY25 actual (10-K) 680.8 / 11,102.6 = 6.1% FY26 capex (10-K) FY26 sales (earnings) 7.0%… cash-flow read-through. Source: https://www.sec.gov/Archives/edgar/data/1397187/000139718726000020/lulu-20260201.htm</t>
      </text>
    </comment>
    <comment ref="E20" authorId="0" shapeId="0">
      <text>
        <t>FY25 10-K anchor. Not % of revenue; DSO (days), flat ~6.3. ; supports unlevered FCF bridge. Source: https://www.sec.gov/Archives/edgar/data/1397187/000139718726000020/lulu-20260201.htm</t>
      </text>
    </comment>
    <comment ref="E21" authorId="0" shapeId="0">
      <text>
        <t>FY25 10-K anchor. Implied ~1.7% of revenue (= 190,657 ÷ 11,102,600); not a direct % plug. on reported baseline. Source: https://www.sec.gov/Archives/edgar/data/1397187/000139718726000020/lulu-20260201.htm</t>
      </text>
    </comment>
    <comment ref="E22" authorId="0" shapeId="0">
      <text>
        <t>FY25 10-K anchor. Not % of revenue; DIO (days). ; supports unlevered FCF bridge. Source: https://www.sec.gov/Archives/edgar/data/1397187/000139718726000020/lulu-20260201.htm</t>
      </text>
    </comment>
    <comment ref="E23" authorId="0" shapeId="0">
      <text>
        <t>FY25 10-K anchor. Not % of revenue; Inventories_t = (DIO_t ÷ 365) × COGS_t. on reported baseline. Source: https://www.sec.gov/Archives/edgar/data/1397187/000139718726000020/lulu-20260201.htm</t>
      </text>
    </comment>
    <comment ref="E24" authorId="0" shapeId="0">
      <text>
        <t>FY25 10-K anchor. to 331,421 ($000) to 4,818,468 ($000) Not % of revenue; DPO ≈ 25.1 days. ; supports unlevered FCF bridge. Source: https://www.sec.gov/Archives/edgar/data/1397187/000139718726000020/lulu-20260201.htm</t>
      </text>
    </comment>
    <comment ref="E25" authorId="0" shapeId="0">
      <text>
        <t>FY25 10-K anchor. to 331,421 ($000) to 11,102,600 ($000) Implied ~3.0% of revenue (= 331,421 ÷ 11,102,600);… on reported baseline. Source: https://www.sec.gov/Archives/edgar/data/1397187/000139718726000020/lulu-20260201.htm</t>
      </text>
    </comment>
    <comment ref="E26" authorId="0" shapeId="0">
      <text>
        <t>FY25 10-K anchor. to 211,620 ($000) to 352,469 ($000) 5.1% of revenue (flat). cash-flow read-through. Source: https://www.sec.gov/Archives/edgar/data/1397187/000139718726000020/lulu-20260201.htm</t>
      </text>
    </comment>
    <comment ref="E27" authorId="0" shapeId="0">
      <text>
        <t>FY25 10-K anchor. to 211,620 ($000) to 352,469 ($000) 5.1% of revenue (flat). on reported baseline. Source: https://www.sec.gov/Archives/edgar/data/1397187/000139718726000020/lulu-20260201.htm</t>
      </text>
    </comment>
    <comment ref="E28" authorId="0" shapeId="0">
      <text>
        <t>FY25 10-K anchor. to 662,982 ($000) to 11,102,600 ($000) 6.0% of revenue (flat). cash-flow read-through. Source: https://www.sec.gov/Archives/edgar/data/1397187/000139718726000020/lulu-20260201.htm</t>
      </text>
    </comment>
    <comment ref="E29" authorId="0" shapeId="0">
      <text>
        <t>FY25 10-K anchor. to 662,982 ($000) to 11,102,600 ($000) 6.0% of revenue (flat). on reported baseline. Source: https://www.sec.gov/Archives/edgar/data/1397187/000139718726000020/lulu-20260201.htm</t>
      </text>
    </comment>
    <comment ref="E30" authorId="0" shapeId="0">
      <text>
        <t>Scenarios tab: AR + inventory + prepaids Not one % of revenue; sum of line items. on reported baseline.</t>
      </text>
    </comment>
    <comment ref="E31" authorId="0" shapeId="0">
      <text>
        <t>Scenarios tab: AP + accrued liabilities Not one % of revenue; sum of line items. on reported baseline.</t>
      </text>
    </comment>
    <comment ref="E32" authorId="0" shapeId="0">
      <text>
        <t>FY25 10-K anchor. Not one % of revenue; net balance. on reported baseline. Source: https://www.sec.gov/Archives/edgar/data/1397187/000139718726000020/lulu-20260201.htm</t>
      </text>
    </comment>
    <comment ref="E33" authorId="0" shapeId="0">
      <text>
        <t>Scenarios tab: NWC roll-forward (driver schedule) Not % of revenue; $ change year-over-year. on reported baseline.</t>
      </text>
    </comment>
    <comment ref="D43" authorId="0" shapeId="0">
      <text>
        <t>FRED macro anchor. on reported baseline. Source: https://fred.stlouisfed.org/series/GDPC1</t>
      </text>
    </comment>
    <comment ref="D50" authorId="0" shapeId="0">
      <text>
        <t>FY25 10-K anchor. on reported baseline. Source: https://www.sec.gov/Archives/edgar/data/1397187/000139718726000020/lulu-20260201.htm</t>
      </text>
    </comment>
    <comment ref="D51" authorId="0" shapeId="0">
      <text>
        <t>FY25 10-K anchor. ASC 842 lease debt equivalent in capital structure. Source: https://www.sec.gov/Archives/edgar/data/1397187/000139718726000020/lulu-20260201.htm</t>
      </text>
    </comment>
    <comment ref="D55" authorId="0" shapeId="0">
      <text>
        <t>FY25 10-K anchor. on reported baseline. Source: https://www.sec.gov/Archives/edgar/data/1397187/000139718726000020/lulu-20260201.htm</t>
      </text>
    </comment>
    <comment ref="D57" authorId="0" shapeId="0">
      <text>
        <t>NASDAQ last-sale cross-check. Market equity input for capital structure and beta relever. Source: https://www.nasdaq.com/market-activity/stocks/lulu</t>
      </text>
    </comment>
    <comment ref="D82" authorId="0" shapeId="0">
      <text>
        <t>DCF: Gordon implied exit (TV / FY30 EBITDA) No peer on reported baseline.</t>
      </text>
    </comment>
    <comment ref="E98" authorId="0" shapeId="0">
      <text>
        <t>FRED macro anchor. Lease-adjusted WACC; base case for DCF and sensitivity. Source: https://fred.stlouisfed.org/series/GDPC1</t>
      </text>
    </comment>
    <comment ref="E99" authorId="0" shapeId="0">
      <text>
        <t>Damodaran implied ERP reference. WACC tab to green WACC cell ~9.0%. on reported baseline. Source: https://www.stern.nyu.edu/~adamodar/New_Home_Page/datafile/histimpl.html</t>
      </text>
    </comment>
    <comment ref="E100" authorId="0" shapeId="0">
      <text>
        <t>0.1 WACC tab to green WACC cell ~9.0%. on reported baseline.</t>
      </text>
    </comment>
    <comment ref="E101" authorId="0" shapeId="0">
      <text>
        <t>0.105 WACC tab to green WACC cell ~9.0%. on reported baseline.</t>
      </text>
    </comment>
    <comment ref="E102" authorId="0" shapeId="0">
      <text>
        <t>0.11 WACC tab to green WACC cell ~9.0%. on reported baseline.</t>
      </text>
    </comment>
    <comment ref="E103" authorId="0" shapeId="0">
      <text>
        <t>0.115 WACC tab to green WACC cell ~9.0%.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D4" authorId="0" shapeId="0">
      <text>
        <t>FY25 10-K anchor. cash-flow read-through. Source: https://www.sec.gov/Archives/edgar/data/1397187/000139718726000020/lulu-20260201.htm</t>
      </text>
    </comment>
    <comment ref="D6" authorId="0" shapeId="0">
      <text>
        <t>↳ DCF base case on reported baseline.</t>
      </text>
    </comment>
    <comment ref="D7" authorId="0" shapeId="0">
      <text>
        <t>Q2 FY26 management guidance. ; supports unlevered FCF bridge. Source: https://corporate.lululemon.com/newsroom/press-releases/2026/09-03-2026-210528733</t>
      </text>
    </comment>
    <comment ref="D8" authorId="0" shapeId="0">
      <text>
        <t>FY25 10-K anchor. on reported baseline. Source: https://www.sec.gov/Archives/edgar/data/1397187/000139718726000020/lulu-20260201.htm</t>
      </text>
    </comment>
    <comment ref="D9" authorId="0" shapeId="0">
      <text>
        <t>FY25 10-K anchor. on reported baseline. Source: https://www.sec.gov/Archives/edgar/data/1397187/000139718726000020/lulu-20260201.htm</t>
      </text>
    </comment>
    <comment ref="D10" authorId="0" shapeId="0">
      <text>
        <t>NASDAQ last-sale cross-check. Market equity input for capital structure and beta relever. Source: https://www.nasdaq.com/market-activity/stocks/lulu</t>
      </text>
    </comment>
    <comment ref="D18" authorId="0" shapeId="0">
      <text>
        <t>Source on reported baseline.</t>
      </text>
    </comment>
    <comment ref="D19" authorId="0" shapeId="0">
      <text>
        <t>PitchBook comps set (EV / TTM EBITDA). No public HTML. Peer multiple reference; not the selected terminal value.</t>
      </text>
    </comment>
    <comment ref="D20" authorId="0" shapeId="0">
      <text>
        <t>PitchBook comps set (EV / TTM EBITDA). No public HTML. Peer multiple reference; not the selected terminal value.</t>
      </text>
    </comment>
    <comment ref="D21" authorId="0" shapeId="0">
      <text>
        <t>PitchBook comps set (EV / TTM EBITDA). No public HTML. Peer multiple reference; not the selected terminal value.</t>
      </text>
    </comment>
    <comment ref="D22" authorId="0" shapeId="0">
      <text>
        <t>PitchBook comps set (EV / TTM EBITDA). No public HTML. Peer multiple reference; not the selected terminal value.</t>
      </text>
    </comment>
    <comment ref="D23" authorId="0" shapeId="0">
      <text>
        <t>PitchBook comps set (EV / TTM EBITDA). No public HTML. Peer multiple reference; not the selected terminal value.</t>
      </text>
    </comment>
    <comment ref="D24" authorId="0" shapeId="0">
      <text>
        <t>PitchBook comps set (EV / TTM EBITDA). No public HTML. Peer multiple reference; not the selected terminal value.</t>
      </text>
    </comment>
    <comment ref="D25" authorId="0" shapeId="0">
      <text>
        <t>PitchBook comps set (EV / TTM EBITDA). No public HTML. Peer multiple reference; not the selected terminal value.</t>
      </text>
    </comment>
    <comment ref="D26" authorId="0" shapeId="0">
      <text>
        <t>PitchBook comps set (EV / TTM EBITDA). No public HTML. Peer multiple reference; not the selected terminal value.</t>
      </text>
    </comment>
    <comment ref="D27" authorId="0" shapeId="0">
      <text>
        <t>PitchBook comps set (EV / TTM EBITDA). No public HTML. Peer multiple reference; not the selected terminal value.</t>
      </text>
    </comment>
    <comment ref="D28" authorId="0" shapeId="0">
      <text>
        <t>PitchBook comps set (EV / TTM EBITDA). No public HTML. Peer multiple reference; not the selected terminal value.</t>
      </text>
    </comment>
    <comment ref="D29" authorId="0" shapeId="0">
      <text>
        <t>PitchBook comps set (EV / TTM EBITDA). No public HTML. Peer multiple reference; not the selected terminal value.</t>
      </text>
    </comment>
    <comment ref="D33" authorId="0" shapeId="0">
      <text>
        <t>Reuters: Alo parent $10bn Moelis ask Also: Reuters: Alo 2023 process; no deal on reported baseline. Source: https://www.reuters.com/markets/deals/alo-yoga-parent-seeks-investment-10-bln-valuation-sources-2023-10-30/</t>
      </text>
    </comment>
    <comment ref="D34" authorId="0" shapeId="0">
      <text>
        <t>Forbes: Color Image nearly $2bn sales on reported baseline. Source: https://www.forbes.com/sites/jemimamcevoy/2025/04/01/the-founders-of-this-lululemon-rival-are-worth-nearly-5-billion-each/</t>
      </text>
    </comment>
    <comment ref="D35" authorId="0" shapeId="0">
      <text>
        <t>Comps: Alo ask / parent sales No on reported baseline.</t>
      </text>
    </comment>
    <comment ref="D36" authorId="0" shapeId="0">
      <text>
        <t>None — no EBITDA source on reported baseline.</t>
      </text>
    </comment>
    <comment ref="D39" authorId="0" shapeId="0">
      <text>
        <t>Derived: Excel AVERAGE of the seven core prints Each E cell is I/J from the PitchBook extract. on reported baseline.</t>
      </text>
    </comment>
    <comment ref="D40" authorId="0" shapeId="0">
      <text>
        <t>Derived: Excel AVERAGE of every positive-EBITDA row UAA omitted because TTM EBITDA is negative. on reported baseline.</t>
      </text>
    </comment>
    <comment ref="D56" authorId="0" shapeId="0">
      <text>
        <t>Source on reported baseline.</t>
      </text>
    </comment>
    <comment ref="D57" authorId="0" shapeId="0">
      <text>
        <t>StockAnalysis consensus forecast. Lo: Hi: on reported baseline. Source: https://stockanalysis.com/stocks/lulu/statistics/</t>
      </text>
    </comment>
    <comment ref="D58" authorId="0" shapeId="0">
      <text>
        <t>DCF: Gordon implied exit (TV / FY30 EBITDA) No peer on reported baseline.</t>
      </text>
    </comment>
    <comment ref="D59" authorId="0" shapeId="0">
      <text>
        <t>StockAnalysis consensus forecast. Lo: Hi: on reported baseline. Source: https://stockanalysis.com/stocks/lulu/statistics/</t>
      </text>
    </comment>
    <comment ref="D62" authorId="0" shapeId="0">
      <text>
        <t>NASDAQ last-sale cross-check.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28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+ overlay</t>
        </is>
      </c>
      <c r="C4" s="128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28" t="inlineStr">
        <is>
          <t>Q2 FY2026 outlook: tax rate ≈ 30%</t>
        </is>
      </c>
      <c r="D5" s="129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28" t="inlineStr">
        <is>
          <t>NASDAQ LULU last sale (current price)</t>
        </is>
      </c>
      <c r="D8" s="157" t="n">
        <v>100.61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28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26" t="inlineStr">
        <is>
          <t>WACC tab: price × shares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28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1" t="inlineStr">
        <is>
          <t>Lease + funded debt (above)</t>
        </is>
      </c>
      <c r="D13" s="130">
        <f>D11+D12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28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= $11.14B on the same.</t>
        </is>
      </c>
      <c r="C18" s="128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Unlever D/E = Yahoo debt (mrq) ÷ Yahoo.</t>
        </is>
      </c>
      <c r="C19" s="128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28" t="inlineStr">
        <is>
          <t>Yahoo Finance: Total Debt/Equity (mrq)</t>
        </is>
      </c>
      <c r="D20" s="27" t="n">
        <v>0.447</v>
      </c>
    </row>
    <row r="21" ht="28" customHeight="1">
      <c r="A21" s="16" t="inlineStr">
        <is>
          <t>Unlevered beta-u</t>
        </is>
      </c>
      <c r="B21" s="9" t="inlineStr">
        <is>
          <t>βu = 0.86 ÷ [1 + 0.70 ×.</t>
        </is>
      </c>
      <c r="C21" s="126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26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2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26" t="inlineStr">
        <is>
          <t>WACC tab: Hamada relever (total D/E incl. leases)</t>
        </is>
      </c>
      <c r="D24" s="131">
        <f>D21*(1+(1-D5)*D22)</f>
        <v/>
      </c>
    </row>
    <row r="25" ht="150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2"/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28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28" t="inlineStr">
        <is>
          <t>LULU Q2 FY2026 earnings release</t>
        </is>
      </c>
      <c r="E4" s="129" t="n">
        <v>-0.09</v>
      </c>
      <c r="F4" s="129" t="n">
        <v>-0.061</v>
      </c>
      <c r="G4" s="129" t="n">
        <v>-0.04</v>
      </c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28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28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28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28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28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28" t="inlineStr">
        <is>
          <t>FRED: Real GDP (GDPC1)</t>
        </is>
      </c>
      <c r="E10" s="129" t="n">
        <v>0.015</v>
      </c>
      <c r="F10" s="129" t="n">
        <v>0.022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28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28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0" customHeight="1">
      <c r="A13" s="16" t="inlineStr">
        <is>
          <t>Capex % of revenue</t>
        </is>
      </c>
      <c r="B13" s="9" t="inlineStr">
        <is>
          <t>Capex fade to 5.5%</t>
        </is>
      </c>
      <c r="C13" s="128" t="inlineStr">
        <is>
          <t>LULU 10-K: 2026 capex guide $725–745M Also: Q2 FY2026 outlook: $10.350B–$10.500B sales</t>
        </is>
      </c>
      <c r="E13" s="129" t="n">
        <v>0.07000000000000001</v>
      </c>
      <c r="F13" s="129" t="n">
        <v>0.055</v>
      </c>
      <c r="G13" s="129" t="n">
        <v>0.045</v>
      </c>
    </row>
    <row r="14" ht="112" customHeight="1">
      <c r="A14" s="16" t="inlineStr">
        <is>
          <t>Gross margin %</t>
        </is>
      </c>
      <c r="B14" s="9" t="inlineStr">
        <is>
          <t>Flat vs FY25</t>
        </is>
      </c>
      <c r="C14" s="128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0" customHeight="1">
      <c r="A15" s="16" t="inlineStr">
        <is>
          <t>DSO (days) - flat vs FY25</t>
        </is>
      </c>
      <c r="B15" s="9" t="inlineStr">
        <is>
          <t>Not % of revenue; DSO (days), flat ~6.3..</t>
        </is>
      </c>
      <c r="C15" s="128" t="inlineStr">
        <is>
          <t>LULU FY2025 10-K: Accounts receivable, net</t>
        </is>
      </c>
      <c r="E15" s="159" t="n">
        <v>6.3</v>
      </c>
      <c r="F15" s="159" t="n">
        <v>6.3</v>
      </c>
      <c r="G15" s="159" t="n">
        <v>6.3</v>
      </c>
    </row>
    <row r="16" ht="140" customHeight="1">
      <c r="A16" s="16" t="inlineStr">
        <is>
          <t>FY25 DIO anchor (days)</t>
        </is>
      </c>
      <c r="B16" s="9" t="inlineStr">
        <is>
          <t>FY25 DIO −1d/yr</t>
        </is>
      </c>
      <c r="C16" s="128" t="inlineStr">
        <is>
          <t>LULU FY2025 10-K: Inventories &amp; COGS</t>
        </is>
      </c>
      <c r="E16" s="159" t="n">
        <v>128.8</v>
      </c>
      <c r="F16" s="159" t="n">
        <v>128.8</v>
      </c>
      <c r="G16" s="159" t="n">
        <v>128.8</v>
      </c>
    </row>
    <row r="17" ht="70" customHeight="1">
      <c r="A17" s="16" t="inlineStr">
        <is>
          <t>DIO decline (days / forecast yr)</t>
        </is>
      </c>
      <c r="B17" s="9" t="inlineStr">
        <is>
          <t>−1 day / yr</t>
        </is>
      </c>
      <c r="C17" s="128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84" customHeight="1">
      <c r="A18" s="16" t="inlineStr">
        <is>
          <t>DPO (days) - flat vs FY25</t>
        </is>
      </c>
      <c r="B18" s="9" t="inlineStr">
        <is>
          <t>Not % of revenue; DPO (days), flat ~25.1..</t>
        </is>
      </c>
      <c r="C18" s="128" t="inlineStr">
        <is>
          <t>LULU FY2025 10-K: Accounts payable &amp; COGS</t>
        </is>
      </c>
      <c r="E18" s="159" t="n">
        <v>25.1</v>
      </c>
      <c r="F18" s="159" t="n">
        <v>25.1</v>
      </c>
      <c r="G18" s="159" t="n">
        <v>25.1</v>
      </c>
    </row>
    <row r="19" ht="84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28" t="inlineStr">
        <is>
          <t>LULU FY2025 10-K: other current assets (residual)</t>
        </is>
      </c>
      <c r="E19" s="129" t="n">
        <v>0.051</v>
      </c>
      <c r="F19" s="129" t="n">
        <v>0.051</v>
      </c>
      <c r="G19" s="129" t="n">
        <v>0.051</v>
      </c>
    </row>
    <row r="20" ht="84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28" t="inlineStr">
        <is>
          <t>LULU FY2025 10-K: Accrued liabilities and other</t>
        </is>
      </c>
      <c r="E20" s="129" t="n">
        <v>0.06</v>
      </c>
      <c r="F20" s="129" t="n">
        <v>0.06</v>
      </c>
      <c r="G20" s="129" t="n">
        <v>0.06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11102600*(1+E4)</f>
        <v/>
      </c>
      <c r="F25" s="75">
        <f>11102600*(1+F4)</f>
        <v/>
      </c>
      <c r="G25" s="75">
        <f>11102600*(1+G4)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0"/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8456743*E25/11102600</f>
        <v/>
      </c>
      <c r="F168" s="75">
        <f>8456743*F25/11102600</f>
        <v/>
      </c>
      <c r="G168" s="75">
        <f>8456743*G25/11102600</f>
        <v/>
      </c>
    </row>
    <row r="169">
      <c r="A169" s="41" t="inlineStr">
        <is>
          <t>Total assets - year 2</t>
        </is>
      </c>
      <c r="E169" s="75">
        <f>8456743*E26/11102600</f>
        <v/>
      </c>
      <c r="F169" s="75">
        <f>8456743*F26/11102600</f>
        <v/>
      </c>
      <c r="G169" s="75">
        <f>8456743*G26/11102600</f>
        <v/>
      </c>
    </row>
    <row r="170">
      <c r="A170" s="41" t="inlineStr">
        <is>
          <t>Total assets - year 3</t>
        </is>
      </c>
      <c r="E170" s="75">
        <f>8456743*E27/11102600</f>
        <v/>
      </c>
      <c r="F170" s="75">
        <f>8456743*F27/11102600</f>
        <v/>
      </c>
      <c r="G170" s="75">
        <f>8456743*G27/11102600</f>
        <v/>
      </c>
    </row>
    <row r="171">
      <c r="A171" s="41" t="inlineStr">
        <is>
          <t>Total assets - year 4</t>
        </is>
      </c>
      <c r="E171" s="75">
        <f>8456743*E28/11102600</f>
        <v/>
      </c>
      <c r="F171" s="75">
        <f>8456743*F28/11102600</f>
        <v/>
      </c>
      <c r="G171" s="75">
        <f>8456743*G28/11102600</f>
        <v/>
      </c>
    </row>
    <row r="172">
      <c r="A172" s="41" t="inlineStr">
        <is>
          <t>Total assets - year 5</t>
        </is>
      </c>
      <c r="E172" s="75">
        <f>8456743*E29/11102600</f>
        <v/>
      </c>
      <c r="F172" s="75">
        <f>8456743*F29/11102600</f>
        <v/>
      </c>
      <c r="G172" s="75">
        <f>8456743*G29/11102600</f>
        <v/>
      </c>
    </row>
    <row r="173">
      <c r="A173" s="41" t="inlineStr">
        <is>
          <t>Total liabilities - year 1</t>
        </is>
      </c>
      <c r="E173" s="75">
        <f>3494903*E25/11102600</f>
        <v/>
      </c>
      <c r="F173" s="75">
        <f>3494903*F25/11102600</f>
        <v/>
      </c>
      <c r="G173" s="75">
        <f>3494903*G25/11102600</f>
        <v/>
      </c>
    </row>
    <row r="174">
      <c r="A174" s="41" t="inlineStr">
        <is>
          <t>Total liabilities - year 2</t>
        </is>
      </c>
      <c r="E174" s="75">
        <f>3494903*E26/11102600</f>
        <v/>
      </c>
      <c r="F174" s="75">
        <f>3494903*F26/11102600</f>
        <v/>
      </c>
      <c r="G174" s="75">
        <f>3494903*G26/11102600</f>
        <v/>
      </c>
    </row>
    <row r="175">
      <c r="A175" s="41" t="inlineStr">
        <is>
          <t>Total liabilities - year 3</t>
        </is>
      </c>
      <c r="E175" s="75">
        <f>3494903*E27/11102600</f>
        <v/>
      </c>
      <c r="F175" s="75">
        <f>3494903*F27/11102600</f>
        <v/>
      </c>
      <c r="G175" s="75">
        <f>3494903*G27/11102600</f>
        <v/>
      </c>
    </row>
    <row r="176">
      <c r="A176" s="41" t="inlineStr">
        <is>
          <t>Total liabilities - year 4</t>
        </is>
      </c>
      <c r="E176" s="75">
        <f>3494903*E28/11102600</f>
        <v/>
      </c>
      <c r="F176" s="75">
        <f>3494903*F28/11102600</f>
        <v/>
      </c>
      <c r="G176" s="75">
        <f>3494903*G28/11102600</f>
        <v/>
      </c>
    </row>
    <row r="177">
      <c r="A177" s="41" t="inlineStr">
        <is>
          <t>Total liabilities - year 5</t>
        </is>
      </c>
      <c r="E177" s="75">
        <f>3494903*E29/11102600</f>
        <v/>
      </c>
      <c r="F177" s="75">
        <f>3494903*F29/11102600</f>
        <v/>
      </c>
      <c r="G177" s="75">
        <f>3494903*G29/11102600</f>
        <v/>
      </c>
    </row>
    <row r="178">
      <c r="A178" s="41" t="inlineStr">
        <is>
          <t>Total equity - year 1</t>
        </is>
      </c>
      <c r="E178" s="75">
        <f>4961840*E25/11102600</f>
        <v/>
      </c>
      <c r="F178" s="75">
        <f>4961840*F25/11102600</f>
        <v/>
      </c>
      <c r="G178" s="75">
        <f>4961840*G25/11102600</f>
        <v/>
      </c>
    </row>
    <row r="179">
      <c r="A179" s="41" t="inlineStr">
        <is>
          <t>Total equity - year 2</t>
        </is>
      </c>
      <c r="E179" s="75">
        <f>4961840*E26/11102600</f>
        <v/>
      </c>
      <c r="F179" s="75">
        <f>4961840*F26/11102600</f>
        <v/>
      </c>
      <c r="G179" s="75">
        <f>4961840*G26/11102600</f>
        <v/>
      </c>
    </row>
    <row r="180">
      <c r="A180" s="41" t="inlineStr">
        <is>
          <t>Total equity - year 3</t>
        </is>
      </c>
      <c r="E180" s="75">
        <f>4961840*E27/11102600</f>
        <v/>
      </c>
      <c r="F180" s="75">
        <f>4961840*F27/11102600</f>
        <v/>
      </c>
      <c r="G180" s="75">
        <f>4961840*G27/11102600</f>
        <v/>
      </c>
    </row>
    <row r="181">
      <c r="A181" s="41" t="inlineStr">
        <is>
          <t>Total equity - year 4</t>
        </is>
      </c>
      <c r="E181" s="75">
        <f>4961840*E28/11102600</f>
        <v/>
      </c>
      <c r="F181" s="75">
        <f>4961840*F28/11102600</f>
        <v/>
      </c>
      <c r="G181" s="75">
        <f>4961840*G28/11102600</f>
        <v/>
      </c>
    </row>
    <row r="182">
      <c r="A182" s="41" t="inlineStr">
        <is>
          <t>Total equity - year 5</t>
        </is>
      </c>
      <c r="E182" s="75">
        <f>4961840*E29/11102600</f>
        <v/>
      </c>
      <c r="F182" s="75">
        <f>4961840*F29/11102600</f>
        <v/>
      </c>
      <c r="G182" s="75">
        <f>4961840*G29/11102600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26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Store openings skew to China (+20 FY26) vs.</t>
        </is>
      </c>
      <c r="J7" s="128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Closures assume 2–3 per mature region annually as.</t>
        </is>
      </c>
      <c r="J8" s="128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Simple roll-forward: where you started, plus openings, minus.</t>
        </is>
      </c>
      <c r="J9" s="126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26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Store openings skew to China (+20 FY26) vs.</t>
        </is>
      </c>
      <c r="J11" s="128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Closures assume 2–3 per mature region annually as.</t>
        </is>
      </c>
      <c r="J12" s="128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Simple roll-forward: where you started, plus openings, minus.</t>
        </is>
      </c>
      <c r="J13" s="126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26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Store openings skew to China (+20 FY26) vs.</t>
        </is>
      </c>
      <c r="J15" s="128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Closures assume 2–3 per mature region annually as.</t>
        </is>
      </c>
      <c r="J16" s="128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Simple roll-forward: where you started, plus openings, minus.</t>
        </is>
      </c>
      <c r="J17" s="126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26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28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Ending stores times avg sq ft per box..</t>
        </is>
      </c>
      <c r="J20" s="126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28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28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 +20% (+19% CCY) per 10-K..</t>
        </is>
      </c>
      <c r="J26" s="128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RoW comp +9% (+7% CCY) per 10-K..</t>
        </is>
      </c>
      <c r="J27" s="128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26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26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26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26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28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28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28" t="inlineStr">
        <is>
          <t>FY2025 10-K: average order value commentary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28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28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28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26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28" t="inlineStr">
        <is>
          <t>FY2025 10-K: channel revenue table</t>
        </is>
      </c>
    </row>
    <row r="46" ht="70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28" t="inlineStr">
        <is>
          <t>FY2025 10-K: segmented net revenue</t>
        </is>
      </c>
    </row>
    <row r="47" ht="70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28" t="inlineStr">
        <is>
          <t>FY2025 10-K: segmented net revenue</t>
        </is>
      </c>
    </row>
    <row r="48" ht="70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28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28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28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28" t="inlineStr">
        <is>
          <t>FY2025 10-K: product category mix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26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28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26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26" t="inlineStr">
        <is>
          <t>Revenue Drivers: variance % formula</t>
        </is>
      </c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28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70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28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70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28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28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26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28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28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28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28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42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28" t="inlineStr">
        <is>
          <t>LULU CF statement (10-K): stock-based compensation</t>
        </is>
      </c>
      <c r="D20" s="75">
        <f>62203*$D$7</f>
        <v/>
      </c>
      <c r="E20" s="138">
        <f>Scenarios!F25/11102600*62203*$D$7</f>
        <v/>
      </c>
      <c r="F20" s="138">
        <f>Scenarios!F26/11102600*62203*$D$7</f>
        <v/>
      </c>
      <c r="G20" s="138">
        <f>Scenarios!F27/11102600*62203*$D$7</f>
        <v/>
      </c>
      <c r="H20" s="138">
        <f>Scenarios!F28/11102600*62203*$D$7</f>
        <v/>
      </c>
      <c r="I20" s="138">
        <f>Scenarios!F29/11102600*62203*$D$7</f>
        <v/>
      </c>
    </row>
    <row r="21" ht="28" customHeight="1">
      <c r="A21" s="23">
        <f> Adjusted EBIT (Phase 1)</f>
        <v/>
      </c>
      <c r="B21" s="9" t="inlineStr">
        <is>
          <t>Reported EBIT plus non-recurring add-backs.</t>
        </is>
      </c>
      <c r="C21" s="126" t="inlineStr">
        <is>
          <t>NOPAT Bridge tab: Phase 1 subtotal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28" t="inlineStr">
        <is>
          <t>LULU FY2025 10-K: interest on lease liabilities (supplemental)</t>
        </is>
      </c>
      <c r="D23" s="158" t="n">
        <v>1028</v>
      </c>
      <c r="E23" s="138">
        <f>1028*(Scenarios!F25/11102600)</f>
        <v/>
      </c>
      <c r="F23" s="138">
        <f>1028*(Scenarios!F26/11102600)</f>
        <v/>
      </c>
      <c r="G23" s="138">
        <f>1028*(Scenarios!F27/11102600)</f>
        <v/>
      </c>
      <c r="H23" s="138">
        <f>1028*(Scenarios!F28/11102600)</f>
        <v/>
      </c>
      <c r="I23" s="138">
        <f>1028*(Scenarios!F29/11102600)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28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28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>
        <f> EBIT after lease &amp; capitalization (Phase 2)</f>
        <v/>
      </c>
      <c r="B26" s="9" t="inlineStr">
        <is>
          <t>Phase 1 plus lease / R&amp;D adjustments.</t>
        </is>
      </c>
      <c r="C26" s="126" t="inlineStr">
        <is>
          <t>NOPAT Bridge tab: Phase 2 subtotal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28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28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28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70" customHeight="1">
      <c r="A31" s="16" t="inlineStr">
        <is>
          <t>Store-channel EBIT (= Rev x store margin)</t>
        </is>
      </c>
      <c r="B31" s="9" t="inlineStr">
        <is>
          <t>Not % of consolidated revenue; store EBIT ÷.</t>
        </is>
      </c>
      <c r="C31" s="128" t="inlineStr">
        <is>
          <t>FY2025 10-K: company-operated stores net revenue</t>
        </is>
      </c>
      <c r="D31" s="22" t="n">
        <v>939252.38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70" customHeight="1">
      <c r="A32" s="16" t="inlineStr">
        <is>
          <t>E-commerce EBIT (= Rev x e-comm margin)</t>
        </is>
      </c>
      <c r="B32" s="9" t="inlineStr">
        <is>
          <t>Not % of consolidated revenue; e-commerce EBIT ÷.</t>
        </is>
      </c>
      <c r="C32" s="128" t="inlineStr">
        <is>
          <t>FY2025 10-K: e-commerce net revenue</t>
        </is>
      </c>
      <c r="D32" s="22" t="n">
        <v>1160812.49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56" customHeight="1">
      <c r="A33" s="16" t="inlineStr">
        <is>
          <t>Other-channels EBIT (= Rev x other margin)</t>
        </is>
      </c>
      <c r="B33" s="9" t="inlineStr">
        <is>
          <t>Not % of consolidated revenue; other-channel EBIT ÷.</t>
        </is>
      </c>
      <c r="C33" s="128" t="inlineStr">
        <is>
          <t>FY2025 10-K: other channels (residual)</t>
        </is>
      </c>
      <c r="D33" s="22" t="n">
        <v>103208.47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sector EBIT (Phase 3).</t>
        </is>
      </c>
      <c r="C34" s="126" t="inlineStr">
        <is>
          <t>NOPAT Bridge tab: sector EBIT subtotal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>
        <f> EBIT after channel mix (Phase 3)</f>
        <v/>
      </c>
      <c r="B35" s="9" t="inlineStr">
        <is>
          <t>Channel-mix EBIT output (Phase 3).</t>
        </is>
      </c>
      <c r="C35" s="126" t="inlineStr">
        <is>
          <t>NOPAT Bridge tab: Phase 3 subtotal</t>
        </is>
      </c>
      <c r="D35" s="160" t="n">
        <v>2203273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>
        <f> Normalized EBIT (tax base for NOPAT)</f>
        <v/>
      </c>
      <c r="B36" s="9" t="inlineStr">
        <is>
          <t>FY25 walk-through Phases 1–2.</t>
        </is>
      </c>
      <c r="C36" s="126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28" t="inlineStr">
        <is>
          <t>LULU FY2025 10-K: income tax &amp; interest expense</t>
        </is>
      </c>
      <c r="D39" s="129" t="n">
        <v>0.295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26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26" t="inlineStr">
        <is>
          <t>NOPAT Bridge tab: normalized NOPAT</t>
        </is>
      </c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J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36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42" customHeight="1">
      <c r="A6" s="16" t="inlineStr">
        <is>
          <t>Revenue growth %</t>
        </is>
      </c>
      <c r="B6" t="inlineStr">
        <is>
          <t>−6.1% FY2026 revenue growth matches company guidance midpoint.</t>
        </is>
      </c>
      <c r="C6" s="128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12" customHeight="1">
      <c r="A7" s="16" t="inlineStr">
        <is>
          <t>Gross margin %</t>
        </is>
      </c>
      <c r="B7" t="inlineStr">
        <is>
          <t>56.6% of revenue (gross margin). Isolates COGS for.</t>
        </is>
      </c>
      <c r="C7" s="128" t="inlineStr">
        <is>
          <t>LULU FY2025 10-K: Gross profit &amp; COGS</t>
        </is>
      </c>
      <c r="D7" s="129" t="n">
        <v>0.5659999999999999</v>
      </c>
      <c r="E7" s="136">
        <f>Scenarios!$H$14</f>
        <v/>
      </c>
      <c r="F7" s="136">
        <f>Scenarios!$H$14</f>
        <v/>
      </c>
      <c r="G7" s="136">
        <f>Scenarios!$H$14</f>
        <v/>
      </c>
      <c r="H7" s="136">
        <f>Scenarios!$H$14</f>
        <v/>
      </c>
      <c r="I7" s="136">
        <f>Scenarios!$H$14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42" customHeight="1">
      <c r="A9" s="16" t="inlineStr">
        <is>
          <t>Clean / run-rate EBIT margin %</t>
        </is>
      </c>
      <c r="B9" t="inlineStr">
        <is>
          <t>13.2% is the real/run-rate OM: Q2 18.8% minus.</t>
        </is>
      </c>
      <c r="C9" s="128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$134.5M in FY26 only; already recognized.</t>
        </is>
      </c>
      <c r="C10" s="128" t="inlineStr">
        <is>
          <t>Q2 FY2026 release: $134.5M IEEPA tariff refunds</t>
        </is>
      </c>
      <c r="D10" s="22" t="n">
        <v>0</v>
      </c>
      <c r="E10" s="138">
        <f>Scenarios!$H$7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D&amp;A / sales = FY25 496,228 /.</t>
        </is>
      </c>
      <c r="C15" s="128" t="inlineStr">
        <is>
          <t>LULU CF statement (10-K)</t>
        </is>
      </c>
      <c r="E15" s="136">
        <f>Scenarios!$H$12</f>
        <v/>
      </c>
      <c r="F15" s="136">
        <f>Scenarios!$H$12</f>
        <v/>
      </c>
      <c r="G15" s="136">
        <f>Scenarios!$H$12</f>
        <v/>
      </c>
      <c r="H15" s="136">
        <f>Scenarios!$H$12</f>
        <v/>
      </c>
      <c r="I15" s="136">
        <f>Scenarios!$H$12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0" customHeight="1">
      <c r="A17" s="16" t="inlineStr">
        <is>
          <t>Capex % of revenue</t>
        </is>
      </c>
      <c r="B17" t="inlineStr">
        <is>
          <t>FY26 7.0% is $735M on $10.4B sales, not.</t>
        </is>
      </c>
      <c r="C17" s="128" t="inlineStr">
        <is>
          <t>LULU 10-K: 2026 capex guide $725–745M Also: Q2 FY2026 outlook: $10.350B–$10.500B sales</t>
        </is>
      </c>
      <c r="E17" s="136">
        <f>Scenarios!$H$13</f>
        <v/>
      </c>
      <c r="F17" s="136">
        <f>Scenarios!$H$13</f>
        <v/>
      </c>
      <c r="G17" s="136">
        <f>Scenarios!$H$13</f>
        <v/>
      </c>
      <c r="H17" s="136">
        <f>Scenarios!$H$13</f>
        <v/>
      </c>
      <c r="I17" s="136">
        <f>Scenarios!$H$13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Not one %; net ≈13.2% of FY25 sales.</t>
        </is>
      </c>
      <c r="C19" s="128" t="inlineStr">
        <is>
          <t>LULU FY2025 10-K: working-capital components</t>
        </is>
      </c>
    </row>
    <row r="20" ht="150" customHeight="1">
      <c r="A20" s="16" t="inlineStr">
        <is>
          <t>DSO (days) - flat vs FY25</t>
        </is>
      </c>
      <c r="B20" t="inlineStr">
        <is>
          <t>Not % of revenue; DSO (days), flat ~6.3..</t>
        </is>
      </c>
      <c r="C20" s="128" t="inlineStr">
        <is>
          <t>LULU FY2025 10-K: Accounts receivable, net</t>
        </is>
      </c>
      <c r="D20" s="159" t="n">
        <v>6.3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98" customHeight="1">
      <c r="A21" s="16" t="inlineStr">
        <is>
          <t>Accounts receivable, net</t>
        </is>
      </c>
      <c r="B21" t="inlineStr">
        <is>
          <t>Implied ~1.7% of revenue (not a direct %.</t>
        </is>
      </c>
      <c r="C21" s="128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0" customHeight="1">
      <c r="A22" s="16" t="inlineStr">
        <is>
          <t>DIO (days) - FY25 anchor, -1 day/yr</t>
        </is>
      </c>
      <c r="B22" t="inlineStr">
        <is>
          <t>Not % of revenue; DIO (days). FY25 anchor:.</t>
        </is>
      </c>
      <c r="C22" s="128" t="inlineStr">
        <is>
          <t>LULU FY2025 10-K: Inventories &amp; COGS Also: LULU FY2025 10-K: inventory &amp; markdown outlook</t>
        </is>
      </c>
      <c r="D22" s="159" t="n">
        <v>128.8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12" customHeight="1">
      <c r="A23" s="16" t="inlineStr">
        <is>
          <t>Inventories</t>
        </is>
      </c>
      <c r="B23" t="inlineStr">
        <is>
          <t>Not % of revenue; $ balance (not a.</t>
        </is>
      </c>
      <c r="C23" s="128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84" customHeight="1">
      <c r="A24" s="16" t="inlineStr">
        <is>
          <t>DPO (days) - flat vs FY25</t>
        </is>
      </c>
      <c r="B24" t="inlineStr">
        <is>
          <t>Not % of revenue; DPO (days), flat ~25.1..</t>
        </is>
      </c>
      <c r="C24" s="128" t="inlineStr">
        <is>
          <t>LULU FY2025 10-K: Accounts payable &amp; COGS</t>
        </is>
      </c>
      <c r="D24" s="159" t="n">
        <v>25.1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84" customHeight="1">
      <c r="A25" s="16" t="inlineStr">
        <is>
          <t>Accounts payable</t>
        </is>
      </c>
      <c r="B25" t="inlineStr">
        <is>
          <t>Implied ~3.0% of revenue (not a direct %.</t>
        </is>
      </c>
      <c r="C25" s="128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84" customHeight="1">
      <c r="A26" s="16" t="inlineStr">
        <is>
          <t>Prepaid expenses (% of revenue)</t>
        </is>
      </c>
      <c r="B26" t="inlineStr">
        <is>
          <t>5.1% of revenue (flat). FY25 other current assets.</t>
        </is>
      </c>
      <c r="C26" s="128" t="inlineStr">
        <is>
          <t>LULU FY2025 10-K: other current assets (residual)</t>
        </is>
      </c>
      <c r="D26" s="129" t="n">
        <v>0.051</v>
      </c>
      <c r="E26" s="136">
        <f>Scenarios!$H$19</f>
        <v/>
      </c>
      <c r="F26" s="136">
        <f>Scenarios!$H$19</f>
        <v/>
      </c>
      <c r="G26" s="136">
        <f>Scenarios!$H$19</f>
        <v/>
      </c>
      <c r="H26" s="136">
        <f>Scenarios!$H$19</f>
        <v/>
      </c>
      <c r="I26" s="136">
        <f>Scenarios!$H$19</f>
        <v/>
      </c>
    </row>
    <row r="27" ht="84" customHeight="1">
      <c r="A27" s="16" t="inlineStr">
        <is>
          <t>Prepaid expenses (other current assets)</t>
        </is>
      </c>
      <c r="B27" t="inlineStr">
        <is>
          <t>5.1% of revenue (flat). FY25 other current assets.</t>
        </is>
      </c>
      <c r="C27" s="128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84" customHeight="1">
      <c r="A28" s="16" t="inlineStr">
        <is>
          <t>Accrued liabilities (% of revenue)</t>
        </is>
      </c>
      <c r="B28" t="inlineStr">
        <is>
          <t>6.0% of revenue (flat). FY25 accrued liabilities ÷.</t>
        </is>
      </c>
      <c r="C28" s="128" t="inlineStr">
        <is>
          <t>LULU FY2025 10-K: Accrued liabilities and other</t>
        </is>
      </c>
      <c r="D28" s="129" t="n">
        <v>0.06</v>
      </c>
      <c r="E28" s="136">
        <f>Scenarios!$H$20</f>
        <v/>
      </c>
      <c r="F28" s="136">
        <f>Scenarios!$H$20</f>
        <v/>
      </c>
      <c r="G28" s="136">
        <f>Scenarios!$H$20</f>
        <v/>
      </c>
      <c r="H28" s="136">
        <f>Scenarios!$H$20</f>
        <v/>
      </c>
      <c r="I28" s="136">
        <f>Scenarios!$H$20</f>
        <v/>
      </c>
    </row>
    <row r="29" ht="84" customHeight="1">
      <c r="A29" s="16" t="inlineStr">
        <is>
          <t>Accrued liabilities and other</t>
        </is>
      </c>
      <c r="B29" t="inlineStr">
        <is>
          <t>6.0% of revenue (flat). FY25 accrued liabilities ÷.</t>
        </is>
      </c>
      <c r="C29" s="128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42" customHeight="1">
      <c r="A30" s="16" t="inlineStr">
        <is>
          <t>Current operating assets (AR + inv + prepaids)</t>
        </is>
      </c>
      <c r="B30" t="inlineStr">
        <is>
          <t>Not one %; sum ≈22.1% of FY25 sales.</t>
        </is>
      </c>
      <c r="C30" s="128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42" customHeight="1">
      <c r="A31" s="16" t="inlineStr">
        <is>
          <t>Current operating liabilities (AP + accruals)</t>
        </is>
      </c>
      <c r="B31" t="inlineStr">
        <is>
          <t>Not one %; sum ≈9.0% of FY25 sales.</t>
        </is>
      </c>
      <c r="C31" s="128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42" customHeight="1">
      <c r="A32" s="23" t="inlineStr">
        <is>
          <t>Net working capital</t>
        </is>
      </c>
      <c r="B32" t="inlineStr">
        <is>
          <t>Not one %; net ≈13.2% of FY25 sales.</t>
        </is>
      </c>
      <c r="C32" s="128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56" customHeight="1">
      <c r="A33" s="23" t="inlineStr">
        <is>
          <t>Delta NWC (prior yr - current yr)</t>
        </is>
      </c>
      <c r="B33" t="inlineStr">
        <is>
          <t>Not % of revenue; $ change in NWC.</t>
        </is>
      </c>
      <c r="C33" s="128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1/(1+Scenarios!$H$9)^E36</f>
        <v/>
      </c>
      <c r="F37" s="147">
        <f>1/(1+Scenarios!$H$9)^F36</f>
        <v/>
      </c>
      <c r="G37" s="147">
        <f>1/(1+Scenarios!$H$9)^G36</f>
        <v/>
      </c>
      <c r="H37" s="147">
        <f>1/(1+Scenarios!$H$9)^H36</f>
        <v/>
      </c>
      <c r="I37" s="147">
        <f>1/(1+Scenarios!$H$9)^I36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sits next to FRED GDPC1.</t>
        </is>
      </c>
      <c r="C43" s="128" t="inlineStr">
        <is>
          <t>FRED: Real GDP (GDPC1)</t>
        </is>
      </c>
      <c r="D43" s="136">
        <f>Scenarios!$H$10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I35*(1+Scenarios!$H$10)/(Scenarios!$H$9-Scenarios!$H$10)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I35/D44*(1+Scenarios!$H$10)/(Scenarios!$H$9-Scenarios!$H$10)</f>
        <v/>
      </c>
    </row>
    <row r="48">
      <c r="A48" s="23" t="inlineStr">
        <is>
          <t>PV of terminal value</t>
        </is>
      </c>
      <c r="D48" s="138">
        <f>D45/(1+Scenarios!$H$9)^I36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28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28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28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28" t="inlineStr">
        <is>
          <t>NASDAQ</t>
        </is>
      </c>
      <c r="D57" s="157" t="n">
        <v>100.61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0"/>
    <row r="61"/>
    <row r="62">
      <c r="A62" s="93" t="inlineStr">
        <is>
          <t>SHARE REPURCHASE &amp; EPS ACCRETION SCHEDULE</t>
        </is>
      </c>
      <c r="D62" s="13" t="n"/>
    </row>
    <row r="63">
      <c r="A63" s="26" t="n"/>
    </row>
    <row r="64"/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/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/>
    <row r="72">
      <c r="A72" s="16" t="inlineStr">
        <is>
          <t>Projected share price ($)</t>
        </is>
      </c>
      <c r="D72" s="157" t="n">
        <v>100.61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/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14.18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Selected exit is Gordon TV / FY30 EBITDA..</t>
        </is>
      </c>
      <c r="C82" s="128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D83/(1+Scenarios!$H$9)^I36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  <c r="B90">
        <f>E45</f>
        <v/>
      </c>
      <c r="C90" s="126">
        <f>E83</f>
        <v/>
      </c>
    </row>
    <row r="91">
      <c r="A91" s="23" t="inlineStr">
        <is>
          <t>Exit EV/EBITDA (implied vs selected)</t>
        </is>
      </c>
      <c r="B91">
        <f>E46</f>
        <v/>
      </c>
      <c r="C91" s="126">
        <f>E82</f>
        <v/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  <c r="B93">
        <f>E56</f>
        <v/>
      </c>
      <c r="C93" s="126">
        <f>E86</f>
        <v/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Terminal-g axis 1.5–3.0% brackets 2.25% base; bounded by.</t>
        </is>
      </c>
      <c r="C98" s="128" t="inlineStr">
        <is>
          <t>FRED: Real GDP (GDPC1)</t>
        </is>
      </c>
      <c r="E98" s="151" t="n">
        <v>0.015</v>
      </c>
      <c r="F98" s="151" t="n">
        <v>0.02</v>
      </c>
      <c r="G98" s="151" t="n">
        <v>0.022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28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J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28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28" t="inlineStr">
        <is>
          <t>Release</t>
        </is>
      </c>
      <c r="D7" s="159" t="n">
        <v>9.6</v>
      </c>
    </row>
    <row r="8" ht="28" customHeight="1">
      <c r="A8" s="16" t="inlineStr">
        <is>
          <t>Cash &amp; equivalents</t>
        </is>
      </c>
      <c r="C8" s="128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28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28" t="inlineStr">
        <is>
          <t>NASDAQ</t>
        </is>
      </c>
      <c r="D10" s="157" t="n">
        <v>100.61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26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26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26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26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26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26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26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26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26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26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26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28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28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28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No page prints Alo or Color Image EBITDA..</t>
        </is>
      </c>
      <c r="C36" s="126" t="inlineStr">
        <is>
          <t>None — no EBITDA source</t>
        </is>
      </c>
      <c r="D36" s="140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28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28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42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28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1"/>
    <row r="62" ht="28" customHeight="1">
      <c r="A62" s="124" t="inlineStr">
        <is>
          <t>Current price</t>
        </is>
      </c>
      <c r="C62" s="128" t="inlineStr">
        <is>
          <t>NASDAQ</t>
        </is>
      </c>
      <c r="D62" s="21" t="n">
        <v>100.61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2026-09-10T03:20:33Z</dcterms:modified>
  <cp:lastModifiedBy>Microsoft Excel</cp:lastModifiedBy>
  <cp:revision>1</cp:revision>
</cp:coreProperties>
</file>
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DGS10 anchor (4.8%).</t>
      </text>
    </comment>
    <comment ref="B4" authorId="0" shapeId="0">
      <text>
        <t>Damodaran US ERP (Jan-26).</t>
      </text>
    </comment>
    <comment ref="B5" authorId="0" shapeId="0">
      <text>
        <t>FY26 mgmt guidance (~30%).</t>
      </text>
    </comment>
    <comment ref="B8" authorId="0" shapeId="0">
      <text>
        <t>NASDAQ last sale (~$100).</t>
      </text>
    </comment>
    <comment ref="B9" authorId="0" shapeId="0">
      <text>
        <t>FY25 10-K share count.</t>
      </text>
    </comment>
    <comment ref="B10" authorId="0" shapeId="0">
      <text>
        <t>Price × shares outstanding.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6" authorId="0" shapeId="0">
      <text>
        <t>Yahoo βL (5Y monthly).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book D/E reference.</t>
      </text>
    </comment>
    <comment ref="B21" authorId="0" shapeId="0">
      <text>
        <t>Hamada unlever (Yahoo D/E).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29" authorId="0" shapeId="0">
      <text>
        <t>Lease-equivalent borrowing cost.</t>
      </text>
    </comment>
    <comment ref="B30" authorId="0" shapeId="0">
      <text>
        <t>Lease-equivalent borrowing cost.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Mkt cap / total capital.</t>
      </text>
    </comment>
    <comment ref="B35" authorId="0" shapeId="0">
      <text>
        <t>Lease debt / total capital.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mgmt guidance midpoint.</t>
      </text>
    </comment>
    <comment ref="B5" authorId="0" shapeId="0">
      <text>
        <t>Q2 FY26 mgmt guidance midpoint.</t>
      </text>
    </comment>
    <comment ref="B6" authorId="0" shapeId="0">
      <text>
        <t>Q2 FY26 run-rate OM (ex-tariff).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recovery vs FY25 OM.</t>
      </text>
    </comment>
    <comment ref="B9" authorId="0" shapeId="0">
      <text>
        <t>Lease-adjusted CAPM (WACC tab).</t>
      </text>
    </comment>
    <comment ref="B10" authorId="0" shapeId="0">
      <text>
        <t>FRED GDPC1 anchor (~2.1%).</t>
      </text>
    </comment>
    <comment ref="B11" authorId="0" shapeId="0">
      <text>
        <t>FY26 mgmt guidance (~30%).</t>
      </text>
    </comment>
    <comment ref="B12" authorId="0" shapeId="0">
      <text>
        <t>FY25 D&amp;A run-rate vs sales.</t>
      </text>
    </comment>
    <comment ref="B13" authorId="0" shapeId="0">
      <text>
        <t>5.5% model rate; FY26 7% capex guide fades down.</t>
      </text>
    </comment>
    <comment ref="B14" authorId="0" shapeId="0">
      <text>
        <t>Held flat vs FY25 actuals.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6" authorId="0" shapeId="0">
      <text>
        <t>FY25 anchor minus 1 day/yr.</t>
      </text>
    </comment>
    <comment ref="B17" authorId="0" shapeId="0">
      <text>
        <t>Minus 1 day per forecast yr.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OCA % of revenue.</t>
      </text>
    </comment>
    <comment ref="B20" authorId="0" shapeId="0">
      <text>
        <t>FY25 accrued % of revenue.</t>
      </text>
    </comment>
    <comment ref="B100" authorId="0" shapeId="0">
      <text>
        <t>FY25 accrued % of revenue.</t>
      </text>
    </comment>
    <comment ref="B101" authorId="0" shapeId="0">
      <text>
        <t>FY25 accrued % of revenue.</t>
      </text>
    </comment>
    <comment ref="B102" authorId="0" shapeId="0">
      <text>
        <t>FY25 accrued % of revenue.</t>
      </text>
    </comment>
    <comment ref="B103" authorId="0" shapeId="0">
      <text>
        <t>FY25 accrued % of revenue.</t>
      </text>
    </comment>
    <comment ref="B104" authorId="0" shapeId="0">
      <text>
        <t>FY25 accrued % of revenue.</t>
      </text>
    </comment>
    <comment ref="B194" authorId="0" shapeId="0">
      <text>
        <t>FY25 10-K total assets.</t>
      </text>
    </comment>
    <comment ref="B195" authorId="0" shapeId="0">
      <text>
        <t>FY25 10-K total liabilities.</t>
      </text>
    </comment>
    <comment ref="B196" authorId="0" shapeId="0">
      <text>
        <t>FY25 10-K total equity.</t>
      </text>
    </comment>
    <comment ref="B197" authorId="0" shapeId="0">
      <text>
        <t>FY25 10-K diluted share count.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Store EBIT % of store rev.</t>
      </text>
    </comment>
    <comment ref="B10" authorId="0" shapeId="0">
      <text>
        <t>E-comm EBIT % of e-comm rev.</t>
      </text>
    </comment>
    <comment ref="B11" authorId="0" shapeId="0">
      <text>
        <t>Other EBIT % of other rev.</t>
      </text>
    </comment>
    <comment ref="B12" authorId="0" shapeId="0">
      <text>
        <t>Statutory marginal rate (30%).</t>
      </text>
    </comment>
    <comment ref="B13" authorId="0" shapeId="0">
      <text>
        <t>R&amp;D capitalization period (yrs).</t>
      </text>
    </comment>
    <comment ref="B16" authorId="0" shapeId="0">
      <text>
        <t>10-K EBIT / Scenarios forecast.</t>
      </text>
    </comment>
    <comment ref="B17" authorId="0" shapeId="0">
      <text>
        <t>Run-rate intangible amort add-back.</t>
      </text>
    </comment>
    <comment ref="B18" authorId="0" shapeId="0">
      <text>
        <t>Non-recurring restructuring add-back.</t>
      </text>
    </comment>
    <comment ref="B19" authorId="0" shapeId="0">
      <text>
        <t>One-off legal / M&amp;A strip.</t>
      </text>
    </comment>
    <comment ref="B20" authorId="0" shapeId="0">
      <text>
        <t>SBC add-back (if flag = 1).</t>
      </text>
    </comment>
    <comment ref="B21" authorId="0" shapeId="0">
      <text>
        <t>Reported EBIT plus non-recurring add-backs (10-K).</t>
      </text>
    </comment>
    <comment ref="B22" authorId="0" shapeId="0">
      <text>
        <t>Lease interest and R&amp;D capitalization adjustments.</t>
      </text>
    </comment>
    <comment ref="B23" authorId="0" shapeId="0">
      <text>
        <t>Lease interest reclass (memo).</t>
      </text>
    </comment>
    <comment ref="B24" authorId="0" shapeId="0">
      <text>
        <t>R&amp;D cap immaterial this yr.</t>
      </text>
    </comment>
    <comment ref="B25" authorId="0" shapeId="0">
      <text>
        <t>Prior capitalized intangible amort.</t>
      </text>
    </comment>
    <comment ref="B26" authorId="0" shapeId="0">
      <text>
        <t>Lease interest and R&amp;D capitalization adjustments.</t>
      </text>
    </comment>
    <comment ref="B28" authorId="0" shapeId="0">
      <text>
        <t>Store rev from Revenue Drivers.</t>
      </text>
    </comment>
    <comment ref="B29" authorId="0" shapeId="0">
      <text>
        <t>E-comm rev from Revenue Drivers.</t>
      </text>
    </comment>
    <comment ref="B30" authorId="0" shapeId="0">
      <text>
        <t>Other rev from Revenue Drivers.</t>
      </text>
    </comment>
    <comment ref="B31" authorId="0" shapeId="0">
      <text>
        <t>Store EBIT ÷ store rev only.</t>
      </text>
    </comment>
    <comment ref="B32" authorId="0" shapeId="0">
      <text>
        <t>E-comm EBIT ÷ e-comm rev only.</t>
      </text>
    </comment>
    <comment ref="B33" authorId="0" shapeId="0">
      <text>
        <t>Other EBIT % of other rev.</t>
      </text>
    </comment>
    <comment ref="B34" authorId="0" shapeId="0">
      <text>
        <t>Sum of sector EBIT ().</t>
      </text>
    </comment>
    <comment ref="B35" authorId="0" shapeId="0">
      <text>
        <t>Channel-mix EBIT output ().</t>
      </text>
    </comment>
    <comment ref="B36" authorId="0" shapeId="0">
      <text>
        <t>FY25 walk-through Phases 1–2.</t>
      </text>
    </comment>
    <comment ref="B39" authorId="0" shapeId="0">
      <text>
        <t>Operating ETR with interest shield.</t>
      </text>
    </comment>
    <comment ref="B40" authorId="0" shapeId="0">
      <text>
        <t>Normalized EBIT × t_operating.</t>
      </text>
    </comment>
    <comment ref="B41" authorId="0" shapeId="0">
      <text>
        <t>EBIT_norm × (1 − t_operating).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Source: Source</t>
      </text>
    </comment>
    <comment ref="B19" authorId="0" shapeId="0">
      <text>
        <t>PitchBook EV/TTM EBITDA comp.</t>
      </text>
    </comment>
    <comment ref="B20" authorId="0" shapeId="0">
      <text>
        <t>PitchBook EV/TTM EBITDA comp.</t>
      </text>
    </comment>
    <comment ref="B21" authorId="0" shapeId="0">
      <text>
        <t>PitchBook EV/TTM EBITDA comp.</t>
      </text>
    </comment>
    <comment ref="B22" authorId="0" shapeId="0">
      <text>
        <t>PitchBook EV/TTM EBITDA comp.</t>
      </text>
    </comment>
    <comment ref="B23" authorId="0" shapeId="0">
      <text>
        <t>PitchBook EV/TTM EBITDA comp.</t>
      </text>
    </comment>
    <comment ref="B24" authorId="0" shapeId="0">
      <text>
        <t>PitchBook EV/TTM EBITDA comp.</t>
      </text>
    </comment>
    <comment ref="B25" authorId="0" shapeId="0">
      <text>
        <t>PitchBook EV/TTM EBITDA comp.</t>
      </text>
    </comment>
    <comment ref="B26" authorId="0" shapeId="0">
      <text>
        <t>PitchBook EV/TTM EBITDA comp.</t>
      </text>
    </comment>
    <comment ref="B27" authorId="0" shapeId="0">
      <text>
        <t>PitchBook EV/TTM EBITDA comp.</t>
      </text>
    </comment>
    <comment ref="B28" authorId="0" shapeId="0">
      <text>
        <t>PitchBook EV/TTM EBITDA comp.</t>
      </text>
    </comment>
    <comment ref="B29" authorId="0" shapeId="0">
      <text>
        <t>PitchBook EV/TTM EBITDA comp.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 ex-UAA.</t>
      </text>
    </comment>
    <comment ref="B40" authorId="0" shapeId="0">
      <text>
        <t>Wider tape incl. adjacent retail.</t>
      </text>
    </comment>
    <comment ref="B56" authorId="0" shapeId="0">
      <text>
        <t>Source: Source</t>
      </text>
    </comment>
    <comment ref="B57" authorId="0" shapeId="0">
      <text>
        <t>Lo 5.0x FY30E EBITDA trough.
Hi 8.0x DECK high-end cap.</t>
      </text>
    </comment>
    <comment ref="B58" authorId="0" shapeId="0">
      <text>
        <t>Gordon TV / FY30 EBITDA exit.</t>
      </text>
    </comment>
    <comment ref="B59" authorId="0" shapeId="0">
      <text>
        <t>Lo 10x FY26E EPS trough.
Hi 18x FY26E EPS recovery.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186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187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</t>
        </is>
      </c>
      <c r="B17" s="187" t="n">
        <v>2140000</v>
      </c>
    </row>
    <row r="18" ht="28" customHeight="1">
      <c r="A18" s="16" t="inlineStr">
        <is>
          <t>Market Capitalization</t>
        </is>
      </c>
      <c r="B18" s="187" t="n">
        <v>11140000</v>
      </c>
    </row>
    <row r="19" ht="28" customHeight="1">
      <c r="A19" s="16" t="inlineStr">
        <is>
          <t>Target Debt-to-Equity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7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187" t="n">
        <v>134500</v>
      </c>
      <c r="D7" s="187" t="n">
        <v>134500</v>
      </c>
      <c r="E7" s="187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>
        <f>DCF!B15/DCF!$B$6</f>
        <v/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>
        <f>(DCF!B6-DCF!B8)/DCF!B6</f>
        <v/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32" t="n">
        <v>0.06</v>
      </c>
      <c r="D20" s="32" t="n">
        <v>0.06</v>
      </c>
      <c r="E20" s="32" t="n">
        <v>0.06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187" t="n">
        <v>500000</v>
      </c>
      <c r="D21" s="187" t="n">
        <v>500000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DCF!$B$6*(1+C4)</f>
        <v/>
      </c>
      <c r="D25" s="75">
        <f>DCF!$B$6*(1+D4)</f>
        <v/>
      </c>
      <c r="E25" s="75">
        <f>DCF!$B$6*(1+E4)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28">
        <f>C15</f>
        <v/>
      </c>
      <c r="D65" s="28">
        <f>D15</f>
        <v/>
      </c>
      <c r="E65" s="28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28">
        <f>C15</f>
        <v/>
      </c>
      <c r="D66" s="28">
        <f>D15</f>
        <v/>
      </c>
      <c r="E66" s="28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28">
        <f>C15</f>
        <v/>
      </c>
      <c r="D67" s="28">
        <f>D15</f>
        <v/>
      </c>
      <c r="E67" s="28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28">
        <f>C15</f>
        <v/>
      </c>
      <c r="D68" s="28">
        <f>D15</f>
        <v/>
      </c>
      <c r="E68" s="28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28">
        <f>C15</f>
        <v/>
      </c>
      <c r="D69" s="28">
        <f>D15</f>
        <v/>
      </c>
      <c r="E69" s="28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28">
        <f>C16-C17*1</f>
        <v/>
      </c>
      <c r="D75" s="28">
        <f>D16-D17*1</f>
        <v/>
      </c>
      <c r="E75" s="28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28">
        <f>C16-C17*2</f>
        <v/>
      </c>
      <c r="D76" s="28">
        <f>D16-D17*2</f>
        <v/>
      </c>
      <c r="E76" s="28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28">
        <f>C16-C17*3</f>
        <v/>
      </c>
      <c r="D77" s="28">
        <f>D16-D17*3</f>
        <v/>
      </c>
      <c r="E77" s="28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28">
        <f>C16-C17*4</f>
        <v/>
      </c>
      <c r="D78" s="28">
        <f>D16-D17*4</f>
        <v/>
      </c>
      <c r="E78" s="28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28">
        <f>C16-C17*5</f>
        <v/>
      </c>
      <c r="D79" s="28">
        <f>D16-D17*5</f>
        <v/>
      </c>
      <c r="E79" s="28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28">
        <f>C18</f>
        <v/>
      </c>
      <c r="D85" s="28">
        <f>D18</f>
        <v/>
      </c>
      <c r="E85" s="28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28">
        <f>C18</f>
        <v/>
      </c>
      <c r="D86" s="28">
        <f>D18</f>
        <v/>
      </c>
      <c r="E86" s="28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28">
        <f>C18</f>
        <v/>
      </c>
      <c r="D87" s="28">
        <f>D18</f>
        <v/>
      </c>
      <c r="E87" s="28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28">
        <f>C18</f>
        <v/>
      </c>
      <c r="D88" s="28">
        <f>D18</f>
        <v/>
      </c>
      <c r="E88" s="28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28">
        <f>C18</f>
        <v/>
      </c>
      <c r="D89" s="28">
        <f>D18</f>
        <v/>
      </c>
      <c r="E89" s="28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130">
        <f>NPV(C9,C125,C126,C127,C128,C129)+(C129*(1+C10)/(C9-C10))/(1+C9)^5</f>
        <v/>
      </c>
      <c r="D131" s="130">
        <f>NPV(D9,D125,D126,D127,D128,D129)+(D129*(1+D10)/(D9-D10))/(1+D9)^5</f>
        <v/>
      </c>
      <c r="E131" s="130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Financial statement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$B$194*C25/DCF!$B$6</f>
        <v/>
      </c>
      <c r="D168" s="75">
        <f>$B$194*D25/DCF!$B$6</f>
        <v/>
      </c>
      <c r="E168" s="75">
        <f>$B$194*E25/DCF!$B$6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$B$194*C26/DCF!$B$6</f>
        <v/>
      </c>
      <c r="D169" s="75">
        <f>$B$194*D26/DCF!$B$6</f>
        <v/>
      </c>
      <c r="E169" s="75">
        <f>$B$194*E26/DCF!$B$6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$B$194*C27/DCF!$B$6</f>
        <v/>
      </c>
      <c r="D170" s="75">
        <f>$B$194*D27/DCF!$B$6</f>
        <v/>
      </c>
      <c r="E170" s="75">
        <f>$B$194*E27/DCF!$B$6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$B$194*C28/DCF!$B$6</f>
        <v/>
      </c>
      <c r="D171" s="75">
        <f>$B$194*D28/DCF!$B$6</f>
        <v/>
      </c>
      <c r="E171" s="75">
        <f>$B$194*E28/DCF!$B$6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$B$194*C29/DCF!$B$6</f>
        <v/>
      </c>
      <c r="D172" s="75">
        <f>$B$194*D29/DCF!$B$6</f>
        <v/>
      </c>
      <c r="E172" s="75">
        <f>$B$194*E29/DCF!$B$6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$B$195*C25/DCF!$B$6</f>
        <v/>
      </c>
      <c r="D173" s="75">
        <f>$B$195*D25/DCF!$B$6</f>
        <v/>
      </c>
      <c r="E173" s="75">
        <f>$B$195*E25/DCF!$B$6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$B$195*C26/DCF!$B$6</f>
        <v/>
      </c>
      <c r="D174" s="75">
        <f>$B$195*D26/DCF!$B$6</f>
        <v/>
      </c>
      <c r="E174" s="75">
        <f>$B$195*E26/DCF!$B$6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$B$195*C27/DCF!$B$6</f>
        <v/>
      </c>
      <c r="D175" s="75">
        <f>$B$195*D27/DCF!$B$6</f>
        <v/>
      </c>
      <c r="E175" s="75">
        <f>$B$195*E27/DCF!$B$6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$B$195*C28/DCF!$B$6</f>
        <v/>
      </c>
      <c r="D176" s="75">
        <f>$B$195*D28/DCF!$B$6</f>
        <v/>
      </c>
      <c r="E176" s="75">
        <f>$B$195*E28/DCF!$B$6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$B$195*C29/DCF!$B$6</f>
        <v/>
      </c>
      <c r="D177" s="75">
        <f>$B$195*D29/DCF!$B$6</f>
        <v/>
      </c>
      <c r="E177" s="75">
        <f>$B$195*E29/DCF!$B$6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$B$196*C25/DCF!$B$6</f>
        <v/>
      </c>
      <c r="D178" s="75">
        <f>$B$196*D25/DCF!$B$6</f>
        <v/>
      </c>
      <c r="E178" s="75">
        <f>$B$196*E25/DCF!$B$6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$B$196*C26/DCF!$B$6</f>
        <v/>
      </c>
      <c r="D179" s="75">
        <f>$B$196*D26/DCF!$B$6</f>
        <v/>
      </c>
      <c r="E179" s="75">
        <f>$B$196*E26/DCF!$B$6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$B$196*C27/DCF!$B$6</f>
        <v/>
      </c>
      <c r="D180" s="75">
        <f>$B$196*D27/DCF!$B$6</f>
        <v/>
      </c>
      <c r="E180" s="75">
        <f>$B$196*E27/DCF!$B$6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$B$196*C28/DCF!$B$6</f>
        <v/>
      </c>
      <c r="D181" s="75">
        <f>$B$196*D28/DCF!$B$6</f>
        <v/>
      </c>
      <c r="E181" s="75">
        <f>$B$196*E28/DCF!$B$6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$B$196*C29/DCF!$B$6</f>
        <v/>
      </c>
      <c r="D182" s="75">
        <f>$B$196*D29/DCF!$B$6</f>
        <v/>
      </c>
      <c r="E182" s="75">
        <f>$B$196*E29/DCF!$B$6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75">
        <f>$B$197-C21/DCF!C$73</f>
        <v/>
      </c>
      <c r="D183" s="75">
        <f>$B$197-D21/DCF!C$73</f>
        <v/>
      </c>
      <c r="E183" s="75">
        <f>Scenarios!D197-ROUND(E22*E153,0)/100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75">
        <f>C183-C21/DCF!D$73</f>
        <v/>
      </c>
      <c r="D184" s="75">
        <f>D183-D21/DCF!D$73</f>
        <v/>
      </c>
      <c r="E184" s="75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75">
        <f>C184-C21/DCF!E$73</f>
        <v/>
      </c>
      <c r="D185" s="75">
        <f>D184-D21/DCF!E$73</f>
        <v/>
      </c>
      <c r="E185" s="75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75">
        <f>C185-C21/DCF!F$73</f>
        <v/>
      </c>
      <c r="D186" s="75">
        <f>D185-D21/DCF!F$73</f>
        <v/>
      </c>
      <c r="E186" s="75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75">
        <f>C186-C21/DCF!G$73</f>
        <v/>
      </c>
      <c r="D187" s="75">
        <f>D186-D21/DCF!G$73</f>
        <v/>
      </c>
      <c r="E187" s="75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73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B28*$B$71*(1+C25)+B28*$B$72*(1+C26)+B28*$B$73*(1+C27)</f>
        <v/>
      </c>
      <c r="D29" s="75">
        <f>C28*$B$71*(1+D25)+C28*$B$72*(1+D26)+C28*$B$73*(1+D27)</f>
        <v/>
      </c>
      <c r="E29" s="75">
        <f>D28*$B$71*(1+E25)+D28*$B$72*(1+E26)+D28*$B$73*(1+E27)</f>
        <v/>
      </c>
      <c r="F29" s="75">
        <f>E28*$B$71*(1+F25)+E28*$B$72*(1+F26)+E28*$B$73*(1+F27)</f>
        <v/>
      </c>
      <c r="G29" s="75">
        <f>F28*$B$71*(1+G25)+F28*$B$72*(1+G26)+F28*$B$73*(1+G27)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  <row r="71">
      <c r="A71" t="inlineStr">
        <is>
          <t>Americas comp mix %</t>
        </is>
      </c>
      <c r="B71" t="n">
        <v>0.71</v>
      </c>
    </row>
    <row r="72">
      <c r="A72" t="inlineStr">
        <is>
          <t>China comp mix %</t>
        </is>
      </c>
      <c r="B72" t="n">
        <v>0.16</v>
      </c>
    </row>
    <row r="73">
      <c r="A73" t="inlineStr">
        <is>
          <t>RoW comp mix %</t>
        </is>
      </c>
      <c r="B73" t="n">
        <v>0.13</v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90" t="n">
        <v>0</v>
      </c>
      <c r="C7" s="90" t="n">
        <v>0</v>
      </c>
      <c r="D7" s="90" t="n">
        <v>0</v>
      </c>
      <c r="E7" s="90" t="n">
        <v>0</v>
      </c>
      <c r="F7" s="90" t="n">
        <v>0</v>
      </c>
      <c r="G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187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187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 t="n">
        <v>62203</v>
      </c>
      <c r="C20" s="75">
        <f>Scenarios!C25/DCF!$B$6*$B$20*$B$7</f>
        <v/>
      </c>
      <c r="D20" s="75">
        <f>Scenarios!D25/DCF!$B$6*$B$20*$B$7</f>
        <v/>
      </c>
      <c r="E20" s="75">
        <f>Scenarios!E25/DCF!$B$6*$B$20*$B$7</f>
        <v/>
      </c>
      <c r="F20" s="75">
        <f>Scenarios!F25/DCF!$B$6*$B$20*$B$7</f>
        <v/>
      </c>
      <c r="G20" s="75">
        <f>Scenarios!G25/DCF!$B$6*$B$20*$B$7</f>
        <v/>
      </c>
    </row>
    <row r="21" ht="28" customHeight="1">
      <c r="A21" s="68" t="inlineStr">
        <is>
          <t>Adjusted EBIT</t>
        </is>
      </c>
      <c r="B21" s="176" t="n"/>
      <c r="C21" s="130">
        <f>SUM(C16:C20)</f>
        <v/>
      </c>
      <c r="D21" s="130">
        <f>SUM(D16:D20)</f>
        <v/>
      </c>
      <c r="E21" s="130">
        <f>SUM(E16:E20)</f>
        <v/>
      </c>
      <c r="F21" s="130">
        <f>SUM(F16:F20)</f>
        <v/>
      </c>
      <c r="G21" s="130">
        <f>SUM(G16:G20)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187" t="n">
        <v>1028</v>
      </c>
      <c r="C23" s="75">
        <f>$B$23*(Scenarios!C25/DCF!$B$6)</f>
        <v/>
      </c>
      <c r="D23" s="75">
        <f>$B$23*(Scenarios!D25/DCF!$B$6)</f>
        <v/>
      </c>
      <c r="E23" s="75">
        <f>$B$23*(Scenarios!E25/DCF!$B$6)</f>
        <v/>
      </c>
      <c r="F23" s="75">
        <f>$B$23*(Scenarios!F25/DCF!$B$6)</f>
        <v/>
      </c>
      <c r="G23" s="75">
        <f>$B$23*(Scenarios!G25/DCF!$B$6)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187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187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Drivers'!F31</f>
        <v/>
      </c>
      <c r="G28" s="75">
        <f>'Revenue Drivers'!G31</f>
        <v/>
      </c>
    </row>
    <row r="29" ht="28" customHeight="1">
      <c r="A29" s="16" t="inlineStr">
        <is>
          <t>E-commerce revenue</t>
        </is>
      </c>
      <c r="B29" s="187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Drivers'!F41</f>
        <v/>
      </c>
      <c r="G29" s="75">
        <f>'Revenue Drivers'!G41</f>
        <v/>
      </c>
    </row>
    <row r="30" ht="28" customHeight="1">
      <c r="A30" s="16" t="inlineStr">
        <is>
          <t>Other channels revenue</t>
        </is>
      </c>
      <c r="B30" s="187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Drivers'!F45</f>
        <v/>
      </c>
      <c r="G30" s="75">
        <f>'Revenue Drivers'!G45</f>
        <v/>
      </c>
    </row>
    <row r="31" ht="15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15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15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97" t="n">
        <v>2203273.345</v>
      </c>
      <c r="C35" s="130">
        <f>C34</f>
        <v/>
      </c>
      <c r="D35" s="130">
        <f>D34</f>
        <v/>
      </c>
      <c r="E35" s="130">
        <f>E34</f>
        <v/>
      </c>
      <c r="F35" s="130">
        <f>F34</f>
        <v/>
      </c>
      <c r="G35" s="130">
        <f>G34</f>
        <v/>
      </c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Scenarios!D45</f>
        <v/>
      </c>
      <c r="D36" s="130">
        <f>Scenarios!D46</f>
        <v/>
      </c>
      <c r="E36" s="130">
        <f>Scenarios!D47</f>
        <v/>
      </c>
      <c r="F36" s="130">
        <f>Scenarios!D48</f>
        <v/>
      </c>
      <c r="G36" s="130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0.2946847649213503</v>
      </c>
      <c r="C39" s="32">
        <f>$B$39+(C$12-$B$39)*1/5</f>
        <v/>
      </c>
      <c r="D39" s="32">
        <f>$B$39+(D$12-$B$39)*2/5</f>
        <v/>
      </c>
      <c r="E39" s="32">
        <f>$B$39+(E$12-$B$39)*3/5</f>
        <v/>
      </c>
      <c r="F39" s="32">
        <f>$B$39+(F$12-$B$39)*4/5</f>
        <v/>
      </c>
      <c r="G39" s="32">
        <f>$B$39+(G$12-$B$39)*5/5</f>
        <v/>
      </c>
    </row>
    <row r="40" ht="28" customHeight="1">
      <c r="A40" s="16" t="inlineStr">
        <is>
          <t>Unlevered tax on normalized EBIT</t>
        </is>
      </c>
      <c r="B40" s="176" t="n"/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t="inlineStr">
        <is>
          <t>Revenue Growth %</t>
        </is>
      </c>
      <c r="C5">
        <f>Scenarios!$D$4</f>
        <v/>
      </c>
      <c r="D5">
        <f>Scenarios!$D$5</f>
        <v/>
      </c>
      <c r="E5">
        <f>Scenarios!$D$5</f>
        <v/>
      </c>
      <c r="F5">
        <f>Scenarios!$D$5</f>
        <v/>
      </c>
      <c r="G5">
        <f>Scenarios!$D$5</f>
        <v/>
      </c>
    </row>
    <row r="6" ht="15" customHeight="1">
      <c r="A6" s="16" t="inlineStr">
        <is>
          <t>Net revenue</t>
        </is>
      </c>
      <c r="B6" s="187" t="n">
        <v>11102600</v>
      </c>
      <c r="C6" s="75">
        <f>Scenarios!D25</f>
        <v/>
      </c>
      <c r="D6" s="75">
        <f>Scenarios!D26</f>
        <v/>
      </c>
      <c r="E6" s="75">
        <f>Scenarios!D27</f>
        <v/>
      </c>
      <c r="F6" s="75">
        <f>Scenarios!D28</f>
        <v/>
      </c>
      <c r="G6" s="75">
        <f>Scenarios!D29</f>
        <v/>
      </c>
    </row>
    <row r="7" ht="15" customHeight="1">
      <c r="A7" s="16" t="inlineStr">
        <is>
          <t>Gross margin %</t>
        </is>
      </c>
      <c r="B7" s="32" t="n">
        <v>0.566005440167168</v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187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</row>
    <row r="9" ht="15" customHeight="1">
      <c r="A9" s="16" t="inlineStr">
        <is>
          <t>EBIT Margin %</t>
        </is>
      </c>
      <c r="B9" s="176" t="n"/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97" t="n">
        <v>2210615</v>
      </c>
      <c r="C11" s="130">
        <f>Scenarios!D45</f>
        <v/>
      </c>
      <c r="D11" s="130">
        <f>Scenarios!D46</f>
        <v/>
      </c>
      <c r="E11" s="130">
        <f>Scenarios!D47</f>
        <v/>
      </c>
      <c r="F11" s="130">
        <f>Scenarios!D48</f>
        <v/>
      </c>
      <c r="G11" s="130">
        <f>Scenarios!D49</f>
        <v/>
      </c>
    </row>
    <row r="12">
      <c r="A12" s="16" t="inlineStr">
        <is>
          <t>Reported EBIT margin % (incl. FY26 refund)</t>
        </is>
      </c>
      <c r="B12" s="32" t="n">
        <v>0.1991078666258354</v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176" t="n"/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68" t="inlineStr">
        <is>
          <t>NOPAT</t>
        </is>
      </c>
      <c r="B14" s="176" t="n"/>
      <c r="C14" s="130">
        <f>Scenarios!D50</f>
        <v/>
      </c>
      <c r="D14" s="130">
        <f>Scenarios!D51</f>
        <v/>
      </c>
      <c r="E14" s="130">
        <f>Scenarios!D52</f>
        <v/>
      </c>
      <c r="F14" s="130">
        <f>Scenarios!D53</f>
        <v/>
      </c>
      <c r="G14" s="130">
        <f>Scenarios!D54</f>
        <v/>
      </c>
    </row>
    <row r="15" ht="28" customHeight="1">
      <c r="A15" t="inlineStr">
        <is>
          <t>FY25 D&amp;A ($000)</t>
        </is>
      </c>
      <c r="B15" t="n">
        <v>496228</v>
      </c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</row>
    <row r="17" ht="15" customHeight="1">
      <c r="A17" s="16" t="inlineStr">
        <is>
          <t>Plus: D&amp;A</t>
        </is>
      </c>
      <c r="B17" s="176" t="n"/>
      <c r="C17" s="75">
        <f>Scenarios!D55</f>
        <v/>
      </c>
      <c r="D17" s="75">
        <f>Scenarios!D56</f>
        <v/>
      </c>
      <c r="E17" s="75">
        <f>Scenarios!D57</f>
        <v/>
      </c>
      <c r="F17" s="75">
        <f>Scenarios!D58</f>
        <v/>
      </c>
      <c r="G17" s="75">
        <f>Scenarios!D59</f>
        <v/>
      </c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</row>
    <row r="19">
      <c r="A19" s="16" t="inlineStr">
        <is>
          <t>Less: Capex</t>
        </is>
      </c>
      <c r="B19" s="176" t="n"/>
      <c r="C19" s="75">
        <f>Scenarios!D60</f>
        <v/>
      </c>
      <c r="D19" s="75">
        <f>Scenarios!D61</f>
        <v/>
      </c>
      <c r="E19" s="75">
        <f>Scenarios!D62</f>
        <v/>
      </c>
      <c r="F19" s="75">
        <f>Scenarios!D63</f>
        <v/>
      </c>
      <c r="G19" s="75">
        <f>Scenarios!D64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 t="n">
        <v>6.267883648875038</v>
      </c>
      <c r="C21" s="28">
        <f>Scenarios!D65</f>
        <v/>
      </c>
      <c r="D21" s="28">
        <f>Scenarios!D66</f>
        <v/>
      </c>
      <c r="E21" s="28">
        <f>Scenarios!D67</f>
        <v/>
      </c>
      <c r="F21" s="28">
        <f>Scenarios!D68</f>
        <v/>
      </c>
      <c r="G21" s="28">
        <f>Scenarios!D69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</row>
    <row r="23" ht="15" customHeight="1">
      <c r="A23" s="16" t="inlineStr">
        <is>
          <t>DIO (days)</t>
        </is>
      </c>
      <c r="B23" s="193" t="n">
        <v>128.8324100108167</v>
      </c>
      <c r="C23" s="28">
        <f>Scenarios!D75</f>
        <v/>
      </c>
      <c r="D23" s="28">
        <f>Scenarios!D76</f>
        <v/>
      </c>
      <c r="E23" s="28">
        <f>Scenarios!D77</f>
        <v/>
      </c>
      <c r="F23" s="28">
        <f>Scenarios!D78</f>
        <v/>
      </c>
      <c r="G23" s="28">
        <f>Scenarios!D79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</row>
    <row r="25" ht="15" customHeight="1">
      <c r="A25" s="16" t="inlineStr">
        <is>
          <t>DPO (days)</t>
        </is>
      </c>
      <c r="B25" s="193" t="n">
        <v>25.10521290169407</v>
      </c>
      <c r="C25" s="28">
        <f>Scenarios!D85</f>
        <v/>
      </c>
      <c r="D25" s="28">
        <f>Scenarios!D86</f>
        <v/>
      </c>
      <c r="E25" s="28">
        <f>Scenarios!D87</f>
        <v/>
      </c>
      <c r="F25" s="28">
        <f>Scenarios!D88</f>
        <v/>
      </c>
      <c r="G25" s="28">
        <f>Scenarios!D89</f>
        <v/>
      </c>
    </row>
    <row r="26" ht="15" customHeight="1">
      <c r="A26" s="16" t="inlineStr">
        <is>
          <t>Accounts payable</t>
        </is>
      </c>
      <c r="B26" s="187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</row>
    <row r="27" ht="15" customHeight="1">
      <c r="A27" s="16" t="inlineStr">
        <is>
          <t>Prepaid expenses (% of revenue)</t>
        </is>
      </c>
      <c r="B27" s="32" t="n">
        <v>0.05080692810692991</v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</row>
    <row r="28" ht="15" customHeight="1">
      <c r="A28" s="16" t="inlineStr">
        <is>
          <t>Prepaid expenses (other current assets)</t>
        </is>
      </c>
      <c r="B28" s="187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</row>
    <row r="29" ht="15" customHeight="1">
      <c r="A29" s="16" t="inlineStr">
        <is>
          <t>Accrued liabilities (% of revenue)</t>
        </is>
      </c>
      <c r="B29" s="32" t="n">
        <v>0.05971412101669879</v>
      </c>
      <c r="C29" s="32">
        <f>Scenarios!$D$20</f>
        <v/>
      </c>
      <c r="D29" s="32">
        <f>Scenarios!$D$20</f>
        <v/>
      </c>
      <c r="E29" s="32">
        <f>Scenarios!$D$20</f>
        <v/>
      </c>
      <c r="F29" s="32">
        <f>Scenarios!$D$20</f>
        <v/>
      </c>
      <c r="G29" s="32">
        <f>Scenarios!$D$20</f>
        <v/>
      </c>
    </row>
    <row r="30" ht="15" customHeight="1">
      <c r="A30" s="16" t="inlineStr">
        <is>
          <t>Accrued liabilities and other</t>
        </is>
      </c>
      <c r="B30" s="187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</row>
    <row r="33" ht="15" customHeight="1">
      <c r="A33" s="68" t="inlineStr">
        <is>
          <t>Net working capital</t>
        </is>
      </c>
      <c r="B33" s="197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VALUATION - GORDON GROWTH (PERPETUITY) METHOD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Scenarios!D10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 (Gordon growth)</t>
        </is>
      </c>
      <c r="B46" s="75">
        <f>G36*(1+Scenarios!D10)/(WACC!B36-Scenarios!D10)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 = Gordon TV / FY30 EBITDA</t>
        </is>
      </c>
      <c r="B47" s="94">
        <f>B46/B45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94">
        <f>G36/B45*(1+Scenarios!D10)/(WACC!B36-Scenarios!D10)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130">
        <f>B43+B49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187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187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186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% of EV from terminal value</t>
        </is>
      </c>
      <c r="B60" s="32">
        <f>B49/B50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187" t="n">
        <v>500000</v>
      </c>
      <c r="C66" s="75">
        <f>B66</f>
        <v/>
      </c>
      <c r="D66" s="75">
        <f>B66</f>
        <v/>
      </c>
      <c r="E66" s="75">
        <f>B66</f>
        <v/>
      </c>
      <c r="F66" s="75">
        <f>B66</f>
        <v/>
      </c>
      <c r="G66" s="75">
        <f>B66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B67</f>
        <v/>
      </c>
      <c r="D67" s="32">
        <f>B67</f>
        <v/>
      </c>
      <c r="E67" s="32">
        <f>B67</f>
        <v/>
      </c>
      <c r="F67" s="32">
        <f>B67</f>
        <v/>
      </c>
      <c r="G67" s="32">
        <f>B67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C66</f>
        <v/>
      </c>
      <c r="D70" s="75">
        <f>D66</f>
        <v/>
      </c>
      <c r="E70" s="75">
        <f>E66</f>
        <v/>
      </c>
      <c r="F70" s="75">
        <f>F66</f>
        <v/>
      </c>
      <c r="G70" s="75">
        <f>G66</f>
        <v/>
      </c>
    </row>
    <row r="71">
      <c r="A71" s="16" t="inlineStr">
        <is>
          <t>Repurchase as % of UFCF (derived)</t>
        </is>
      </c>
      <c r="B71" s="176" t="n"/>
      <c r="C71" s="32">
        <f>C70/C69</f>
        <v/>
      </c>
      <c r="D71" s="32">
        <f>D70/D69</f>
        <v/>
      </c>
      <c r="E71" s="32">
        <f>E70/E69</f>
        <v/>
      </c>
      <c r="F71" s="32">
        <f>F70/F69</f>
        <v/>
      </c>
      <c r="G71" s="32">
        <f>G70/G69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186" t="n">
        <v>100</v>
      </c>
      <c r="C73" s="99">
        <f>B73*(1+B67)</f>
        <v/>
      </c>
      <c r="D73" s="99">
        <f>B73*(1+B67)</f>
        <v/>
      </c>
      <c r="E73" s="99">
        <f>D73*(1+B67)</f>
        <v/>
      </c>
      <c r="F73" s="99">
        <f>E73*(1+B67)</f>
        <v/>
      </c>
      <c r="G73" s="99">
        <f>F73*(1+B67)</f>
        <v/>
      </c>
    </row>
    <row r="74">
      <c r="A74" s="16" t="inlineStr">
        <is>
          <t>Shares retired (000)</t>
        </is>
      </c>
      <c r="B74" s="75" t="n">
        <v>0</v>
      </c>
      <c r="C74" s="75">
        <f>C70/C73</f>
        <v/>
      </c>
      <c r="D74" s="75">
        <f>D70/D73</f>
        <v/>
      </c>
      <c r="E74" s="75">
        <f>E70/E73</f>
        <v/>
      </c>
      <c r="F74" s="75">
        <f>F70/F73</f>
        <v/>
      </c>
      <c r="G74" s="75">
        <f>G70/G73</f>
        <v/>
      </c>
    </row>
    <row r="75">
      <c r="A75" s="16" t="inlineStr">
        <is>
          <t>Beginning shares (000)</t>
        </is>
      </c>
      <c r="B75" s="187" t="n">
        <v>111380</v>
      </c>
      <c r="C75" s="75">
        <f>B75</f>
        <v/>
      </c>
      <c r="D75" s="75">
        <f>C76</f>
        <v/>
      </c>
      <c r="E75" s="75">
        <f>D76</f>
        <v/>
      </c>
      <c r="F75" s="75">
        <f>E76</f>
        <v/>
      </c>
      <c r="G75" s="75">
        <f>F76</f>
        <v/>
      </c>
    </row>
    <row r="76">
      <c r="A76" s="68" t="inlineStr">
        <is>
          <t>Ending shares (000)</t>
        </is>
      </c>
      <c r="B76" s="197" t="n">
        <v>111380</v>
      </c>
      <c r="C76" s="130">
        <f>C75-C74</f>
        <v/>
      </c>
      <c r="D76" s="130">
        <f>D75-D74</f>
        <v/>
      </c>
      <c r="E76" s="130">
        <f>E75-E74</f>
        <v/>
      </c>
      <c r="F76" s="130">
        <f>F75-F74</f>
        <v/>
      </c>
      <c r="G76" s="130">
        <f>G75-G74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187" t="n">
        <v>1579183</v>
      </c>
      <c r="C78" s="75">
        <f>('NOPAT Bridge'!C36-'NOPAT Bridge'!C23)*(1-'NOPAT Bridge'!C$39)</f>
        <v/>
      </c>
      <c r="D78" s="75">
        <f>('NOPAT Bridge'!D36-'NOPAT Bridge'!D23)*(1-'NOPAT Bridge'!D$39)</f>
        <v/>
      </c>
      <c r="E78" s="75">
        <f>('NOPAT Bridge'!E36-'NOPAT Bridge'!E23)*(1-'NOPAT Bridge'!E$39)</f>
        <v/>
      </c>
      <c r="F78" s="75">
        <f>('NOPAT Bridge'!F36-'NOPAT Bridge'!F23)*(1-'NOPAT Bridge'!F$39)</f>
        <v/>
      </c>
      <c r="G78" s="75">
        <f>('NOPAT Bridge'!G36-'NOPAT Bridge'!G23)*(1-'NOPAT Bridge'!G$39)</f>
        <v/>
      </c>
    </row>
    <row r="79">
      <c r="A79" s="68" t="inlineStr">
        <is>
          <t>Accretive EPS ($/share) = Net income / ending shares</t>
        </is>
      </c>
      <c r="B79" s="202" t="n">
        <v>14.1783354282636</v>
      </c>
      <c r="C79" s="150">
        <f>C78/C76</f>
        <v/>
      </c>
      <c r="D79" s="150">
        <f>D78/D76</f>
        <v/>
      </c>
      <c r="E79" s="150">
        <f>E78/E76</f>
        <v/>
      </c>
      <c r="F79" s="150">
        <f>F78/F76</f>
        <v/>
      </c>
      <c r="G79" s="150">
        <f>G78/G76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176">
        <f>B47</f>
        <v/>
      </c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 (Gordon implied)</t>
        </is>
      </c>
      <c r="B83" s="94">
        <f>B47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= Terminal EBITDA x exit multiple</t>
        </is>
      </c>
      <c r="B84" s="75">
        <f>B45*B82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130">
        <f>B43+B85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(B86+B51+B52)/B56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RECONCILIATION (GORDON vs EXIT MULTIPLE)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Gordon Growth</t>
        </is>
      </c>
      <c r="C90" s="176" t="inlineStr">
        <is>
          <t>Exit Multiple</t>
        </is>
      </c>
      <c r="D90" s="176" t="inlineStr">
        <is>
          <t>Variance</t>
        </is>
      </c>
      <c r="E90" s="176" t="n"/>
      <c r="F90" s="176" t="n"/>
      <c r="G90" s="176" t="n"/>
    </row>
    <row r="91">
      <c r="A91" s="68" t="inlineStr">
        <is>
          <t>Terminal value ($)</t>
        </is>
      </c>
      <c r="B91" s="176">
        <f>D46</f>
        <v/>
      </c>
      <c r="C91" s="176">
        <f>D83</f>
        <v/>
      </c>
      <c r="D91" s="176">
        <f>B91-C91</f>
        <v/>
      </c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176">
        <f>D47</f>
        <v/>
      </c>
      <c r="C92" s="176">
        <f>D82</f>
        <v/>
      </c>
      <c r="D92" s="176">
        <f>B92-C92</f>
        <v/>
      </c>
      <c r="E92" s="176" t="n"/>
      <c r="F92" s="176" t="n"/>
      <c r="G92" s="176" t="n"/>
    </row>
    <row r="93">
      <c r="A93" s="16" t="inlineStr">
        <is>
          <t>Terminal value variance (%)</t>
        </is>
      </c>
      <c r="B93" s="176" t="n"/>
      <c r="C93" s="176" t="n"/>
      <c r="D93" s="176">
        <f>(B91-C91)/B91</f>
        <v/>
      </c>
      <c r="E93" s="176" t="n"/>
      <c r="F93" s="176" t="n"/>
      <c r="G93" s="176" t="n"/>
    </row>
    <row r="94">
      <c r="A94" s="68" t="inlineStr">
        <is>
          <t>Implied share price</t>
        </is>
      </c>
      <c r="B94" s="176">
        <f>D57</f>
        <v/>
      </c>
      <c r="C94" s="176">
        <f>D87</f>
        <v/>
      </c>
      <c r="D94" s="176">
        <f>B94-C94</f>
        <v/>
      </c>
      <c r="E94" s="176" t="n"/>
      <c r="F94" s="176" t="n"/>
      <c r="G94" s="176" t="n"/>
    </row>
    <row r="95">
      <c r="A95" s="68" t="inlineStr">
        <is>
          <t>Sanity check: multiples within ±1.5 turns?</t>
        </is>
      </c>
      <c r="B95" s="176">
        <f>IF(ABS(D92)&lt;=1.5,"PASS","REVIEW")</f>
        <v/>
      </c>
      <c r="C95" s="176">
        <f>TEXT(D92,"0.0")&amp;"x spread vs Gordon-implied exit"</f>
        <v/>
      </c>
      <c r="D95" s="176" t="inlineStr">
        <is>
          <t>Selected exit is the Gordon identity, so spread should be 0</t>
        </is>
      </c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(NPV($A100,C36:G36)+(G36*(1+C$99)/($A100-C$99))/(1+$A100)^5+B51+B52)/B56</f>
        <v/>
      </c>
      <c r="D100" s="121">
        <f>(NPV($A100,C36:G36)+(G36*(1+D$99)/($A100-D$99))/(1+$A100)^5+B51+B52)/B56</f>
        <v/>
      </c>
      <c r="E100" s="121">
        <f>(NPV($A100,C36:G36)+(G36*(1+E$99)/($A100-E$99))/(1+$A100)^5+B51+B52)/B56</f>
        <v/>
      </c>
      <c r="F100" s="121">
        <f>(NPV($A100,C36:G36)+(G36*(1+F$99)/($A100-F$99))/(1+$A100)^5+B51+B52)/B56</f>
        <v/>
      </c>
      <c r="G100" s="121">
        <f>(NPV($A100,C36:G36)+(G36*(1+G$99)/($A100-G$99))/(1+$A100)^5+B51+B52)/B56</f>
        <v/>
      </c>
    </row>
    <row r="101" ht="28" customHeight="1">
      <c r="A101" s="205" t="n">
        <v>0.1</v>
      </c>
      <c r="B101" s="176" t="n"/>
      <c r="C101" s="121">
        <f>(NPV($A101,C36:G36)+(G36*(1+C$99)/($A101-C$99))/(1+$A101)^5+B51+B52)/B56</f>
        <v/>
      </c>
      <c r="D101" s="121">
        <f>(NPV($A101,C36:G36)+(G36*(1+D$99)/($A101-D$99))/(1+$A101)^5+B51+B52)/B56</f>
        <v/>
      </c>
      <c r="E101" s="121">
        <f>(NPV($A101,C36:G36)+(G36*(1+E$99)/($A101-E$99))/(1+$A101)^5+B51+B52)/B56</f>
        <v/>
      </c>
      <c r="F101" s="121">
        <f>(NPV($A101,C36:G36)+(G36*(1+F$99)/($A101-F$99))/(1+$A101)^5+B51+B52)/B56</f>
        <v/>
      </c>
      <c r="G101" s="121">
        <f>(NPV($A101,C36:G36)+(G36*(1+G$99)/($A101-G$99))/(1+$A101)^5+B51+B52)/B56</f>
        <v/>
      </c>
    </row>
    <row r="102" ht="28" customHeight="1">
      <c r="A102" s="205" t="n">
        <v>0.105</v>
      </c>
      <c r="B102" s="176" t="n"/>
      <c r="C102" s="121">
        <f>(NPV($A102,C36:G36)+(G36*(1+C$99)/($A102-C$99))/(1+$A102)^5+B51+B52)/B56</f>
        <v/>
      </c>
      <c r="D102" s="121">
        <f>(NPV($A102,C36:G36)+(G36*(1+D$99)/($A102-D$99))/(1+$A102)^5+B51+B52)/B56</f>
        <v/>
      </c>
      <c r="E102" s="121">
        <f>(NPV($A102,C36:G36)+(G36*(1+E$99)/($A102-E$99))/(1+$A102)^5+B51+B52)/B56</f>
        <v/>
      </c>
      <c r="F102" s="121">
        <f>(NPV($A102,C36:G36)+(G36*(1+F$99)/($A102-F$99))/(1+$A102)^5+B51+B52)/B56</f>
        <v/>
      </c>
      <c r="G102" s="121">
        <f>(NPV($A102,C36:G36)+(G36*(1+G$99)/($A102-G$99))/(1+$A102)^5+B51+B52)/B56</f>
        <v/>
      </c>
    </row>
    <row r="103" ht="28" customHeight="1">
      <c r="A103" s="205" t="n">
        <v>0.11</v>
      </c>
      <c r="B103" s="176" t="n"/>
      <c r="C103" s="121">
        <f>(NPV($A103,C36:G36)+(G36*(1+C$99)/($A103-C$99))/(1+$A103)^5+B51+B52)/B56</f>
        <v/>
      </c>
      <c r="D103" s="121">
        <f>(NPV($A103,C36:G36)+(G36*(1+D$99)/($A103-D$99))/(1+$A103)^5+B51+B52)/B56</f>
        <v/>
      </c>
      <c r="E103" s="121">
        <f>(NPV($A103,C36:G36)+(G36*(1+E$99)/($A103-E$99))/(1+$A103)^5+B51+B52)/B56</f>
        <v/>
      </c>
      <c r="F103" s="121">
        <f>(NPV($A103,C36:G36)+(G36*(1+F$99)/($A103-F$99))/(1+$A103)^5+B51+B52)/B56</f>
        <v/>
      </c>
      <c r="G103" s="121">
        <f>(NPV($A103,C36:G36)+(G36*(1+G$99)/($A103-G$99))/(1+$A103)^5+B51+B52)/B56</f>
        <v/>
      </c>
    </row>
    <row r="104" ht="28" customHeight="1">
      <c r="A104" s="205" t="n">
        <v>0.115</v>
      </c>
      <c r="B104" s="176" t="n"/>
      <c r="C104" s="121">
        <f>(NPV($A104,C36:G36)+(G36*(1+C$99)/($A104-C$99))/(1+$A104)^5+B51+B52)/B56</f>
        <v/>
      </c>
      <c r="D104" s="121">
        <f>(NPV($A104,C36:G36)+(G36*(1+D$99)/($A104-D$99))/(1+$A104)^5+B51+B52)/B56</f>
        <v/>
      </c>
      <c r="E104" s="121">
        <f>(NPV($A104,C36:G36)+(G36*(1+E$99)/($A104-E$99))/(1+$A104)^5+B51+B52)/B56</f>
        <v/>
      </c>
      <c r="F104" s="121">
        <f>(NPV($A104,C36:G36)+(G36*(1+F$99)/($A104-F$99))/(1+$A104)^5+B51+B52)/B56</f>
        <v/>
      </c>
      <c r="G104" s="121">
        <f>(NPV($A104,C36:G36)+(G36*(1+G$99)/($A104-G$99))/(1+$A104)^5+B51+B52)/B56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187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187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186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115" t="n">
        <v>5</v>
      </c>
      <c r="C57" s="115" t="n">
        <v>8</v>
      </c>
      <c r="D57" s="121">
        <f>(B6*B57+B8)/B9</f>
        <v/>
      </c>
      <c r="E57" s="121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115">
        <f>DCF!B82</f>
        <v/>
      </c>
      <c r="C58" s="176" t="n"/>
      <c r="D58" s="121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LULU DCF Model</dc:title>
  <dc:subject>lululemon unlevered DCF</dc:subject>
  <ns2:created xsi:type="dcterms:W3CDTF">2026-09-09T15:52:21Z</ns2:created>
  <ns2:modified xsi:type="dcterms:W3CDTF">2026-09-10T05:22:06Z</ns2:modified>
  <ns0:revision>1</ns0:revision>
</ns0:coreProperties>
</file>
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4.8% risk-free = FRED DGS10 on 2026-09-03 (4.77%).
Source: FRED: 10Y Treasury (DGS10)
https://fred.stlouisfed.org/series/DGS10</t>
      </text>
    </comment>
    <comment ref="B4" authorId="0" shapeId="0">
      <text>
        <t>6.0% ERP is a conservative overlay vs Damodaran.
Source: Damodaran: Historical Implied ERP
https://www.stern.nyu.edu/~adamodar/New_Home_Page/datafile/histimpl.html</t>
      </text>
    </comment>
    <comment ref="B5" authorId="0" shapeId="0">
      <text>
        <t>30% cash tax matches FY2026 guidance (“approximately 30%”)..
Source: Q2 FY2026 outlook: tax rate ≈ 30%
https://corporate.lululemon.com/newsroom/press-releases/2026/09-03-2026-210528733</t>
      </text>
    </comment>
    <comment ref="B8" authorId="0" shapeId="0">
      <text>
        <t>$100 share price ≈ NASDAQ Last Sale after.
Source: NASDAQ LULU last sale (current price)
https://www.nasdaq.com/market-activity/stocks/lulu</t>
      </text>
    </comment>
    <comment ref="B9" authorId="0" shapeId="0">
      <text>
        <t>111,380k class A shares outstanding at FY25 year-end.
Source: LULU FY2025 10-K: shares outstanding
https://www.sec.gov/Archives/edgar/data/1397187/000139718726000020/lulu-20260201.htm</t>
      </text>
    </comment>
    <comment ref="B10" authorId="0" shapeId="0">
      <text>
        <t>Market equity = share price × shares outstanding..
Source: WACC tab: price × shares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Total Debt/Equity (mrq) = 44.69% is book.
Source: Yahoo Finance: Total Debt/Equity (mrq)
https://finance.yahoo.com/quote/LULU/key-statistics/</t>
      </text>
    </comment>
    <comment ref="B21" authorId="0" shapeId="0">
      <text>
        <t>Hamada unlever beta using Yahoo market D/E and tax rate.
Source: WACC tab: Hamada unlever (Yahoo market D/E)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30" authorId="0" shapeId="0">
      <text>
        <t>Lease-equivalent kd
Source: LULU FY2025 10-K: lease liabilities &amp; no funded debt
https://www.sec.gov/Archives/edgar/data/1397187/000139718726000020/lulu-20260201.htm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Equity weight = market cap ÷ (market cap.
Source: WACC tab: capital structure</t>
      </text>
    </comment>
    <comment ref="B35" authorId="0" shapeId="0">
      <text>
        <t>Debt weight = lease liabilities ÷ (market cap.
Source: LULU FY2025 10-K: operating lease liabilities
https://www.sec.gov/Archives/edgar/data/1397187/000139718726000020/lulu-20260201.htm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rev guide
Source: LULU Q2 FY2026 earnings release
https://corporate.lululemon.com/newsroom/press-releases/2026/09-03-2026-210528733</t>
      </text>
    </comment>
    <comment ref="B5" authorId="0" shapeId="0">
      <text>
        <t>2.3% FY27–30 growth matches StockAnalysis Revenue Growth Forecast.
Source: StockAnalysis: LULU 3Y revenue forecast
https://stockanalysis.com/stocks/lulu/statistics/</t>
      </text>
    </comment>
    <comment ref="B6" authorId="0" shapeId="0">
      <text>
        <t>Q2 FY26 run-rate OM
Source: Q2 FY2026 release: 18.8% OM minus 560bps tariffs
https://corporate.lululemon.com/newsroom/press-releases/2026/09-03-2026-210528733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OM recovery
Source: FY2025 10-K: Operating margin 19.9% (one hit)
https://www.sec.gov/Archives/edgar/data/1397187/000139718726000020/lulu-20260201.htm</t>
      </text>
    </comment>
    <comment ref="B9" authorId="0" shapeId="0">
      <text>
        <t>Links to WACC tab
Source: WACC tab: CAPM build</t>
      </text>
    </comment>
    <comment ref="B10" authorId="0" shapeId="0">
      <text>
        <t>FRED GDPC1 ~2.1%
Source: FRED: Real GDP (GDPC1)
https://fred.stlouisfed.org/series/GDPC1</t>
      </text>
    </comment>
    <comment ref="B11" authorId="0" shapeId="0">
      <text>
        <t>Q2 FY26 guide ~30%
Source: Q2 FY2026 outlook: tax rate ≈ 30%
https://corporate.lululemon.com/newsroom/press-releases/2026/09-03-2026-210528733</t>
      </text>
    </comment>
    <comment ref="B12" authorId="0" shapeId="0">
      <text>
        <t>FY25 D&amp;A / sales
Source: LULU CF statement (10-K)
https://www.sec.gov/Archives/edgar/data/1397187/000139718726000020/lulu-20260201.htm</t>
      </text>
    </comment>
    <comment ref="B13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Flat vs FY25
Source: LULU FY2025 10-K: Gross profit &amp; COGS
https://www.sec.gov/Archives/edgar/data/1397187/000139718726000020/lulu-20260201.htm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7" authorId="0" shapeId="0">
      <text>
        <t>−1 day / yr
Source: LULU FY2025 10-K: inventory &amp; markdown outlook
https://www.sec.gov/Archives/edgar/data/1397187/000139718726000020/lulu-20260201.htm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prepaids % rev
Source: LULU FY2025 10-K: other current assets (residual)
https://www.sec.gov/Archives/edgar/data/1397187/000139718726000020/lulu-20260201.htm</t>
      </text>
    </comment>
    <comment ref="B20" authorId="0" shapeId="0">
      <text>
        <t>FY25 accrued % rev
Source: LULU FY2025 10-K: Accrued liabilities and other
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Not % of consolidated revenue; EBIT as %.
Source: FY2025 10-K: company-operated stores net revenue
https://www.sec.gov/Archives/edgar/data/1397187/000139718726000020/lulu-20260201.htm</t>
      </text>
    </comment>
    <comment ref="B10" authorId="0" shapeId="0">
      <text>
        <t>Not % of consolidated revenue; EBIT as %.
Source: FY2025 10-K: e-commerce net revenue
https://www.sec.gov/Archives/edgar/data/1397187/000139718726000020/lulu-20260201.htm</t>
      </text>
    </comment>
    <comment ref="B11" authorId="0" shapeId="0">
      <text>
        <t>Not % of consolidated revenue; EBIT as %.
Source: FY2025 10-K: other channels (residual)
https://www.sec.gov/Archives/edgar/data/1397187/000139718726000020/lulu-20260201.htm</t>
      </text>
    </comment>
    <comment ref="B12" authorId="0" shapeId="0">
      <text>
        <t>30% statutory marginal rate. t_operating transitions here over.
Source: Q2 FY2026 outlook: tax rate ≈ 30%
https://corporate.lululemon.com/newsroom/press-releases/2026/09-03-2026-210528733</t>
      </text>
    </comment>
    <comment ref="B13" authorId="0" shapeId="0">
      <text>
        <t>Not % of revenue; amortization period (years) if.
Source: NOPAT Bridge: capitalization convention</t>
      </text>
    </comment>
    <comment ref="B16" authorId="0" shapeId="0">
      <text>
        <t>FY25: reported operating income from 10-K. Forecast: Scenarios.
Source: LULU FY2025 10-K: Income from operations
https://www.sec.gov/Archives/edgar/data/1397187/000139718726000020/lulu-20260201.htm</t>
      </text>
    </comment>
    <comment ref="B17" authorId="0" shapeId="0">
      <text>
        <t>Add back intangible amortization / impairments. FY25 =.
Source: LULU FY2025 10-K: amortization of intangible assets
https://www.sec.gov/Archives/edgar/data/1397187/000139718726000020/lulu-20260201.htm</t>
      </text>
    </comment>
    <comment ref="B18" authorId="0" shapeId="0">
      <text>
        <t>Add back restructuring (severance, store closures). LULU FY25:.
Source: LULU FY2025 10-K: restructuring charges
https://www.sec.gov/Archives/edgar/data/1397187/000139718726000020/lulu-20260201.htm</t>
      </text>
    </comment>
    <comment ref="B19" authorId="0" shapeId="0">
      <text>
        <t>Strip one-off legal / M&amp;A advisory fees. LULU.
Source: LULU FY2025 10-K: SG&amp;A one-offs
https://www.sec.gov/Archives/edgar/data/1397187/000139718726000020/lulu-20260201.htm</t>
      </text>
    </comment>
    <comment ref="B20" authorId="0" shapeId="0">
      <text>
        <t>Not % of revenue; SBC add-back flag. Set.
Source: LULU CF statement (10-K): stock-based compensation
https://www.sec.gov/Archives/edgar/data/1397187/000139718726000020/lulu-20260201.htm</t>
      </text>
    </comment>
    <comment ref="B21" authorId="0" shapeId="0">
      <text>
        <t>Reported EBIT plus all listed non-recurring add-backs above.
Source: NOPAT Bridge tab: Phase 1 subtotal</t>
      </text>
    </comment>
    <comment ref="B23" authorId="0" shapeId="0">
      <text>
        <t>Not % of revenue; implied lease interest ($1,028k.
Source: LULU FY2025 10-K: interest on lease liabilities (supplemental)
https://www.sec.gov/Archives/edgar/data/1397187/000139718726000020/lulu-20260201.htm</t>
      </text>
    </comment>
    <comment ref="B24" authorId="0" shapeId="0">
      <text>
        <t>Capitalize multi-year software/R&amp;D. LULU: immaterial separate R&amp;D line;.
Source: LULU FY2025 10-K: R&amp;D / software expense
https://www.sec.gov/Archives/edgar/data/1397187/000139718726000020/lulu-20260201.htm</t>
      </text>
    </comment>
    <comment ref="B25" authorId="0" shapeId="0">
      <text>
        <t>Amortization of prior capitalized intangibles. LULU: flows through.
Source: LULU FY2025 10-K: intangible amortization
https://www.sec.gov/Archives/edgar/data/1397187/000139718726000020/lulu-20260201.htm</t>
      </text>
    </comment>
    <comment ref="B26" authorId="0" shapeId="0">
      <text>
        <t>Reported EBIT plus lease interest and R&amp;D adjustments.
Source: NOPAT Bridge tab: Phase 2 subtotal</t>
      </text>
    </comment>
    <comment ref="B28" authorId="0" shapeId="0">
      <text>
        <t>Not % of revenue; store-channel revenue from Revenue.
Source: Revenue Drivers tab: store-channel revenue</t>
      </text>
    </comment>
    <comment ref="B29" authorId="0" shapeId="0">
      <text>
        <t>Not % of revenue; e-commerce revenue from Revenue.
Source: Revenue Drivers tab: e-commerce revenue</t>
      </text>
    </comment>
    <comment ref="B30" authorId="0" shapeId="0">
      <text>
        <t>Not % of revenue; wholesale/license/outlet revenue from Revenue.
Source: Revenue Drivers tab: other channels revenue</t>
      </text>
    </comment>
    <comment ref="B31" authorId="0" shapeId="0">
      <text>
        <t>Not % of consolidated revenue; store EBIT ÷.
Source: FY2025 10-K: company-operated stores net revenue
https://www.sec.gov/Archives/edgar/data/1397187/000139718726000020/lulu-20260201.htm</t>
      </text>
    </comment>
    <comment ref="B32" authorId="0" shapeId="0">
      <text>
        <t>Not % of consolidated revenue; e-commerce EBIT ÷.
Source: FY2025 10-K: e-commerce net revenue
https://www.sec.gov/Archives/edgar/data/1397187/000139718726000020/lulu-20260201.htm</t>
      </text>
    </comment>
    <comment ref="B33" authorId="0" shapeId="0">
      <text>
        <t>Not % of consolidated revenue; other-channel EBIT ÷.
Source: FY2025 10-K: other channels (residual)
https://www.sec.gov/Archives/edgar/data/1397187/000139718726000020/lulu-20260201.htm</t>
      </text>
    </comment>
    <comment ref="B34" authorId="0" shapeId="0">
      <text>
        <t>Sum of store, e-comm, and other channel EBIT lines.
Source: NOPAT Bridge tab: sector EBIT subtotal</t>
      </text>
    </comment>
    <comment ref="B35" authorId="0" shapeId="0">
      <text>
        <t>Channel-mix EBIT output line before tax normalization step.
Source: NOPAT Bridge tab: Phase 3 subtotal</t>
      </text>
    </comment>
    <comment ref="B36" authorId="0" shapeId="0">
      <text>
        <t>FY25: Phases 1–2 walk-through (SBC not added back;.
Source: Scenarios tab: base-case EBIT (forecast)</t>
      </text>
    </comment>
    <comment ref="B39" authorId="0" shapeId="0">
      <text>
        <t>Operating effective tax rate: (tax + interest shield).
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
Source: NOPAT Bridge tab: unlevered tax expense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Justification
Source: Source</t>
      </text>
    </comment>
    <comment ref="B19" authorId="0" shapeId="0">
      <text>
        <t>PitchBook Comps Set 04-Sep-2026. Multiple = daily EV.
Source: PitchBook Comps Set 04-Sep-2026</t>
      </text>
    </comment>
    <comment ref="B20" authorId="0" shapeId="0">
      <text>
        <t>PitchBook Comps Set 04-Sep-2026. Multiple = daily EV.
Source: PitchBook Comps Set 04-Sep-2026</t>
      </text>
    </comment>
    <comment ref="B21" authorId="0" shapeId="0">
      <text>
        <t>PitchBook Comps Set 04-Sep-2026. Multiple = daily EV.
Source: PitchBook Comps Set 04-Sep-2026</t>
      </text>
    </comment>
    <comment ref="B22" authorId="0" shapeId="0">
      <text>
        <t>PitchBook Comps Set 04-Sep-2026. Multiple = daily EV.
Source: PitchBook Comps Set 04-Sep-2026</t>
      </text>
    </comment>
    <comment ref="B23" authorId="0" shapeId="0">
      <text>
        <t>PitchBook Comps Set 04-Sep-2026. Multiple = daily EV.
Source: PitchBook Comps Set 04-Sep-2026</t>
      </text>
    </comment>
    <comment ref="B24" authorId="0" shapeId="0">
      <text>
        <t>PitchBook Comps Set 04-Sep-2026. Multiple = daily EV.
Source: PitchBook Comps Set 04-Sep-2026</t>
      </text>
    </comment>
    <comment ref="B25" authorId="0" shapeId="0">
      <text>
        <t>PitchBook Comps Set 04-Sep-2026. Multiple = daily EV.
Source: PitchBook Comps Set 04-Sep-2026</t>
      </text>
    </comment>
    <comment ref="B26" authorId="0" shapeId="0">
      <text>
        <t>PitchBook Comps Set 04-Sep-2026. Multiple = daily EV.
Source: PitchBook Comps Set 04-Sep-2026</t>
      </text>
    </comment>
    <comment ref="B27" authorId="0" shapeId="0">
      <text>
        <t>PitchBook Comps Set 04-Sep-2026. Multiple = daily EV.
Source: PitchBook Comps Set 04-Sep-2026</t>
      </text>
    </comment>
    <comment ref="B28" authorId="0" shapeId="0">
      <text>
        <t>PitchBook Comps Set 04-Sep-2026. Multiple = daily EV.
Source: PitchBook Comps Set 04-Sep-2026</t>
      </text>
    </comment>
    <comment ref="B29" authorId="0" shapeId="0">
      <text>
        <t>PitchBook Comps Set 04-Sep-2026. Multiple = daily EV.
Source: PitchBook Comps Set 04-Sep-2026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set, UAA out. Current tape —.
Source: Derived: Excel AVERAGE of the seven core prints</t>
      </text>
    </comment>
    <comment ref="B40" authorId="0" shapeId="0">
      <text>
        <t>Wider PitchBook tape. WSM/MOV/LZB are adjacent retail, not.
Source: Derived: Excel AVERAGE of every positive-EBITDA row</t>
      </text>
    </comment>
    <comment ref="B56" authorId="0" shapeId="0">
      <text>
        <t>Justification
Source: Source</t>
      </text>
    </comment>
    <comment ref="B57" authorId="0" shapeId="0">
      <text>
        <t>Lo: 5.0x on FY2030E EBITDA ≈ LULU current.
Source: Lo: StockAnalysis: LULU EV/EBITDA Hi: StockAnalysis: DECK EV/EBITDA
https://stockanalysis.com/stocks/lulu/statistics/</t>
      </text>
    </comment>
    <comment ref="B58" authorId="0" shapeId="0">
      <text>
        <t>Selected exit is Gordon TV / FY30 EBITDA..
Source: DCF: Gordon implied exit (TV / FY30 EBITDA)</t>
      </text>
    </comment>
    <comment ref="B59" authorId="0" shapeId="0">
      <text>
        <t>Lo: 10x P/E low on FY2026E EPS; trough.
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 t="n">
        <v>0.045</v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 t="n">
        <v>0.5659999999999999</v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DCF!$B$5*(1+C4)</f>
        <v/>
      </c>
      <c r="D25" s="75">
        <f>DCF!$B$5*(1+D4)</f>
        <v/>
      </c>
      <c r="E25" s="75">
        <f>DCF!$B$5*(1+E4)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8456743*C25/DCF!$B$5</f>
        <v/>
      </c>
      <c r="D168" s="75">
        <f>8456743*D25/DCF!$B$5</f>
        <v/>
      </c>
      <c r="E168" s="75">
        <f>8456743*E25/DCF!$B$5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8456743*C26/DCF!$B$5</f>
        <v/>
      </c>
      <c r="D169" s="75">
        <f>8456743*D26/DCF!$B$5</f>
        <v/>
      </c>
      <c r="E169" s="75">
        <f>8456743*E26/DCF!$B$5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8456743*C27/DCF!$B$5</f>
        <v/>
      </c>
      <c r="D170" s="75">
        <f>8456743*D27/DCF!$B$5</f>
        <v/>
      </c>
      <c r="E170" s="75">
        <f>8456743*E27/DCF!$B$5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8456743*C28/DCF!$B$5</f>
        <v/>
      </c>
      <c r="D171" s="75">
        <f>8456743*D28/DCF!$B$5</f>
        <v/>
      </c>
      <c r="E171" s="75">
        <f>8456743*E28/DCF!$B$5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8456743*C29/DCF!$B$5</f>
        <v/>
      </c>
      <c r="D172" s="75">
        <f>8456743*D29/DCF!$B$5</f>
        <v/>
      </c>
      <c r="E172" s="75">
        <f>8456743*E29/DCF!$B$5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3494903*C25/DCF!$B$5</f>
        <v/>
      </c>
      <c r="D173" s="75">
        <f>3494903*D25/DCF!$B$5</f>
        <v/>
      </c>
      <c r="E173" s="75">
        <f>3494903*E25/DCF!$B$5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3494903*C26/DCF!$B$5</f>
        <v/>
      </c>
      <c r="D174" s="75">
        <f>3494903*D26/DCF!$B$5</f>
        <v/>
      </c>
      <c r="E174" s="75">
        <f>3494903*E26/DCF!$B$5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3494903*C27/DCF!$B$5</f>
        <v/>
      </c>
      <c r="D175" s="75">
        <f>3494903*D27/DCF!$B$5</f>
        <v/>
      </c>
      <c r="E175" s="75">
        <f>3494903*E27/DCF!$B$5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3494903*C28/DCF!$B$5</f>
        <v/>
      </c>
      <c r="D176" s="75">
        <f>3494903*D28/DCF!$B$5</f>
        <v/>
      </c>
      <c r="E176" s="75">
        <f>3494903*E28/DCF!$B$5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3494903*C29/DCF!$B$5</f>
        <v/>
      </c>
      <c r="D177" s="75">
        <f>3494903*D29/DCF!$B$5</f>
        <v/>
      </c>
      <c r="E177" s="75">
        <f>3494903*E29/DCF!$B$5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4961840*C25/DCF!$B$5</f>
        <v/>
      </c>
      <c r="D178" s="75">
        <f>4961840*D25/DCF!$B$5</f>
        <v/>
      </c>
      <c r="E178" s="75">
        <f>4961840*E25/DCF!$B$5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4961840*C26/DCF!$B$5</f>
        <v/>
      </c>
      <c r="D179" s="75">
        <f>4961840*D26/DCF!$B$5</f>
        <v/>
      </c>
      <c r="E179" s="75">
        <f>4961840*E26/DCF!$B$5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4961840*C27/DCF!$B$5</f>
        <v/>
      </c>
      <c r="D180" s="75">
        <f>4961840*D27/DCF!$B$5</f>
        <v/>
      </c>
      <c r="E180" s="75">
        <f>4961840*E27/DCF!$B$5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4961840*C28/DCF!$B$5</f>
        <v/>
      </c>
      <c r="D181" s="75">
        <f>4961840*D28/DCF!$B$5</f>
        <v/>
      </c>
      <c r="E181" s="75">
        <f>4961840*E28/DCF!$B$5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4961840*C29/DCF!$B$5</f>
        <v/>
      </c>
      <c r="D182" s="75">
        <f>4961840*D29/DCF!$B$5</f>
        <v/>
      </c>
      <c r="E182" s="75">
        <f>4961840*E29/DCF!$B$5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119068-C21/100</f>
        <v/>
      </c>
      <c r="D183" s="75">
        <f>119068-D21/100</f>
        <v/>
      </c>
      <c r="E183" s="75">
        <f>119068-ROUND(E22*E153,0)/100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C183-C21/108</f>
        <v/>
      </c>
      <c r="D184" s="75">
        <f>D183-D21/108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C184-C21/115</f>
        <v/>
      </c>
      <c r="D185" s="75">
        <f>D184-D21/115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C185-C21/122</f>
        <v/>
      </c>
      <c r="D186" s="75">
        <f>D185-D21/122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C186-C21/130</f>
        <v/>
      </c>
      <c r="D187" s="75">
        <f>D186-D21/130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Scenarios!D25/DCF!$B$5*62203*$B$7</f>
        <v/>
      </c>
      <c r="D20" s="75">
        <f>Scenarios!D26/DCF!$B$5*62203*$B$7</f>
        <v/>
      </c>
      <c r="E20" s="75">
        <f>Scenarios!D27/DCF!$B$5*62203*$B$7</f>
        <v/>
      </c>
      <c r="F20" s="75">
        <f>Scenarios!D28/DCF!$B$5*62203*$B$7</f>
        <v/>
      </c>
      <c r="G20" s="75">
        <f>Scenarios!D29/DCF!$B$5*62203*$B$7</f>
        <v/>
      </c>
    </row>
    <row r="21" ht="28" customHeight="1">
      <c r="A21" s="68" t="inlineStr">
        <is>
          <t>Adjusted EBIT</t>
        </is>
      </c>
      <c r="B21" s="176" t="n"/>
      <c r="C21" s="130">
        <f>C16+C17+C18+C19+C20</f>
        <v/>
      </c>
      <c r="D21" s="130">
        <f>D16+D17+D18+D19+D20</f>
        <v/>
      </c>
      <c r="E21" s="130">
        <f>E16+E17+E18+E19+E20</f>
        <v/>
      </c>
      <c r="F21" s="130">
        <f>F16+F17+F18+F19+F20</f>
        <v/>
      </c>
      <c r="G21" s="130">
        <f>G16+G17+G18+G19+G20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1028*(Scenarios!D25/DCF!$B$5)</f>
        <v/>
      </c>
      <c r="D23" s="75">
        <f>1028*(Scenarios!D26/DCF!$B$5)</f>
        <v/>
      </c>
      <c r="E23" s="75">
        <f>1028*(Scenarios!D27/DCF!$B$5)</f>
        <v/>
      </c>
      <c r="F23" s="75">
        <f>1028*(Scenarios!D28/DCF!$B$5)</f>
        <v/>
      </c>
      <c r="G23" s="75">
        <f>1028*(Scenarios!D29/DCF!$B$5)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B6*(1+C5)</f>
        <v/>
      </c>
      <c r="D6" s="75">
        <f>C6*(1+D5)</f>
        <v/>
      </c>
      <c r="E6" s="75">
        <f>D6*(1+E5)</f>
        <v/>
      </c>
      <c r="F6" s="75">
        <f>E6*(1+F5)</f>
        <v/>
      </c>
      <c r="G6" s="75">
        <f>F6*(1+G5)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C6*(1-C7)</f>
        <v/>
      </c>
      <c r="D8" s="75">
        <f>D6*(1-D7)</f>
        <v/>
      </c>
      <c r="E8" s="75">
        <f>E6*(1-E7)</f>
        <v/>
      </c>
      <c r="F8" s="75">
        <f>F6*(1-F7)</f>
        <v/>
      </c>
      <c r="G8" s="75">
        <f>G6*(1-G7)</f>
        <v/>
      </c>
    </row>
    <row r="9" ht="15" customHeight="1">
      <c r="A9" s="16" t="inlineStr">
        <is>
          <t>EBIT Margin %</t>
        </is>
      </c>
      <c r="B9" s="176" t="n"/>
      <c r="C9" s="32">
        <f>Scenarios!$D$6</f>
        <v/>
      </c>
      <c r="D9" s="32">
        <f>C9+(Scenarios!$D$8-Scenarios!$D$6)/4</f>
        <v/>
      </c>
      <c r="E9" s="32">
        <f>D9+(Scenarios!$D$8-Scenarios!$D$6)/4</f>
        <v/>
      </c>
      <c r="F9" s="32">
        <f>E9+(Scenarios!$D$8-Scenarios!$D$6)/4</f>
        <v/>
      </c>
      <c r="G9" s="32">
        <f>F9+(Scenarios!$D$8-Scenarios!$D$6)/4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C6*C9+C10</f>
        <v/>
      </c>
      <c r="D11" s="130">
        <f>D6*D9</f>
        <v/>
      </c>
      <c r="E11" s="130">
        <f>E6*E9</f>
        <v/>
      </c>
      <c r="F11" s="130">
        <f>F6*F9</f>
        <v/>
      </c>
      <c r="G11" s="130">
        <f>G6*G9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C6*Scenarios!$D$12</f>
        <v/>
      </c>
      <c r="D17" s="75">
        <f>D6*Scenarios!$D$12</f>
        <v/>
      </c>
      <c r="E17" s="75">
        <f>E6*Scenarios!$D$12</f>
        <v/>
      </c>
      <c r="F17" s="75">
        <f>F6*Scenarios!$D$12</f>
        <v/>
      </c>
      <c r="G17" s="75">
        <f>G6*Scenarios!$D$12</f>
        <v/>
      </c>
    </row>
    <row r="18">
      <c r="A18" s="16" t="inlineStr">
        <is>
          <t>Capex % of revenue</t>
        </is>
      </c>
      <c r="B18" s="176" t="n"/>
      <c r="C18" s="32">
        <f>-C6*Scenarios!$D$13</f>
        <v/>
      </c>
      <c r="D18" s="32">
        <f>-D6*Scenarios!$D$13</f>
        <v/>
      </c>
      <c r="E18" s="32">
        <f>-E6*Scenarios!$D$13</f>
        <v/>
      </c>
      <c r="F18" s="32">
        <f>-F6*Scenarios!$D$13</f>
        <v/>
      </c>
      <c r="G18" s="32">
        <f>-G6*Scenarios!$D$13</f>
        <v/>
      </c>
    </row>
    <row r="19">
      <c r="A19" s="16" t="inlineStr">
        <is>
          <t>Less: Capex</t>
        </is>
      </c>
      <c r="B19" s="176" t="n"/>
      <c r="C19" s="75">
        <f>-Scenarios!D60</f>
        <v/>
      </c>
      <c r="D19" s="75">
        <f>-Scenarios!D61</f>
        <v/>
      </c>
      <c r="E19" s="75">
        <f>-Scenarios!D62</f>
        <v/>
      </c>
      <c r="F19" s="75">
        <f>-Scenarios!D63</f>
        <v/>
      </c>
      <c r="G19" s="75">
        <f>-Scenarios!D64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Scenarios!$D$20</f>
        <v/>
      </c>
      <c r="D29" s="32">
        <f>Scenarios!$D$20</f>
        <v/>
      </c>
      <c r="E29" s="32">
        <f>Scenarios!$D$20</f>
        <v/>
      </c>
      <c r="F29" s="32">
        <f>Scenarios!$D$20</f>
        <v/>
      </c>
      <c r="G29" s="32">
        <f>Scenarios!$D$20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1/(1+Scenarios!$D$9)^C37</f>
        <v/>
      </c>
      <c r="D38" s="91">
        <f>1/(1+Scenarios!$D$9)^D37</f>
        <v/>
      </c>
      <c r="E38" s="91">
        <f>1/(1+Scenarios!$D$9)^E37</f>
        <v/>
      </c>
      <c r="F38" s="91">
        <f>1/(1+Scenarios!$D$9)^F37</f>
        <v/>
      </c>
      <c r="G38" s="91">
        <f>1/(1+Scenarios!$D$9)^G37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Scenarios!$D$10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= FCF5x(1+g)/(WACC-g)</t>
        </is>
      </c>
      <c r="B46" s="75">
        <f>G36*(1+Scenarios!$D$10)/(Scenarios!$D$9-Scenarios!$D$10)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G36/B45*(1+Scenarios!$D$10)/(Scenarios!$D$9-Scenarios!$D$10)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B46/(1+Scenarios!$D$9)^G37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$B$65</f>
        <v/>
      </c>
      <c r="D66" s="75">
        <f>$B$65</f>
        <v/>
      </c>
      <c r="E66" s="75">
        <f>$B$65</f>
        <v/>
      </c>
      <c r="F66" s="75">
        <f>$B$65</f>
        <v/>
      </c>
      <c r="G66" s="75">
        <f>$B$65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$B$66</f>
        <v/>
      </c>
      <c r="D67" s="32">
        <f>$B$66</f>
        <v/>
      </c>
      <c r="E67" s="32">
        <f>$B$66</f>
        <v/>
      </c>
      <c r="F67" s="32">
        <f>$B$66</f>
        <v/>
      </c>
      <c r="G67" s="32">
        <f>$B$66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C35</f>
        <v/>
      </c>
      <c r="D69" s="75">
        <f>D35</f>
        <v/>
      </c>
      <c r="E69" s="75">
        <f>E35</f>
        <v/>
      </c>
      <c r="F69" s="75">
        <f>F35</f>
        <v/>
      </c>
      <c r="G69" s="75">
        <f>G35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C65</f>
        <v/>
      </c>
      <c r="D70" s="75">
        <f>D65</f>
        <v/>
      </c>
      <c r="E70" s="75">
        <f>E65</f>
        <v/>
      </c>
      <c r="F70" s="75">
        <f>F65</f>
        <v/>
      </c>
      <c r="G70" s="75">
        <f>G65</f>
        <v/>
      </c>
    </row>
    <row r="71">
      <c r="A71" s="16" t="inlineStr">
        <is>
          <t>Repurchase as % of UFCF (derived)</t>
        </is>
      </c>
      <c r="B71" s="176" t="n"/>
      <c r="C71" s="32">
        <f>C69/C68</f>
        <v/>
      </c>
      <c r="D71" s="32">
        <f>D69/D68</f>
        <v/>
      </c>
      <c r="E71" s="32">
        <f>E69/E68</f>
        <v/>
      </c>
      <c r="F71" s="32">
        <f>F69/F68</f>
        <v/>
      </c>
      <c r="G71" s="32">
        <f>G69/G68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B72*(1+$B$66)</f>
        <v/>
      </c>
      <c r="D73" s="99">
        <f>C72*(1+$B$66)</f>
        <v/>
      </c>
      <c r="E73" s="99">
        <f>D72*(1+$B$66)</f>
        <v/>
      </c>
      <c r="F73" s="99">
        <f>E72*(1+$B$66)</f>
        <v/>
      </c>
      <c r="G73" s="99">
        <f>F72*(1+$B$66)</f>
        <v/>
      </c>
    </row>
    <row r="74">
      <c r="A74" s="16" t="inlineStr">
        <is>
          <t>Shares retired (000)</t>
        </is>
      </c>
      <c r="B74" s="75" t="n">
        <v>0</v>
      </c>
      <c r="C74" s="75">
        <f>C69/C72</f>
        <v/>
      </c>
      <c r="D74" s="75">
        <f>D69/D72</f>
        <v/>
      </c>
      <c r="E74" s="75">
        <f>E69/E72</f>
        <v/>
      </c>
      <c r="F74" s="75">
        <f>F69/F72</f>
        <v/>
      </c>
      <c r="G74" s="75">
        <f>G69/G72</f>
        <v/>
      </c>
    </row>
    <row r="75">
      <c r="A75" s="16" t="inlineStr">
        <is>
          <t>Beginning shares (000)</t>
        </is>
      </c>
      <c r="B75" s="187" t="n">
        <v>111380</v>
      </c>
      <c r="C75" s="75">
        <f>$B$74</f>
        <v/>
      </c>
      <c r="D75" s="75">
        <f>C75</f>
        <v/>
      </c>
      <c r="E75" s="75">
        <f>D75</f>
        <v/>
      </c>
      <c r="F75" s="75">
        <f>E75</f>
        <v/>
      </c>
      <c r="G75" s="75">
        <f>F75</f>
        <v/>
      </c>
    </row>
    <row r="76">
      <c r="A76" s="68" t="inlineStr">
        <is>
          <t>Ending shares (000)</t>
        </is>
      </c>
      <c r="B76" s="197" t="n">
        <v>111380</v>
      </c>
      <c r="C76" s="130">
        <f>C74-C73</f>
        <v/>
      </c>
      <c r="D76" s="130">
        <f>D74-D73</f>
        <v/>
      </c>
      <c r="E76" s="130">
        <f>E74-E73</f>
        <v/>
      </c>
      <c r="F76" s="130">
        <f>F74-F73</f>
        <v/>
      </c>
      <c r="G76" s="130">
        <f>G74-G73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C77/C75</f>
        <v/>
      </c>
      <c r="D79" s="150">
        <f>D77/D75</f>
        <v/>
      </c>
      <c r="E79" s="150">
        <f>E77/E75</f>
        <v/>
      </c>
      <c r="F79" s="150">
        <f>F77/F75</f>
        <v/>
      </c>
      <c r="G79" s="150">
        <f>G77/G75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 t="n"/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B83/(1+Scenarios!$D$9)^G37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Variance</t>
        </is>
      </c>
      <c r="C90" s="176" t="n"/>
      <c r="D90" s="176" t="n"/>
      <c r="E90" s="176" t="n"/>
      <c r="F90" s="176" t="n"/>
      <c r="G90" s="176" t="n"/>
    </row>
    <row r="91">
      <c r="A91" s="68" t="inlineStr">
        <is>
          <t>Terminal value ($)</t>
        </is>
      </c>
      <c r="B91" s="176">
        <f>B90-C90</f>
        <v/>
      </c>
      <c r="C91" s="176" t="n"/>
      <c r="D91" s="176" t="n"/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B91-C91</f>
        <v/>
      </c>
      <c r="C92" s="176" t="n"/>
      <c r="D92" s="176" t="n"/>
      <c r="E92" s="176" t="n"/>
      <c r="F92" s="176" t="n"/>
      <c r="G92" s="176" t="n"/>
    </row>
    <row r="93">
      <c r="A93" s="16" t="inlineStr">
        <is>
          <t>Terminal value variance (%)</t>
        </is>
      </c>
      <c r="B93" s="176">
        <f>(B90-C90)/B90</f>
        <v/>
      </c>
      <c r="C93" s="176" t="n"/>
      <c r="D93" s="176" t="n"/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B93-C93</f>
        <v/>
      </c>
      <c r="C94" s="176" t="n"/>
      <c r="D94" s="176" t="n"/>
      <c r="E94" s="176" t="n"/>
      <c r="F94" s="176" t="n"/>
      <c r="G94" s="176" t="n"/>
    </row>
    <row r="95">
      <c r="A95" s="68" t="n"/>
      <c r="B95" s="176" t="inlineStr">
        <is>
          <t>Selected exit is the Gordon identity, so spread should be 0</t>
        </is>
      </c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(NPV(0.095,C35:G35)+(G35*(1+0.015)/(0.095-0.015))/(1+0.095)^5+B50+B51)/B55</f>
        <v/>
      </c>
      <c r="D100" s="121">
        <f>(NPV(0.095,C35:G35)+(G35*(1+0.02)/(0.095-0.02))/(1+0.095)^5+B50+B51)/B55</f>
        <v/>
      </c>
      <c r="E100" s="121">
        <f>(NPV(0.095,C35:G35)+(G35*(1+0.0225)/(0.095-0.0225))/(1+0.095)^5+B50+B51)/B55</f>
        <v/>
      </c>
      <c r="F100" s="121">
        <f>(NPV(0.095,C35:G35)+(G35*(1+0.025)/(0.095-0.025))/(1+0.095)^5+B50+B51)/B55</f>
        <v/>
      </c>
      <c r="G100" s="121">
        <f>(NPV(0.095,C35:G35)+(G35*(1+0.03)/(0.095-0.03))/(1+0.095)^5+B50+B51)/B55</f>
        <v/>
      </c>
    </row>
    <row r="101" ht="28" customHeight="1">
      <c r="A101" s="205" t="n">
        <v>0.1</v>
      </c>
      <c r="B101" s="176" t="n"/>
      <c r="C101" s="121">
        <f>(NPV(0.1,C35:G35)+(G35*(1+0.015)/(0.1-0.015))/(1+0.1)^5+B50+B51)/B55</f>
        <v/>
      </c>
      <c r="D101" s="121">
        <f>(NPV(0.1,C35:G35)+(G35*(1+0.02)/(0.1-0.02))/(1+0.1)^5+B50+B51)/B55</f>
        <v/>
      </c>
      <c r="E101" s="121">
        <f>(NPV(0.1,C35:G35)+(G35*(1+0.0225)/(0.1-0.0225))/(1+0.1)^5+B50+B51)/B55</f>
        <v/>
      </c>
      <c r="F101" s="121">
        <f>(NPV(0.1,C35:G35)+(G35*(1+0.025)/(0.1-0.025))/(1+0.1)^5+B50+B51)/B55</f>
        <v/>
      </c>
      <c r="G101" s="121">
        <f>(NPV(0.1,C35:G35)+(G35*(1+0.03)/(0.1-0.03))/(1+0.1)^5+B50+B51)/B55</f>
        <v/>
      </c>
    </row>
    <row r="102" ht="28" customHeight="1">
      <c r="A102" s="205" t="n">
        <v>0.105</v>
      </c>
      <c r="B102" s="176" t="n"/>
      <c r="C102" s="121">
        <f>(NPV(0.105,C35:G35)+(G35*(1+0.015)/(0.105-0.015))/(1+0.105)^5+B50+B51)/B55</f>
        <v/>
      </c>
      <c r="D102" s="121">
        <f>(NPV(0.105,C35:G35)+(G35*(1+0.02)/(0.105-0.02))/(1+0.105)^5+B50+B51)/B55</f>
        <v/>
      </c>
      <c r="E102" s="121">
        <f>(NPV(0.105,C35:G35)+(G35*(1+0.0225)/(0.105-0.0225))/(1+0.105)^5+B50+B51)/B55</f>
        <v/>
      </c>
      <c r="F102" s="121">
        <f>(NPV(0.105,C35:G35)+(G35*(1+0.025)/(0.105-0.025))/(1+0.105)^5+B50+B51)/B55</f>
        <v/>
      </c>
      <c r="G102" s="121">
        <f>(NPV(0.105,C35:G35)+(G35*(1+0.03)/(0.105-0.03))/(1+0.105)^5+B50+B51)/B55</f>
        <v/>
      </c>
    </row>
    <row r="103" ht="28" customHeight="1">
      <c r="A103" s="205" t="n">
        <v>0.11</v>
      </c>
      <c r="B103" s="176" t="n"/>
      <c r="C103" s="121">
        <f>(NPV(0.11,C35:G35)+(G35*(1+0.015)/(0.11-0.015))/(1+0.11)^5+B50+B51)/B55</f>
        <v/>
      </c>
      <c r="D103" s="121">
        <f>(NPV(0.11,C35:G35)+(G35*(1+0.02)/(0.11-0.02))/(1+0.11)^5+B50+B51)/B55</f>
        <v/>
      </c>
      <c r="E103" s="121">
        <f>(NPV(0.11,C35:G35)+(G35*(1+0.0225)/(0.11-0.0225))/(1+0.11)^5+B50+B51)/B55</f>
        <v/>
      </c>
      <c r="F103" s="121">
        <f>(NPV(0.11,C35:G35)+(G35*(1+0.025)/(0.11-0.025))/(1+0.11)^5+B50+B51)/B55</f>
        <v/>
      </c>
      <c r="G103" s="121">
        <f>(NPV(0.11,C35:G35)+(G35*(1+0.03)/(0.11-0.03))/(1+0.11)^5+B50+B51)/B55</f>
        <v/>
      </c>
    </row>
    <row r="104" ht="28" customHeight="1">
      <c r="A104" s="205" t="n">
        <v>0.115</v>
      </c>
      <c r="B104" s="176" t="n"/>
      <c r="C104" s="121">
        <f>(NPV(0.115,C35:G35)+(G35*(1+0.015)/(0.115-0.015))/(1+0.115)^5+B50+B51)/B55</f>
        <v/>
      </c>
      <c r="D104" s="121">
        <f>(NPV(0.115,C35:G35)+(G35*(1+0.02)/(0.115-0.02))/(1+0.115)^5+B50+B51)/B55</f>
        <v/>
      </c>
      <c r="E104" s="121">
        <f>(NPV(0.115,C35:G35)+(G35*(1+0.0225)/(0.115-0.0225))/(1+0.115)^5+B50+B51)/B55</f>
        <v/>
      </c>
      <c r="F104" s="121">
        <f>(NPV(0.115,C35:G35)+(G35*(1+0.025)/(0.115-0.025))/(1+0.115)^5+B50+B51)/B55</f>
        <v/>
      </c>
      <c r="G104" s="121">
        <f>(NPV(0.115,C35:G35)+(G35*(1+0.03)/(0.115-0.03))/(1+0.115)^5+B50+B51)/B55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DCF!B44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DCF!B46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2026-09-10T04:54:51Z</ns2:modified>
  <ns0:revision>1</ns0:revision>
</ns0:coreProperties>
</file>
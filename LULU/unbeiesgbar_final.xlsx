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FY25 10-K anchor. on reported baseline. Source: https://www.sec.gov/Archives/edgar/data/1397187/000139718726000020/lulu-20260201.htm</t>
      </text>
    </comment>
    <comment ref="E5" authorId="0" shapeId="0">
      <text>
        <t>FY25 10-K anchor. cash-flow read-through. Source: https://www.sec.gov/Archives/edgar/data/1397187/000139718726000020/lulu-20260201.htm</t>
      </text>
    </comment>
    <comment ref="E8" authorId="0" shapeId="0">
      <text>
        <t>FY25 10-K anchor. on reported baseline. Source: https://www.sec.gov/Archives/edgar/data/1397187/000139718726000020/lulu-20260201.htm</t>
      </text>
    </comment>
    <comment ref="E11" authorId="0" shapeId="0">
      <text>
        <t>FY25 10-K anchor. on reported baseline. Source: https://www.sec.gov/Archives/edgar/data/1397187/000139718726000020/lulu-20260201.htm</t>
      </text>
    </comment>
    <comment ref="E12" authorId="0" shapeId="0">
      <text>
        <t>FY25 10-K anchor. cash-flow read-through. Source: https://www.sec.gov/Archives/edgar/data/1397187/000139718726000020/lulu-20260201.htm</t>
      </text>
    </comment>
    <comment ref="E100" authorId="0" shapeId="0">
      <text>
        <t>0.1 WACC tab to green WACC cell ~9.0%. on reported baseline.</t>
      </text>
    </comment>
    <comment ref="E101" authorId="0" shapeId="0">
      <text>
        <t>0.105 WACC tab to green WACC cell ~9.0%. on reported baseline.</t>
      </text>
    </comment>
    <comment ref="E102" authorId="0" shapeId="0">
      <text>
        <t>0.11 WACC tab to green WACC cell ~9.0%. on reported baseline.</t>
      </text>
    </comment>
    <comment ref="E103" authorId="0" shapeId="0">
      <text>
        <t>0.115 WACC tab to green WACC cell ~9.0%. on reported baseline.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Source on reported baseline.</t>
      </text>
    </comment>
    <comment ref="D56" authorId="0" shapeId="0">
      <text>
        <t>Source on reported baseline.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B2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15" customHeight="1">
      <c r="B17" s="10" t="n"/>
    </row>
    <row r="19">
      <c r="B19" s="5" t="inlineStr">
        <is>
          <t>SOURCES</t>
        </is>
      </c>
    </row>
    <row r="20" ht="15" customHeight="1">
      <c r="B20" s="10" t="inlineStr">
        <is>
          <t>SEC EDGAR filings, CIK 0001397187 (Form 10-K, FY2025)</t>
        </is>
      </c>
    </row>
    <row r="21" ht="15" customHeight="1">
      <c r="B21" s="10" t="inlineStr">
        <is>
          <t>FY2025 Form 10-K (ended Feb 1, 2026)</t>
        </is>
      </c>
    </row>
    <row r="22" ht="15" customHeight="1">
      <c r="B22" s="10" t="inlineStr">
        <is>
          <t>Market data &amp; Q2 FY2026 results (Sep 3, 2026 earnings release)</t>
        </is>
      </c>
    </row>
    <row r="23" ht="15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4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+ overlay</t>
        </is>
      </c>
      <c r="C4" s="164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4" t="inlineStr">
        <is>
          <t>Q2 FY2026 outlook: tax rate ≈ 30%</t>
        </is>
      </c>
      <c r="D5" s="129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4" t="inlineStr">
        <is>
          <t>NASDAQ LULU last sale (current price)</t>
        </is>
      </c>
      <c r="D8" s="157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4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65" t="inlineStr">
        <is>
          <t>WACC tab: price × shares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4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66" t="inlineStr">
        <is>
          <t>Lease + funded debt (above)</t>
        </is>
      </c>
      <c r="D13" s="130">
        <f>D11+D12</f>
        <v/>
      </c>
    </row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4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= $11.14B on the same.</t>
        </is>
      </c>
      <c r="C18" s="164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Unlever D/E = Yahoo debt (mrq) ÷ Yahoo.</t>
        </is>
      </c>
      <c r="C19" s="164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4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s="9" t="inlineStr">
        <is>
          <t>βu = 0.86 ÷ [1 + 0.70 ×.</t>
        </is>
      </c>
      <c r="C21" s="165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5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4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65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4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4" t="inlineStr">
        <is>
          <t>LULU Q2 FY2026 earnings release</t>
        </is>
      </c>
      <c r="E4" s="129" t="n">
        <v>-0.09</v>
      </c>
      <c r="F4" s="129" t="n">
        <v>-0.061</v>
      </c>
      <c r="G4" s="129" t="n">
        <v>-0.04</v>
      </c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4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4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4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4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4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4" t="inlineStr">
        <is>
          <t>FRED: Real GDP (GDPC1)</t>
        </is>
      </c>
      <c r="E10" s="129" t="n">
        <v>0.015</v>
      </c>
      <c r="F10" s="129" t="n">
        <v>0.0225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4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4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" customHeight="1">
      <c r="A13" s="16" t="inlineStr">
        <is>
          <t>Capex % of revenue</t>
        </is>
      </c>
      <c r="B13" s="9" t="inlineStr">
        <is>
          <t>Capex fade to 5.5%</t>
        </is>
      </c>
      <c r="C13" s="164" t="inlineStr">
        <is>
          <t>LULU 10-K: 2026 capex guide $725–745M Also: Q2 FY2026 outlook: $10.350B–$10.500B sales</t>
        </is>
      </c>
      <c r="E13" s="129" t="n">
        <v>0.07000000000000001</v>
      </c>
      <c r="F13" s="129" t="n">
        <v>0.055</v>
      </c>
      <c r="G13" s="129" t="n">
        <v>0.045</v>
      </c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4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" customHeight="1">
      <c r="A15" s="16" t="inlineStr">
        <is>
          <t>DSO (days) - flat vs FY25</t>
        </is>
      </c>
      <c r="B15" s="9" t="inlineStr">
        <is>
          <t>Not % of revenue; DSO (days), flat ~6.3..</t>
        </is>
      </c>
      <c r="C15" s="164" t="inlineStr">
        <is>
          <t>LULU FY2025 10-K: Accounts receivable, net</t>
        </is>
      </c>
      <c r="E15" s="159" t="n">
        <v>6.267883648875038</v>
      </c>
      <c r="F15" s="159" t="n">
        <v>6.267883648875038</v>
      </c>
      <c r="G15" s="159" t="n">
        <v>6.267883648875038</v>
      </c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4" t="inlineStr">
        <is>
          <t>LULU FY2025 10-K: Inventories &amp; COGS</t>
        </is>
      </c>
      <c r="E16" s="159" t="n">
        <v>128.8324100108167</v>
      </c>
      <c r="F16" s="159" t="n">
        <v>128.8324100108167</v>
      </c>
      <c r="G16" s="159" t="n">
        <v>128.8324100108167</v>
      </c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4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15" customHeight="1">
      <c r="A18" s="16" t="inlineStr">
        <is>
          <t>DPO (days) - flat vs FY25</t>
        </is>
      </c>
      <c r="B18" s="9" t="inlineStr">
        <is>
          <t>Not % of revenue; DPO (days), flat ~25.1..</t>
        </is>
      </c>
      <c r="C18" s="164" t="inlineStr">
        <is>
          <t>LULU FY2025 10-K: Accounts payable &amp; COGS</t>
        </is>
      </c>
      <c r="E18" s="159" t="n">
        <v>25.10521290169407</v>
      </c>
      <c r="F18" s="159" t="n">
        <v>25.10521290169407</v>
      </c>
      <c r="G18" s="159" t="n">
        <v>25.10521290169407</v>
      </c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4" t="inlineStr">
        <is>
          <t>LULU FY2025 10-K: other current assets (residual)</t>
        </is>
      </c>
      <c r="E19" s="129" t="n">
        <v>0.05080692810692991</v>
      </c>
      <c r="F19" s="129" t="n">
        <v>0.05080692810692991</v>
      </c>
      <c r="G19" s="129" t="n">
        <v>0.05080692810692991</v>
      </c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4" t="inlineStr">
        <is>
          <t>LULU FY2025 10-K: Accrued liabilities and other</t>
        </is>
      </c>
      <c r="E20" s="129" t="n">
        <v>0.05971412101669879</v>
      </c>
      <c r="F20" s="129" t="n">
        <v>0.05971412101669879</v>
      </c>
      <c r="G20" s="129" t="n">
        <v>0.05971412101669879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11102600*(1+E4)</f>
        <v/>
      </c>
      <c r="F25" s="75">
        <f>11102600*(1+F4)</f>
        <v/>
      </c>
      <c r="G25" s="75">
        <f>11102600*(1+G4)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5">
      <c r="A135" s="26" t="n"/>
    </row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6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Store openings skew to China (+20 FY26) vs.</t>
        </is>
      </c>
      <c r="J7" s="164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Closures assume 2–3 per mature region annually as.</t>
        </is>
      </c>
      <c r="J8" s="164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Simple roll-forward: where you started, plus openings, minus.</t>
        </is>
      </c>
      <c r="J9" s="16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6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Store openings skew to China (+20 FY26) vs.</t>
        </is>
      </c>
      <c r="J11" s="164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Closures assume 2–3 per mature region annually as.</t>
        </is>
      </c>
      <c r="J12" s="164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Simple roll-forward: where you started, plus openings, minus.</t>
        </is>
      </c>
      <c r="J13" s="16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6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Store openings skew to China (+20 FY26) vs.</t>
        </is>
      </c>
      <c r="J15" s="164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Closures assume 2–3 per mature region annually as.</t>
        </is>
      </c>
      <c r="J16" s="164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Simple roll-forward: where you started, plus openings, minus.</t>
        </is>
      </c>
      <c r="J17" s="16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6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64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Ending stores times avg sq ft per box..</t>
        </is>
      </c>
      <c r="J20" s="165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64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64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 +20% (+19% CCY) per 10-K..</t>
        </is>
      </c>
      <c r="J26" s="164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RoW comp +9% (+7% CCY) per 10-K..</t>
        </is>
      </c>
      <c r="J27" s="164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6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6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6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6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64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64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64" t="inlineStr">
        <is>
          <t>FY2025 10-K: average order value commentary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64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64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64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65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64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64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64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64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64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64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64" t="inlineStr">
        <is>
          <t>FY2025 10-K: product category mix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6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64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6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65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6">
      <c r="A6" s="52" t="inlineStr">
        <is>
          <t>Driver assumptions</t>
        </is>
      </c>
    </row>
    <row r="7" ht="15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4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4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4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4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5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4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4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4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4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4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>
        <f> Adjusted EBIT (Phase 1)</f>
        <v/>
      </c>
      <c r="B21" s="9" t="inlineStr">
        <is>
          <t>Reported EBIT plus non-recurring add-backs.</t>
        </is>
      </c>
      <c r="C21" s="165" t="inlineStr">
        <is>
          <t>NOPAT Bridge tab: Phase 1 subtotal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4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4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4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>
        <f> EBIT after lease &amp; capitalization (Phase 2)</f>
        <v/>
      </c>
      <c r="B26" s="9" t="inlineStr">
        <is>
          <t>Phase 1 plus lease / R&amp;D adjustments.</t>
        </is>
      </c>
      <c r="C26" s="165" t="inlineStr">
        <is>
          <t>NOPAT Bridge tab: Phase 2 subtotal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4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4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4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Not % of consolidated revenue; store EBIT ÷.</t>
        </is>
      </c>
      <c r="C31" s="164" t="inlineStr">
        <is>
          <t>FY2025 10-K: company-operated stores net revenue</t>
        </is>
      </c>
      <c r="D31" s="22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Not % of consolidated revenue; e-commerce EBIT ÷.</t>
        </is>
      </c>
      <c r="C32" s="164" t="inlineStr">
        <is>
          <t>FY2025 10-K: e-commerce net revenue</t>
        </is>
      </c>
      <c r="D32" s="22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Not % of consolidated revenue; other-channel EBIT ÷.</t>
        </is>
      </c>
      <c r="C33" s="164" t="inlineStr">
        <is>
          <t>FY2025 10-K: other channels (residual)</t>
        </is>
      </c>
      <c r="D33" s="22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sector EBIT (Phase 3).</t>
        </is>
      </c>
      <c r="C34" s="165" t="inlineStr">
        <is>
          <t>NOPAT Bridge tab: sector EBIT subtotal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>
        <f> EBIT after channel mix (Phase 3)</f>
        <v/>
      </c>
      <c r="B35" s="9" t="inlineStr">
        <is>
          <t>Channel-mix EBIT output (Phase 3).</t>
        </is>
      </c>
      <c r="C35" s="165" t="inlineStr">
        <is>
          <t>NOPAT Bridge tab: Phase 3 subtotal</t>
        </is>
      </c>
      <c r="D35" s="160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>
        <f> Normalized EBIT (tax base for NOPAT)</f>
        <v/>
      </c>
      <c r="B36" s="9" t="inlineStr">
        <is>
          <t>FY25 walk-through Phases 1–2.</t>
        </is>
      </c>
      <c r="C36" s="165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4" t="inlineStr">
        <is>
          <t>LULU FY2025 10-K: income tax &amp; interest expense</t>
        </is>
      </c>
      <c r="D39" s="129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5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65" t="inlineStr">
        <is>
          <t>NOPAT Bridge tab: normalized NOPAT</t>
        </is>
      </c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15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15" customHeight="1">
      <c r="A6" s="16" t="inlineStr">
        <is>
          <t>Revenue growth %</t>
        </is>
      </c>
      <c r="B6" t="inlineStr">
        <is>
          <t>−6.1% FY2026 revenue growth matches company guidance midpoint.</t>
        </is>
      </c>
      <c r="C6" s="164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t="inlineStr">
        <is>
          <t>56.6% of revenue (gross margin). Isolates COGS for.</t>
        </is>
      </c>
      <c r="C7" s="164" t="inlineStr">
        <is>
          <t>LULU FY2025 10-K: Gross profit &amp; COGS</t>
        </is>
      </c>
      <c r="D7" s="129" t="n">
        <v>0.566005440167168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15" customHeight="1">
      <c r="A9" s="16" t="inlineStr">
        <is>
          <t>Clean / run-rate EBIT margin %</t>
        </is>
      </c>
      <c r="B9" t="inlineStr">
        <is>
          <t>13.2% is the real/run-rate OM: Q2 18.8% minus.</t>
        </is>
      </c>
      <c r="C9" s="164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$134.5M in FY26 only; already recognized.</t>
        </is>
      </c>
      <c r="C10" s="164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D&amp;A / sales = FY25 496,228 /.</t>
        </is>
      </c>
      <c r="C15" s="164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" customHeight="1">
      <c r="A17" s="16" t="inlineStr">
        <is>
          <t>Capex % of revenue</t>
        </is>
      </c>
      <c r="B17" t="inlineStr">
        <is>
          <t>FY26 7.0% is $735M on $10.4B sales, not.</t>
        </is>
      </c>
      <c r="C17" s="164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Not one %; net ≈13.2% of FY25 sales.</t>
        </is>
      </c>
      <c r="C19" s="128" t="inlineStr">
        <is>
          <t>LULU FY2025 10-K: working-capital components</t>
        </is>
      </c>
    </row>
    <row r="20" ht="15" customHeight="1">
      <c r="A20" s="16" t="inlineStr">
        <is>
          <t>DSO (days) - flat vs FY25</t>
        </is>
      </c>
      <c r="B20" t="inlineStr">
        <is>
          <t>Not % of revenue; DSO (days), flat ~6.3..</t>
        </is>
      </c>
      <c r="C20" s="164" t="inlineStr">
        <is>
          <t>LULU FY2025 10-K: Accounts receivable, net</t>
        </is>
      </c>
      <c r="D20" s="159" t="n">
        <v>6.267883648875038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15" customHeight="1">
      <c r="A21" s="16" t="inlineStr">
        <is>
          <t>Accounts receivable, net</t>
        </is>
      </c>
      <c r="B21" t="inlineStr">
        <is>
          <t>Implied ~1.7% of revenue (not a direct %.</t>
        </is>
      </c>
      <c r="C21" s="164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" customHeight="1">
      <c r="A22" s="16" t="inlineStr">
        <is>
          <t>DIO (days) - FY25 anchor, -1 day/yr</t>
        </is>
      </c>
      <c r="B22" t="inlineStr">
        <is>
          <t>Not % of revenue; DIO (days). FY25 anchor:.</t>
        </is>
      </c>
      <c r="C22" s="164" t="inlineStr">
        <is>
          <t>LULU FY2025 10-K: Inventories &amp; COGS Also: LULU FY2025 10-K: inventory &amp; markdown outlook</t>
        </is>
      </c>
      <c r="D22" s="159" t="n">
        <v>128.8324100108167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5" customHeight="1">
      <c r="A23" s="16" t="inlineStr">
        <is>
          <t>Inventories</t>
        </is>
      </c>
      <c r="B23" t="inlineStr">
        <is>
          <t>Not % of revenue; $ balance (not a.</t>
        </is>
      </c>
      <c r="C23" s="164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15" customHeight="1">
      <c r="A24" s="16" t="inlineStr">
        <is>
          <t>DPO (days) - flat vs FY25</t>
        </is>
      </c>
      <c r="B24" t="inlineStr">
        <is>
          <t>Not % of revenue; DPO (days), flat ~25.1..</t>
        </is>
      </c>
      <c r="C24" s="164" t="inlineStr">
        <is>
          <t>LULU FY2025 10-K: Accounts payable &amp; COGS</t>
        </is>
      </c>
      <c r="D24" s="159" t="n">
        <v>25.10521290169407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15" customHeight="1">
      <c r="A25" s="16" t="inlineStr">
        <is>
          <t>Accounts payable</t>
        </is>
      </c>
      <c r="B25" t="inlineStr">
        <is>
          <t>Implied ~3.0% of revenue (not a direct %.</t>
        </is>
      </c>
      <c r="C25" s="164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15" customHeight="1">
      <c r="A26" s="16" t="inlineStr">
        <is>
          <t>Prepaid expenses (% of revenue)</t>
        </is>
      </c>
      <c r="B26" t="inlineStr">
        <is>
          <t>5.1% of revenue (flat). FY25 other current assets.</t>
        </is>
      </c>
      <c r="C26" s="164" t="inlineStr">
        <is>
          <t>LULU FY2025 10-K: other current assets (residual)</t>
        </is>
      </c>
      <c r="D26" s="129" t="n">
        <v>0.05080692810692991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15" customHeight="1">
      <c r="A27" s="16" t="inlineStr">
        <is>
          <t>Prepaid expenses (other current assets)</t>
        </is>
      </c>
      <c r="B27" t="inlineStr">
        <is>
          <t>5.1% of revenue (flat). FY25 other current assets.</t>
        </is>
      </c>
      <c r="C27" s="164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15" customHeight="1">
      <c r="A28" s="16" t="inlineStr">
        <is>
          <t>Accrued liabilities (% of revenue)</t>
        </is>
      </c>
      <c r="B28" t="inlineStr">
        <is>
          <t>6.0% of revenue (flat). FY25 accrued liabilities ÷.</t>
        </is>
      </c>
      <c r="C28" s="164" t="inlineStr">
        <is>
          <t>LULU FY2025 10-K: Accrued liabilities and other</t>
        </is>
      </c>
      <c r="D28" s="129" t="n">
        <v>0.05971412101669879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15" customHeight="1">
      <c r="A29" s="16" t="inlineStr">
        <is>
          <t>Accrued liabilities and other</t>
        </is>
      </c>
      <c r="B29" t="inlineStr">
        <is>
          <t>6.0% of revenue (flat). FY25 accrued liabilities ÷.</t>
        </is>
      </c>
      <c r="C29" s="164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15" customHeight="1">
      <c r="A30" s="16" t="inlineStr">
        <is>
          <t>Current operating assets (AR + inv + prepaids)</t>
        </is>
      </c>
      <c r="B30" t="inlineStr">
        <is>
          <t>Not one %; sum ≈22.1% of FY25 sales.</t>
        </is>
      </c>
      <c r="C30" s="164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15" customHeight="1">
      <c r="A31" s="16" t="inlineStr">
        <is>
          <t>Current operating liabilities (AP + accruals)</t>
        </is>
      </c>
      <c r="B31" t="inlineStr">
        <is>
          <t>Not one %; sum ≈9.0% of FY25 sales.</t>
        </is>
      </c>
      <c r="C31" s="164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15" customHeight="1">
      <c r="A32" s="23" t="inlineStr">
        <is>
          <t>Net working capital</t>
        </is>
      </c>
      <c r="B32" t="inlineStr">
        <is>
          <t>Not one %; net ≈13.2% of FY25 sales.</t>
        </is>
      </c>
      <c r="C32" s="164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15" customHeight="1">
      <c r="A33" s="23" t="inlineStr">
        <is>
          <t>Delta NWC (prior yr - current yr)</t>
        </is>
      </c>
      <c r="B33" t="inlineStr">
        <is>
          <t>Not % of revenue; $ change in NWC.</t>
        </is>
      </c>
      <c r="C33" s="164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sits next to FRED GDPC1.</t>
        </is>
      </c>
      <c r="C43" s="164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64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64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64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64" t="inlineStr">
        <is>
          <t>NASDAQ</t>
        </is>
      </c>
      <c r="D57" s="157" t="n">
        <v>100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2">
      <c r="A62" s="93" t="inlineStr">
        <is>
          <t>SHARE REPURCHASE &amp; EPS ACCRETION SCHEDULE</t>
        </is>
      </c>
      <c r="D62" s="13" t="n"/>
    </row>
    <row r="63">
      <c r="A63" s="26" t="n"/>
    </row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2">
      <c r="A72" s="16" t="inlineStr">
        <is>
          <t>Projected share price ($)</t>
        </is>
      </c>
      <c r="D72" s="157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Selected exit is Gordon TV / FY30 EBITDA..</t>
        </is>
      </c>
      <c r="C82" s="164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Terminal-g axis 1.5–3.0% brackets 2.25% base; bounded by.</t>
        </is>
      </c>
      <c r="C98" s="164" t="inlineStr">
        <is>
          <t>FRED: Real GDP (GDPC1)</t>
        </is>
      </c>
      <c r="E98" s="151" t="n">
        <v>0.015</v>
      </c>
      <c r="F98" s="151" t="n">
        <v>0.02</v>
      </c>
      <c r="G98" s="151" t="n">
        <v>0.0225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64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64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64" t="inlineStr">
        <is>
          <t>Release</t>
        </is>
      </c>
      <c r="D7" s="159" t="n">
        <v>9.609999999999999</v>
      </c>
    </row>
    <row r="8" ht="28" customHeight="1">
      <c r="A8" s="16" t="inlineStr">
        <is>
          <t>Cash &amp; equivalents</t>
        </is>
      </c>
      <c r="C8" s="164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64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64" t="inlineStr">
        <is>
          <t>NASDAQ</t>
        </is>
      </c>
      <c r="D10" s="157" t="n">
        <v>100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5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5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5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5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5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5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5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5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5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5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5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1">
      <c r="A31" s="14" t="inlineStr">
        <is>
          <t>Alo Yoga implied valuation (reference only)</t>
        </is>
      </c>
    </row>
    <row r="32">
      <c r="A32" s="2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4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4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4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No page prints Alo or Color Image EBITDA..</t>
        </is>
      </c>
      <c r="C36" s="165" t="inlineStr">
        <is>
          <t>None — no EBITDA source</t>
        </is>
      </c>
      <c r="D36" s="140" t="inlineStr">
        <is>
          <t>n.a.</t>
        </is>
      </c>
    </row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4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4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4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2" ht="28" customHeight="1">
      <c r="A62" s="124" t="inlineStr">
        <is>
          <t>Current price</t>
        </is>
      </c>
      <c r="C62" s="164" t="inlineStr">
        <is>
          <t>NASDAQ</t>
        </is>
      </c>
      <c r="D62" s="21" t="n">
        <v>100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2026-09-10T03:39:28Z</dcterms:modified>
  <cp:lastModifiedBy>Microsoft Excel</cp:lastModifiedBy>
  <cp:revision>1</cp:revision>
</cp:coreProperties>
</file>
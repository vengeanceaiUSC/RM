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Source on reported baseline.</t>
      </text>
    </comment>
    <comment ref="D56" authorId="0" shapeId="0">
      <text>
        <t>Source on reported baseline.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15" customHeight="1">
      <c r="B17" s="10" t="n"/>
    </row>
    <row r="18"/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40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4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+ overlay</t>
        </is>
      </c>
      <c r="C4" s="164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4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4" t="inlineStr">
        <is>
          <t>NASDAQ LULU last sale (current price)</t>
        </is>
      </c>
      <c r="D8" s="157" t="n">
        <v>100.61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4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5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4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6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4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4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4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4" t="inlineStr">
        <is>
          <t>Yahoo Finance: Total Debt/Equity (mrq)</t>
        </is>
      </c>
      <c r="D20" s="27" t="n">
        <v>0.447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5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5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4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5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4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4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4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4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4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4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4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4" t="inlineStr">
        <is>
          <t>FRED: Real GDP (GDPC1)</t>
        </is>
      </c>
      <c r="E10" s="129" t="n">
        <v>0.015</v>
      </c>
      <c r="F10" s="129" t="n">
        <v>0.022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4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4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Capex fade to 5.5%</t>
        </is>
      </c>
      <c r="C13" s="164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4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Not % of revenue; DSO (days), flat ~6.3..</t>
        </is>
      </c>
      <c r="C15" s="164" t="inlineStr">
        <is>
          <t>LULU FY2025 10-K: Accounts receivable, net</t>
        </is>
      </c>
      <c r="E15" s="159" t="n">
        <v>6.3</v>
      </c>
      <c r="F15" s="159" t="n">
        <v>6.3</v>
      </c>
      <c r="G15" s="159" t="n">
        <v>6.3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4" t="inlineStr">
        <is>
          <t>LULU FY2025 10-K: Inventories &amp; COGS</t>
        </is>
      </c>
      <c r="E16" s="159" t="n">
        <v>128.8</v>
      </c>
      <c r="F16" s="159" t="n">
        <v>128.8</v>
      </c>
      <c r="G16" s="159" t="n">
        <v>128.8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4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Not % of revenue; DPO (days), flat ~25.1..</t>
        </is>
      </c>
      <c r="C18" s="164" t="inlineStr">
        <is>
          <t>LULU FY2025 10-K: Accounts payable &amp; COGS</t>
        </is>
      </c>
      <c r="E18" s="159" t="n">
        <v>25.1</v>
      </c>
      <c r="F18" s="159" t="n">
        <v>25.1</v>
      </c>
      <c r="G18" s="159" t="n">
        <v>25.1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4" t="inlineStr">
        <is>
          <t>LULU FY2025 10-K: other current assets (residual)</t>
        </is>
      </c>
      <c r="E19" s="129" t="n">
        <v>0.051</v>
      </c>
      <c r="F19" s="129" t="n">
        <v>0.051</v>
      </c>
      <c r="G19" s="129" t="n">
        <v>0.051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4" t="inlineStr">
        <is>
          <t>LULU FY2025 10-K: Accrued liabilities and other</t>
        </is>
      </c>
      <c r="E20" s="129" t="n">
        <v>0.06</v>
      </c>
      <c r="F20" s="129" t="n">
        <v>0.06</v>
      </c>
      <c r="G20" s="129" t="n">
        <v>0.06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64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64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6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64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64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6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64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64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6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4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65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4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4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64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64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4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4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4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4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4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4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5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4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4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4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4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4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4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4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4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5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4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4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4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4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5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4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4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4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4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4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65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4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4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4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65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4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4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4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64" t="inlineStr">
        <is>
          <t>FY2025 10-K: company-operated stores net revenue</t>
        </is>
      </c>
      <c r="D31" s="22" t="n">
        <v>939252.38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64" t="inlineStr">
        <is>
          <t>FY2025 10-K: e-commerce net revenue</t>
        </is>
      </c>
      <c r="D32" s="22" t="n">
        <v>1160812.49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64" t="inlineStr">
        <is>
          <t>FY2025 10-K: other channels (residual)</t>
        </is>
      </c>
      <c r="D33" s="22" t="n">
        <v>103208.47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65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65" t="inlineStr">
        <is>
          <t>NOPAT Bridge tab: Phase 3 subtotal</t>
        </is>
      </c>
      <c r="D35" s="160" t="n">
        <v>2203273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5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4" t="inlineStr">
        <is>
          <t>LULU FY2025 10-K: income tax &amp; interest expense</t>
        </is>
      </c>
      <c r="D39" s="129" t="n">
        <v>0.295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5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5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64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64" t="inlineStr">
        <is>
          <t>LULU FY2025 10-K: Gross profit &amp; COGS</t>
        </is>
      </c>
      <c r="D7" s="129" t="n">
        <v>0.5659999999999999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64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64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64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64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64" t="inlineStr">
        <is>
          <t>LULU FY2025 10-K: Accounts receivable, net</t>
        </is>
      </c>
      <c r="D20" s="159" t="n">
        <v>6.3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64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64" t="inlineStr">
        <is>
          <t>LULU FY2025 10-K: Inventories &amp; COGS Also: LULU FY2025 10-K: inventory &amp; markdown outlook</t>
        </is>
      </c>
      <c r="D22" s="159" t="n">
        <v>128.8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Not % of revenue; $ balance (not a.</t>
        </is>
      </c>
      <c r="C23" s="164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64" t="inlineStr">
        <is>
          <t>LULU FY2025 10-K: Accounts payable &amp; COGS</t>
        </is>
      </c>
      <c r="D24" s="159" t="n">
        <v>25.1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64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64" t="inlineStr">
        <is>
          <t>LULU FY2025 10-K: other current assets (residual)</t>
        </is>
      </c>
      <c r="D26" s="129" t="n">
        <v>0.051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64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64" t="inlineStr">
        <is>
          <t>LULU FY2025 10-K: Accrued liabilities and other</t>
        </is>
      </c>
      <c r="D28" s="129" t="n">
        <v>0.06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64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64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64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64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64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64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4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4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4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4" t="inlineStr">
        <is>
          <t>NASDAQ</t>
        </is>
      </c>
      <c r="D57" s="157" t="n">
        <v>100.61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100.61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14.18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64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64" t="inlineStr">
        <is>
          <t>FRED: Real GDP (GDPC1)</t>
        </is>
      </c>
      <c r="E98" s="151" t="n">
        <v>0.015</v>
      </c>
      <c r="F98" s="151" t="n">
        <v>0.02</v>
      </c>
      <c r="G98" s="151" t="n">
        <v>0.022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4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4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4" t="inlineStr">
        <is>
          <t>Release</t>
        </is>
      </c>
      <c r="D7" s="159" t="n">
        <v>9.6</v>
      </c>
    </row>
    <row r="8" ht="28" customHeight="1">
      <c r="A8" s="16" t="inlineStr">
        <is>
          <t>Cash &amp; equivalents</t>
        </is>
      </c>
      <c r="C8" s="164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4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4" t="inlineStr">
        <is>
          <t>NASDAQ</t>
        </is>
      </c>
      <c r="D10" s="157" t="n">
        <v>100.61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5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5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5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5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5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5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5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5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5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5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5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4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4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4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65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4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4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4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64" t="inlineStr">
        <is>
          <t>NASDAQ</t>
        </is>
      </c>
      <c r="D62" s="21" t="n">
        <v>100.61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2026-09-10T03:29:49Z</dcterms:modified>
  <cp:lastModifiedBy>Microsoft Excel</cp:lastModifiedBy>
  <cp:revision>1</cp:revision>
</cp:coreProperties>
</file>
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4.8% risk-free = FRED DGS10 on 2026-09-03 (4.77%).
Source: FRED: 10Y Treasury (DGS10)
https://fred.stlouisfed.org/series/DGS10</t>
      </text>
    </comment>
    <comment ref="B4" authorId="0" shapeId="0">
      <text>
        <t>6.0% ERP is a conservative overlay vs Damodaran.
Source: Damodaran: Historical Implied ERP
https://www.stern.nyu.edu/~adamodar/New_Home_Page/datafile/histimpl.html</t>
      </text>
    </comment>
    <comment ref="B5" authorId="0" shapeId="0">
      <text>
        <t>30% cash tax matches FY2026 guidance (“approximately 30%”)..
Source: Q2 FY2026 outlook: tax rate ≈ 30%
https://corporate.lululemon.com/newsroom/press-releases/2026/09-03-2026-210528733</t>
      </text>
    </comment>
    <comment ref="B8" authorId="0" shapeId="0">
      <text>
        <t>$100 share price ≈ NASDAQ Last Sale after.
Source: NASDAQ LULU last sale (current price)
https://www.nasdaq.com/market-activity/stocks/lulu</t>
      </text>
    </comment>
    <comment ref="B9" authorId="0" shapeId="0">
      <text>
        <t>111,380k class A shares outstanding at FY25 year-end.
Source: LULU FY2025 10-K: shares outstanding
https://www.sec.gov/Archives/edgar/data/1397187/000139718726000020/lulu-20260201.htm</t>
      </text>
    </comment>
    <comment ref="B10" authorId="0" shapeId="0">
      <text>
        <t>Market equity = share price × shares outstanding..
Source: WACC tab: price × shares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Total Debt/Equity (mrq) = 44.69% is book.
Source: Yahoo Finance: Total Debt/Equity (mrq)
https://finance.yahoo.com/quote/LULU/key-statistics/</t>
      </text>
    </comment>
    <comment ref="B21" authorId="0" shapeId="0">
      <text>
        <t>Hamada unlever beta using Yahoo market D/E and tax rate.
Source: WACC tab: Hamada unlever (Yahoo market D/E)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30" authorId="0" shapeId="0">
      <text>
        <t>Lease-equivalent kd
Source: LULU FY2025 10-K: lease liabilities &amp; no funded debt
https://www.sec.gov/Archives/edgar/data/1397187/000139718726000020/lulu-20260201.htm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Equity weight = market cap ÷ (market cap.
Source: WACC tab: capital structure</t>
      </text>
    </comment>
    <comment ref="B35" authorId="0" shapeId="0">
      <text>
        <t>Debt weight = lease liabilities ÷ (market cap.
Source: LULU FY2025 10-K: operating lease liabilities
https://www.sec.gov/Archives/edgar/data/1397187/000139718726000020/lulu-20260201.htm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rev guide
Source: LULU Q2 FY2026 earnings release
https://corporate.lululemon.com/newsroom/press-releases/2026/09-03-2026-210528733</t>
      </text>
    </comment>
    <comment ref="B5" authorId="0" shapeId="0">
      <text>
        <t>2.3% FY27–30 growth matches StockAnalysis Revenue Growth Forecast.
Source: StockAnalysis: LULU 3Y revenue forecast
https://stockanalysis.com/stocks/lulu/statistics/</t>
      </text>
    </comment>
    <comment ref="B6" authorId="0" shapeId="0">
      <text>
        <t>Q2 FY26 run-rate OM
Source: Q2 FY2026 release: 18.8% OM minus 560bps tariffs
https://corporate.lululemon.com/newsroom/press-releases/2026/09-03-2026-210528733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OM recovery
Source: FY2025 10-K: Operating margin 19.9% (one hit)
https://www.sec.gov/Archives/edgar/data/1397187/000139718726000020/lulu-20260201.htm</t>
      </text>
    </comment>
    <comment ref="B9" authorId="0" shapeId="0">
      <text>
        <t>Links to WACC tab
Source: WACC tab: CAPM build</t>
      </text>
    </comment>
    <comment ref="B10" authorId="0" shapeId="0">
      <text>
        <t>FRED GDPC1 ~2.1%
Source: FRED: Real GDP (GDPC1)
https://fred.stlouisfed.org/series/GDPC1</t>
      </text>
    </comment>
    <comment ref="B11" authorId="0" shapeId="0">
      <text>
        <t>Q2 FY26 guide ~30%
Source: Q2 FY2026 outlook: tax rate ≈ 30%
https://corporate.lululemon.com/newsroom/press-releases/2026/09-03-2026-210528733</t>
      </text>
    </comment>
    <comment ref="B12" authorId="0" shapeId="0">
      <text>
        <t>FY25 D&amp;A / sales
Source: LULU CF statement (10-K)
https://www.sec.gov/Archives/edgar/data/1397187/000139718726000020/lulu-20260201.htm</t>
      </text>
    </comment>
    <comment ref="B13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14" authorId="0" shapeId="0">
      <text>
        <t>Flat vs FY25
Source: LULU FY2025 10-K: Gross profit &amp; COGS
https://www.sec.gov/Archives/edgar/data/1397187/000139718726000020/lulu-20260201.htm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7" authorId="0" shapeId="0">
      <text>
        <t>−1 day / yr
Source: LULU FY2025 10-K: inventory &amp; markdown outlook
https://www.sec.gov/Archives/edgar/data/1397187/000139718726000020/lulu-20260201.htm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prepaids % rev
Source: LULU FY2025 10-K: other current assets (residual)
https://www.sec.gov/Archives/edgar/data/1397187/000139718726000020/lulu-20260201.htm</t>
      </text>
    </comment>
    <comment ref="B20" authorId="0" shapeId="0">
      <text>
        <t>FY25 accrued % rev
Source: LULU FY2025 10-K: Accrued liabilities and other
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Not % of consolidated revenue; EBIT as %.
Source: FY2025 10-K: company-operated stores net revenue
https://www.sec.gov/Archives/edgar/data/1397187/000139718726000020/lulu-20260201.htm</t>
      </text>
    </comment>
    <comment ref="B10" authorId="0" shapeId="0">
      <text>
        <t>Not % of consolidated revenue; EBIT as %.
Source: FY2025 10-K: e-commerce net revenue
https://www.sec.gov/Archives/edgar/data/1397187/000139718726000020/lulu-20260201.htm</t>
      </text>
    </comment>
    <comment ref="B11" authorId="0" shapeId="0">
      <text>
        <t>Not % of consolidated revenue; EBIT as %.
Source: FY2025 10-K: other channels (residual)
https://www.sec.gov/Archives/edgar/data/1397187/000139718726000020/lulu-20260201.htm</t>
      </text>
    </comment>
    <comment ref="B12" authorId="0" shapeId="0">
      <text>
        <t>30% statutory marginal rate. t_operating transitions here over.
Source: Q2 FY2026 outlook: tax rate ≈ 30%
https://corporate.lululemon.com/newsroom/press-releases/2026/09-03-2026-210528733</t>
      </text>
    </comment>
    <comment ref="B13" authorId="0" shapeId="0">
      <text>
        <t>Not % of revenue; amortization period (years) if.
Source: NOPAT Bridge: capitalization convention</t>
      </text>
    </comment>
    <comment ref="B16" authorId="0" shapeId="0">
      <text>
        <t>FY25: reported operating income from 10-K. Forecast: Scenarios.
Source: LULU FY2025 10-K: Income from operations
https://www.sec.gov/Archives/edgar/data/1397187/000139718726000020/lulu-20260201.htm</t>
      </text>
    </comment>
    <comment ref="B17" authorId="0" shapeId="0">
      <text>
        <t>Add back intangible amortization / impairments. FY25 =.
Source: LULU FY2025 10-K: amortization of intangible assets
https://www.sec.gov/Archives/edgar/data/1397187/000139718726000020/lulu-20260201.htm</t>
      </text>
    </comment>
    <comment ref="B18" authorId="0" shapeId="0">
      <text>
        <t>Add back restructuring (severance, store closures). LULU FY25:.
Source: LULU FY2025 10-K: restructuring charges
https://www.sec.gov/Archives/edgar/data/1397187/000139718726000020/lulu-20260201.htm</t>
      </text>
    </comment>
    <comment ref="B19" authorId="0" shapeId="0">
      <text>
        <t>Strip one-off legal / M&amp;A advisory fees. LULU.
Source: LULU FY2025 10-K: SG&amp;A one-offs
https://www.sec.gov/Archives/edgar/data/1397187/000139718726000020/lulu-20260201.htm</t>
      </text>
    </comment>
    <comment ref="B20" authorId="0" shapeId="0">
      <text>
        <t>Not % of revenue; SBC add-back flag. Set.
Source: LULU CF statement (10-K): stock-based compensation
https://www.sec.gov/Archives/edgar/data/1397187/000139718726000020/lulu-20260201.htm</t>
      </text>
    </comment>
    <comment ref="B21" authorId="0" shapeId="0">
      <text>
        <t>Reported EBIT plus all listed non-recurring add-backs above.
Source: NOPAT Bridge tab: Phase 1 subtotal</t>
      </text>
    </comment>
    <comment ref="B23" authorId="0" shapeId="0">
      <text>
        <t>Not % of revenue; implied lease interest ($1,028k.
Source: LULU FY2025 10-K: interest on lease liabilities (supplemental)
https://www.sec.gov/Archives/edgar/data/1397187/000139718726000020/lulu-20260201.htm</t>
      </text>
    </comment>
    <comment ref="B24" authorId="0" shapeId="0">
      <text>
        <t>Capitalize multi-year software/R&amp;D. LULU: immaterial separate R&amp;D line;.
Source: LULU FY2025 10-K: R&amp;D / software expense
https://www.sec.gov/Archives/edgar/data/1397187/000139718726000020/lulu-20260201.htm</t>
      </text>
    </comment>
    <comment ref="B25" authorId="0" shapeId="0">
      <text>
        <t>Amortization of prior capitalized intangibles. LULU: flows through.
Source: LULU FY2025 10-K: intangible amortization
https://www.sec.gov/Archives/edgar/data/1397187/000139718726000020/lulu-20260201.htm</t>
      </text>
    </comment>
    <comment ref="B26" authorId="0" shapeId="0">
      <text>
        <t>Reported EBIT plus lease interest and R&amp;D adjustments.
Source: NOPAT Bridge tab: Phase 2 subtotal</t>
      </text>
    </comment>
    <comment ref="B28" authorId="0" shapeId="0">
      <text>
        <t>Not % of revenue; store-channel revenue from Revenue.
Source: Revenue Drivers tab: store-channel revenue</t>
      </text>
    </comment>
    <comment ref="B29" authorId="0" shapeId="0">
      <text>
        <t>Not % of revenue; e-commerce revenue from Revenue.
Source: Revenue Drivers tab: e-commerce revenue</t>
      </text>
    </comment>
    <comment ref="B30" authorId="0" shapeId="0">
      <text>
        <t>Not % of revenue; wholesale/license/outlet revenue from Revenue.
Source: Revenue Drivers tab: other channels revenue</t>
      </text>
    </comment>
    <comment ref="B31" authorId="0" shapeId="0">
      <text>
        <t>Not % of consolidated revenue; store EBIT ÷.
Source: FY2025 10-K: company-operated stores net revenue
https://www.sec.gov/Archives/edgar/data/1397187/000139718726000020/lulu-20260201.htm</t>
      </text>
    </comment>
    <comment ref="B32" authorId="0" shapeId="0">
      <text>
        <t>Not % of consolidated revenue; e-commerce EBIT ÷.
Source: FY2025 10-K: e-commerce net revenue
https://www.sec.gov/Archives/edgar/data/1397187/000139718726000020/lulu-20260201.htm</t>
      </text>
    </comment>
    <comment ref="B33" authorId="0" shapeId="0">
      <text>
        <t>Not % of consolidated revenue; other-channel EBIT ÷.
Source: FY2025 10-K: other channels (residual)
https://www.sec.gov/Archives/edgar/data/1397187/000139718726000020/lulu-20260201.htm</t>
      </text>
    </comment>
    <comment ref="B34" authorId="0" shapeId="0">
      <text>
        <t>Sum of store, e-comm, and other channel EBIT lines.
Source: NOPAT Bridge tab: sector EBIT subtotal</t>
      </text>
    </comment>
    <comment ref="B35" authorId="0" shapeId="0">
      <text>
        <t>Channel-mix EBIT output line before tax normalization step.
Source: NOPAT Bridge tab: Phase 3 subtotal</t>
      </text>
    </comment>
    <comment ref="B36" authorId="0" shapeId="0">
      <text>
        <t>FY25: Phases 1–2 walk-through (SBC not added back;.
Source: Scenarios tab: base-case EBIT (forecast)</t>
      </text>
    </comment>
    <comment ref="B39" authorId="0" shapeId="0">
      <text>
        <t>Operating effective tax rate: (tax + interest shield).
Source: LULU FY2025 10-K: income tax &amp; interest expense
https://www.sec.gov/Archives/edgar/data/1397187/000139718726000020/lulu-20260201.htm</t>
      </text>
    </comment>
    <comment ref="B40" authorId="0" shapeId="0">
      <text>
        <t>Normalized EBIT × t_operating.
Source: NOPAT Bridge tab: unlevered tax expense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5" authorId="0" shapeId="0">
      <text>
        <t>Net revenue FY25 10-K. Source: https://www.sec.gov/Archives/edgar/data/1397187/000139718726000020/lulu-20260201.htm</t>
      </text>
    </comment>
    <comment ref="B6" authorId="0" shapeId="0">
      <text>
        <t>Minus 6.1% FY26 revenue per company guidance midpoint.
Source: LULU Q2 FY2026 earnings release Also: StockAnalysis: LULU 3Y revenue forecast
https://corporate.lululemon.com/newsroom/press-releases/2026/09-03-2026-210528733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4.5% of sales from FY25 D&amp;A over revenue.
Source: LULU CF statement (10-K)
https://www.sec.gov/Archives/edgar/data/1397187/000139718726000020/lulu-20260201.htm</t>
      </text>
    </comment>
    <comment ref="B17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19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0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1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2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3" authorId="0" shapeId="0">
      <text>
        <t>Not % of revenue; $ balance (not a.
Source: LULU FY2025 10-K: Inventories
https://www.sec.gov/Archives/edgar/data/1397187/000139718726000020/lulu-20260201.htm</t>
      </text>
    </comment>
    <comment ref="B24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5" authorId="0" shapeId="0">
      <text>
        <t>Implied ~3.0% of revenue (not a direct %.
Source: LULU FY2025 10-K: Accounts payable
https://www.sec.gov/Archives/edgar/data/1397187/000139718726000020/lulu-20260201.htm</t>
      </text>
    </comment>
    <comment ref="B26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Operating assets sum to 22.1% of FY25 sales.
Source: Scenarios tab: AR + inventory + prepaids</t>
      </text>
    </comment>
    <comment ref="B31" authorId="0" shapeId="0">
      <text>
        <t>Operating liabilities sum to 9.0% of FY25 sales.
Source: Scenarios tab: AP + accrued liabilities</t>
      </text>
    </comment>
    <comment ref="B32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3" authorId="0" shapeId="0">
      <text>
        <t>Year-over-year dollar change in net working capital schedule.
Source: Scenarios tab: NWC roll-forward (driver schedule)</t>
      </text>
    </comment>
    <comment ref="B43" authorId="0" shapeId="0">
      <text>
        <t>2.25% terminal g sits next to FRED GDPC1.
Source: FRED: Real GDP (GDPC1)
https://fred.stlouisfed.org/series/GDPC1</t>
      </text>
    </comment>
    <comment ref="B50" authorId="0" shapeId="0">
      <text>
        <t>Source: 10-K
https://www.sec.gov/Archives/edgar/data/1397187/000139718726000020/lulu-20260201.htm</t>
      </text>
    </comment>
    <comment ref="B51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5" authorId="0" shapeId="0">
      <text>
        <t>Source: 10-K
https://www.sec.gov/Archives/edgar/data/1397187/000139718726000020/lulu-20260201.htm</t>
      </text>
    </comment>
    <comment ref="B57" authorId="0" shapeId="0">
      <text>
        <t>Source: NASDAQ
https://www.nasdaq.com/market-activity/stocks/lulu</t>
      </text>
    </comment>
    <comment ref="B82" authorId="0" shapeId="0">
      <text>
        <t>Selected exit is Gordon TV / FY30 EBITDA..
Source: DCF: Gordon implied exit (TV / FY30 EBITDA)</t>
      </text>
    </comment>
    <comment ref="B89" authorId="0" shapeId="0">
      <text>
        <t>Gordon Growth
Source: Exit Multiple</t>
      </text>
    </comment>
    <comment ref="B90" authorId="0" shapeId="0">
      <text>
        <t>=E45
Source: =E83</t>
      </text>
    </comment>
    <comment ref="B91" authorId="0" shapeId="0">
      <text>
        <t>=E46
Source: =E82</t>
      </text>
    </comment>
    <comment ref="B93" authorId="0" shapeId="0">
      <text>
        <t>=E56
Source: =E86</t>
      </text>
    </comment>
    <comment ref="B94" authorId="0" shapeId="0">
      <text>
        <t>=IF(ABS(D91)&lt;=1.5,"PASS","REVIEW")
Source: =TEXT(D91,"0.0")&amp;"x spread vs Gordon-implied exit"</t>
      </text>
    </comment>
    <comment ref="B98" authorId="0" shapeId="0">
      <text>
        <t>Sensitivity grid; terminal g spans 1.5% to 3.0%.
Source: FRED: Real GDP (GDPC1)
https://fred.stlouisfed.org/series/GDPC1</t>
      </text>
    </comment>
    <comment ref="B99" authorId="0" shapeId="0">
      <text>
        <t>Source: Damodaran: Historical Implied ERP
https://www.stern.nyu.edu/~adamodar/New_Home_Page/datafile/histimpl.html</t>
      </text>
    </comment>
    <comment ref="C100" authorId="0" shapeId="0">
      <text>
        <t>WACC sensitivity −100 bps vs base.</t>
      </text>
    </comment>
    <comment ref="C101" authorId="0" shapeId="0">
      <text>
        <t>WACC sensitivity −50 bps vs base.</t>
      </text>
    </comment>
    <comment ref="C102" authorId="0" shapeId="0">
      <text>
        <t>WACC sensitivity +50 bps vs base.</t>
      </text>
    </comment>
    <comment ref="C103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Justification
Source: Source</t>
      </text>
    </comment>
    <comment ref="B19" authorId="0" shapeId="0">
      <text>
        <t>PitchBook Comps Set 04-Sep-2026. Multiple = daily EV.
Source: PitchBook Comps Set 04-Sep-2026</t>
      </text>
    </comment>
    <comment ref="B20" authorId="0" shapeId="0">
      <text>
        <t>PitchBook Comps Set 04-Sep-2026. Multiple = daily EV.
Source: PitchBook Comps Set 04-Sep-2026</t>
      </text>
    </comment>
    <comment ref="B21" authorId="0" shapeId="0">
      <text>
        <t>PitchBook Comps Set 04-Sep-2026. Multiple = daily EV.
Source: PitchBook Comps Set 04-Sep-2026</t>
      </text>
    </comment>
    <comment ref="B22" authorId="0" shapeId="0">
      <text>
        <t>PitchBook Comps Set 04-Sep-2026. Multiple = daily EV.
Source: PitchBook Comps Set 04-Sep-2026</t>
      </text>
    </comment>
    <comment ref="B23" authorId="0" shapeId="0">
      <text>
        <t>PitchBook Comps Set 04-Sep-2026. Multiple = daily EV.
Source: PitchBook Comps Set 04-Sep-2026</t>
      </text>
    </comment>
    <comment ref="B24" authorId="0" shapeId="0">
      <text>
        <t>PitchBook Comps Set 04-Sep-2026. Multiple = daily EV.
Source: PitchBook Comps Set 04-Sep-2026</t>
      </text>
    </comment>
    <comment ref="B25" authorId="0" shapeId="0">
      <text>
        <t>PitchBook Comps Set 04-Sep-2026. Multiple = daily EV.
Source: PitchBook Comps Set 04-Sep-2026</t>
      </text>
    </comment>
    <comment ref="B26" authorId="0" shapeId="0">
      <text>
        <t>PitchBook Comps Set 04-Sep-2026. Multiple = daily EV.
Source: PitchBook Comps Set 04-Sep-2026</t>
      </text>
    </comment>
    <comment ref="B27" authorId="0" shapeId="0">
      <text>
        <t>PitchBook Comps Set 04-Sep-2026. Multiple = daily EV.
Source: PitchBook Comps Set 04-Sep-2026</t>
      </text>
    </comment>
    <comment ref="B28" authorId="0" shapeId="0">
      <text>
        <t>PitchBook Comps Set 04-Sep-2026. Multiple = daily EV.
Source: PitchBook Comps Set 04-Sep-2026</t>
      </text>
    </comment>
    <comment ref="B29" authorId="0" shapeId="0">
      <text>
        <t>PitchBook Comps Set 04-Sep-2026. Multiple = daily EV.
Source: PitchBook Comps Set 04-Sep-2026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set, UAA out. Current tape —.
Source: Derived: Excel AVERAGE of the seven core prints</t>
      </text>
    </comment>
    <comment ref="B40" authorId="0" shapeId="0">
      <text>
        <t>Wider PitchBook tape. WSM/MOV/LZB are adjacent retail, not.
Source: Derived: Excel AVERAGE of every positive-EBITDA row</t>
      </text>
    </comment>
    <comment ref="B56" authorId="0" shapeId="0">
      <text>
        <t>Justification
Source: Source</t>
      </text>
    </comment>
    <comment ref="B57" authorId="0" shapeId="0">
      <text>
        <t>Lo: 5.0x on FY2030E EBITDA ≈ LULU current.
Source: Lo: StockAnalysis: LULU EV/EBITDA Hi: StockAnalysis: DECK EV/EBITDA
https://stockanalysis.com/stocks/lulu/statistics/</t>
      </text>
    </comment>
    <comment ref="B58" authorId="0" shapeId="0">
      <text>
        <t>Selected exit is Gordon TV / FY30 EBITDA..
Source: DCF: Gordon implied exit (TV / FY30 EBITDA)</t>
      </text>
    </comment>
    <comment ref="B59" authorId="0" shapeId="0">
      <text>
        <t>Lo: 10x P/E low on FY2026E EPS; trough.
Source: Lo: StockAnalysis: LULU Forward P/E Hi: StockAnalysis: NKE Forward P/E
https://stockanalysis.com/stocks/lulu/statistics/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Yahoo Total Debt (mrq)</t>
        </is>
      </c>
      <c r="B17" s="187" t="n">
        <v>2140000</v>
      </c>
    </row>
    <row r="18" ht="28" customHeight="1">
      <c r="A18" s="16" t="inlineStr">
        <is>
          <t>Yahoo Market Cap (same page as beta L)</t>
        </is>
      </c>
      <c r="B18" s="187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 t="n">
        <v>0.045</v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 t="n">
        <v>0.5659999999999999</v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6.267883648875038</v>
      </c>
      <c r="D15" s="193" t="n">
        <v>6.267883648875038</v>
      </c>
      <c r="E15" s="193" t="n">
        <v>6.267883648875038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128.8324100108167</v>
      </c>
      <c r="D16" s="193" t="n">
        <v>128.8324100108167</v>
      </c>
      <c r="E16" s="193" t="n">
        <v>128.8324100108167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25.10521290169407</v>
      </c>
      <c r="D18" s="193" t="n">
        <v>25.10521290169407</v>
      </c>
      <c r="E18" s="193" t="n">
        <v>25.10521290169407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0.05080692810692991</v>
      </c>
      <c r="D19" s="32" t="n">
        <v>0.05080692810692991</v>
      </c>
      <c r="E19" s="32" t="n">
        <v>0.05080692810692991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0.05971412101669879</v>
      </c>
      <c r="D20" s="32" t="n">
        <v>0.05971412101669879</v>
      </c>
      <c r="E20" s="32" t="n">
        <v>0.05971412101669879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DCF!$B$5*(1+C4)</f>
        <v/>
      </c>
      <c r="D25" s="75">
        <f>DCF!$B$5*(1+D4)</f>
        <v/>
      </c>
      <c r="E25" s="75">
        <f>DCF!$B$5*(1+E4)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8456743*C25/DCF!$B$5</f>
        <v/>
      </c>
      <c r="D168" s="75">
        <f>8456743*D25/DCF!$B$5</f>
        <v/>
      </c>
      <c r="E168" s="75">
        <f>8456743*E25/DCF!$B$5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8456743*C26/DCF!$B$5</f>
        <v/>
      </c>
      <c r="D169" s="75">
        <f>8456743*D26/DCF!$B$5</f>
        <v/>
      </c>
      <c r="E169" s="75">
        <f>8456743*E26/DCF!$B$5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8456743*C27/DCF!$B$5</f>
        <v/>
      </c>
      <c r="D170" s="75">
        <f>8456743*D27/DCF!$B$5</f>
        <v/>
      </c>
      <c r="E170" s="75">
        <f>8456743*E27/DCF!$B$5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8456743*C28/DCF!$B$5</f>
        <v/>
      </c>
      <c r="D171" s="75">
        <f>8456743*D28/DCF!$B$5</f>
        <v/>
      </c>
      <c r="E171" s="75">
        <f>8456743*E28/DCF!$B$5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8456743*C29/DCF!$B$5</f>
        <v/>
      </c>
      <c r="D172" s="75">
        <f>8456743*D29/DCF!$B$5</f>
        <v/>
      </c>
      <c r="E172" s="75">
        <f>8456743*E29/DCF!$B$5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3494903*C25/DCF!$B$5</f>
        <v/>
      </c>
      <c r="D173" s="75">
        <f>3494903*D25/DCF!$B$5</f>
        <v/>
      </c>
      <c r="E173" s="75">
        <f>3494903*E25/DCF!$B$5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3494903*C26/DCF!$B$5</f>
        <v/>
      </c>
      <c r="D174" s="75">
        <f>3494903*D26/DCF!$B$5</f>
        <v/>
      </c>
      <c r="E174" s="75">
        <f>3494903*E26/DCF!$B$5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3494903*C27/DCF!$B$5</f>
        <v/>
      </c>
      <c r="D175" s="75">
        <f>3494903*D27/DCF!$B$5</f>
        <v/>
      </c>
      <c r="E175" s="75">
        <f>3494903*E27/DCF!$B$5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3494903*C28/DCF!$B$5</f>
        <v/>
      </c>
      <c r="D176" s="75">
        <f>3494903*D28/DCF!$B$5</f>
        <v/>
      </c>
      <c r="E176" s="75">
        <f>3494903*E28/DCF!$B$5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3494903*C29/DCF!$B$5</f>
        <v/>
      </c>
      <c r="D177" s="75">
        <f>3494903*D29/DCF!$B$5</f>
        <v/>
      </c>
      <c r="E177" s="75">
        <f>3494903*E29/DCF!$B$5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4961840*C25/DCF!$B$5</f>
        <v/>
      </c>
      <c r="D178" s="75">
        <f>4961840*D25/DCF!$B$5</f>
        <v/>
      </c>
      <c r="E178" s="75">
        <f>4961840*E25/DCF!$B$5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4961840*C26/DCF!$B$5</f>
        <v/>
      </c>
      <c r="D179" s="75">
        <f>4961840*D26/DCF!$B$5</f>
        <v/>
      </c>
      <c r="E179" s="75">
        <f>4961840*E26/DCF!$B$5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4961840*C27/DCF!$B$5</f>
        <v/>
      </c>
      <c r="D180" s="75">
        <f>4961840*D27/DCF!$B$5</f>
        <v/>
      </c>
      <c r="E180" s="75">
        <f>4961840*E27/DCF!$B$5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4961840*C28/DCF!$B$5</f>
        <v/>
      </c>
      <c r="D181" s="75">
        <f>4961840*D28/DCF!$B$5</f>
        <v/>
      </c>
      <c r="E181" s="75">
        <f>4961840*E28/DCF!$B$5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4961840*C29/DCF!$B$5</f>
        <v/>
      </c>
      <c r="D182" s="75">
        <f>4961840*D29/DCF!$B$5</f>
        <v/>
      </c>
      <c r="E182" s="75">
        <f>4961840*E29/DCF!$B$5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119068-C21/100</f>
        <v/>
      </c>
      <c r="D183" s="75">
        <f>119068-D21/100</f>
        <v/>
      </c>
      <c r="E183" s="75">
        <f>119068-ROUND(E22*E153,0)/100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C183-C21/108</f>
        <v/>
      </c>
      <c r="D184" s="75">
        <f>D183-D21/108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C184-C21/115</f>
        <v/>
      </c>
      <c r="D185" s="75">
        <f>D184-D21/115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C185-C21/122</f>
        <v/>
      </c>
      <c r="D186" s="75">
        <f>D185-D21/122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C186-C21/130</f>
        <v/>
      </c>
      <c r="D187" s="75">
        <f>D186-D21/130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Scenarios!D25/DCF!$B$5*62203*$B$7</f>
        <v/>
      </c>
      <c r="D20" s="75">
        <f>Scenarios!D26/DCF!$B$5*62203*$B$7</f>
        <v/>
      </c>
      <c r="E20" s="75">
        <f>Scenarios!D27/DCF!$B$5*62203*$B$7</f>
        <v/>
      </c>
      <c r="F20" s="75">
        <f>Scenarios!D28/DCF!$B$5*62203*$B$7</f>
        <v/>
      </c>
      <c r="G20" s="75">
        <f>Scenarios!D29/DCF!$B$5*62203*$B$7</f>
        <v/>
      </c>
    </row>
    <row r="21" ht="28" customHeight="1">
      <c r="A21" s="68" t="inlineStr">
        <is>
          <t>Adjusted EBIT</t>
        </is>
      </c>
      <c r="B21" s="176" t="n"/>
      <c r="C21" s="130">
        <f>C16+C17+C18+C19+C20</f>
        <v/>
      </c>
      <c r="D21" s="130">
        <f>D16+D17+D18+D19+D20</f>
        <v/>
      </c>
      <c r="E21" s="130">
        <f>E16+E17+E18+E19+E20</f>
        <v/>
      </c>
      <c r="F21" s="130">
        <f>F16+F17+F18+F19+F20</f>
        <v/>
      </c>
      <c r="G21" s="130">
        <f>G16+G17+G18+G19+G20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1028*(Scenarios!D25/DCF!$B$5)</f>
        <v/>
      </c>
      <c r="D23" s="75">
        <f>1028*(Scenarios!D26/DCF!$B$5)</f>
        <v/>
      </c>
      <c r="E23" s="75">
        <f>1028*(Scenarios!D27/DCF!$B$5)</f>
        <v/>
      </c>
      <c r="F23" s="75">
        <f>1028*(Scenarios!D28/DCF!$B$5)</f>
        <v/>
      </c>
      <c r="G23" s="75">
        <f>1028*(Scenarios!D29/DCF!$B$5)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s="16" t="inlineStr">
        <is>
          <t>Net revenue</t>
        </is>
      </c>
      <c r="B5" s="187" t="n">
        <v>11102600</v>
      </c>
      <c r="C5" s="75">
        <f>B5*(1+Scenarios!$D$4)</f>
        <v/>
      </c>
      <c r="D5" s="75">
        <f>C5*(1+Scenarios!$D$5)</f>
        <v/>
      </c>
      <c r="E5" s="75">
        <f>D5*(1+Scenarios!$D$5)</f>
        <v/>
      </c>
      <c r="F5" s="75">
        <f>E5*(1+Scenarios!$D$5)</f>
        <v/>
      </c>
      <c r="G5" s="75">
        <f>F5*(1+Scenarios!$D$5)</f>
        <v/>
      </c>
    </row>
    <row r="6" ht="15" customHeight="1">
      <c r="A6" s="16" t="inlineStr">
        <is>
          <t>Revenue growth %</t>
        </is>
      </c>
      <c r="B6" s="176" t="n"/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C5*(1-C7)</f>
        <v/>
      </c>
      <c r="D8" s="75">
        <f>D5*(1-D7)</f>
        <v/>
      </c>
      <c r="E8" s="75">
        <f>E5*(1-E7)</f>
        <v/>
      </c>
      <c r="F8" s="75">
        <f>F5*(1-F7)</f>
        <v/>
      </c>
      <c r="G8" s="75">
        <f>G5*(1-G7)</f>
        <v/>
      </c>
    </row>
    <row r="9" ht="15" customHeight="1">
      <c r="A9" s="16" t="inlineStr">
        <is>
          <t>EBIT Margin %</t>
        </is>
      </c>
      <c r="B9" s="176" t="n"/>
      <c r="C9" s="32">
        <f>Scenarios!$D$6+(Scenarios!$D$8-Scenarios!$D$6)*0/4</f>
        <v/>
      </c>
      <c r="D9" s="32">
        <f>Scenarios!$D$6+(Scenarios!$D$8-Scenarios!$D$6)*1/4</f>
        <v/>
      </c>
      <c r="E9" s="32">
        <f>Scenarios!$D$6+(Scenarios!$D$8-Scenarios!$D$6)*2/4</f>
        <v/>
      </c>
      <c r="F9" s="32">
        <f>Scenarios!$D$6+(Scenarios!$D$8-Scenarios!$D$6)*3/4</f>
        <v/>
      </c>
      <c r="G9" s="32">
        <f>Scenarios!$D$6+(Scenarios!$D$8-Scenarios!$D$6)*4/4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Scenarios!$B$7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C5*C9</f>
        <v/>
      </c>
      <c r="D11" s="130">
        <f>D5*D9</f>
        <v/>
      </c>
      <c r="E11" s="130">
        <f>E5*E9</f>
        <v/>
      </c>
      <c r="F11" s="130">
        <f>F5*F9</f>
        <v/>
      </c>
      <c r="G11" s="130">
        <f>G5*G9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'NOPAT Bridge'!C41</f>
        <v/>
      </c>
      <c r="D14" s="130">
        <f>'NOPAT Bridge'!D41</f>
        <v/>
      </c>
      <c r="E14" s="130">
        <f>'NOPAT Bridge'!E41</f>
        <v/>
      </c>
      <c r="F14" s="130">
        <f>'NOPAT Bridge'!F41</f>
        <v/>
      </c>
      <c r="G14" s="130">
        <f>'NOPAT Bridge'!G41</f>
        <v/>
      </c>
    </row>
    <row r="15" ht="28" customHeight="1">
      <c r="A15" s="16" t="inlineStr">
        <is>
          <t>D&amp;A % of revenue</t>
        </is>
      </c>
      <c r="B15" s="176" t="n"/>
      <c r="C15" s="32">
        <f>C5*Scenarios!$D$12</f>
        <v/>
      </c>
      <c r="D15" s="32">
        <f>D5*Scenarios!$D$12</f>
        <v/>
      </c>
      <c r="E15" s="32">
        <f>E5*Scenarios!$D$12</f>
        <v/>
      </c>
      <c r="F15" s="32">
        <f>F5*Scenarios!$D$12</f>
        <v/>
      </c>
      <c r="G15" s="32">
        <f>G5*Scenarios!$D$12</f>
        <v/>
      </c>
    </row>
    <row r="16">
      <c r="A16" s="16" t="inlineStr">
        <is>
          <t>Plus: D&amp;A</t>
        </is>
      </c>
      <c r="B16" s="176" t="n"/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</row>
    <row r="17" ht="15" customHeight="1">
      <c r="A17" s="16" t="inlineStr">
        <is>
          <t>Capex % of revenue</t>
        </is>
      </c>
      <c r="B17" s="176" t="n"/>
      <c r="C17" s="32">
        <f>-C5*Scenarios!$D$13</f>
        <v/>
      </c>
      <c r="D17" s="32">
        <f>-D5*Scenarios!$D$13</f>
        <v/>
      </c>
      <c r="E17" s="32">
        <f>-E5*Scenarios!$D$13</f>
        <v/>
      </c>
      <c r="F17" s="32">
        <f>-F5*Scenarios!$D$13</f>
        <v/>
      </c>
      <c r="G17" s="32">
        <f>-G5*Scenarios!$D$13</f>
        <v/>
      </c>
    </row>
    <row r="18">
      <c r="A18" s="16" t="inlineStr">
        <is>
          <t>Less: Capex</t>
        </is>
      </c>
      <c r="B18" s="176" t="n"/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</row>
    <row r="19">
      <c r="A19" s="68" t="inlineStr">
        <is>
          <t>Working capital</t>
        </is>
      </c>
      <c r="B19" s="176" t="n"/>
      <c r="C19" s="176" t="n"/>
      <c r="D19" s="176" t="n"/>
      <c r="E19" s="176" t="n"/>
      <c r="F19" s="176" t="n"/>
      <c r="G19" s="176" t="n"/>
    </row>
    <row r="20" ht="15" customHeight="1">
      <c r="A20" s="16" t="inlineStr">
        <is>
          <t>DSO (days)</t>
        </is>
      </c>
      <c r="B20" s="193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</row>
    <row r="21" ht="15" customHeight="1">
      <c r="A21" s="16" t="inlineStr">
        <is>
          <t>Accounts receivable, net</t>
        </is>
      </c>
      <c r="B21" s="187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</row>
    <row r="22" ht="15" customHeight="1">
      <c r="A22" s="16" t="inlineStr">
        <is>
          <t>DIO (days)</t>
        </is>
      </c>
      <c r="B22" s="193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</row>
    <row r="23" ht="15" customHeight="1">
      <c r="A23" s="16" t="inlineStr">
        <is>
          <t>Inventories</t>
        </is>
      </c>
      <c r="B23" s="187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</row>
    <row r="24" ht="15" customHeight="1">
      <c r="A24" s="16" t="inlineStr">
        <is>
          <t>DPO (days)</t>
        </is>
      </c>
      <c r="B24" s="193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</row>
    <row r="25" ht="15" customHeight="1">
      <c r="A25" s="16" t="inlineStr">
        <is>
          <t>Accounts payable</t>
        </is>
      </c>
      <c r="B25" s="187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</row>
    <row r="26" ht="15" customHeight="1">
      <c r="A26" s="16" t="inlineStr">
        <is>
          <t>Prepaid expenses (% of revenue)</t>
        </is>
      </c>
      <c r="B26" s="32" t="n">
        <v>0.05080692810692991</v>
      </c>
      <c r="C26" s="32">
        <f>Scenarios!$B$19</f>
        <v/>
      </c>
      <c r="D26" s="32">
        <f>Scenarios!$B$19</f>
        <v/>
      </c>
      <c r="E26" s="32">
        <f>Scenarios!$B$19</f>
        <v/>
      </c>
      <c r="F26" s="32">
        <f>Scenarios!$B$19</f>
        <v/>
      </c>
      <c r="G26" s="32">
        <f>Scenarios!$B$19</f>
        <v/>
      </c>
    </row>
    <row r="27" ht="15" customHeight="1">
      <c r="A27" s="16" t="inlineStr">
        <is>
          <t>Prepaid expenses (other current assets)</t>
        </is>
      </c>
      <c r="B27" s="187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</row>
    <row r="28" ht="15" customHeight="1">
      <c r="A28" s="16" t="inlineStr">
        <is>
          <t>Accrued liabilities (% of revenue)</t>
        </is>
      </c>
      <c r="B28" s="32" t="n">
        <v>0.05971412101669879</v>
      </c>
      <c r="C28" s="32">
        <f>Scenarios!$B$20</f>
        <v/>
      </c>
      <c r="D28" s="32">
        <f>Scenarios!$B$20</f>
        <v/>
      </c>
      <c r="E28" s="32">
        <f>Scenarios!$B$20</f>
        <v/>
      </c>
      <c r="F28" s="32">
        <f>Scenarios!$B$20</f>
        <v/>
      </c>
      <c r="G28" s="32">
        <f>Scenarios!$B$20</f>
        <v/>
      </c>
    </row>
    <row r="29" ht="15" customHeight="1">
      <c r="A29" s="16" t="inlineStr">
        <is>
          <t>Accrued liabilities and other</t>
        </is>
      </c>
      <c r="B29" s="187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</row>
    <row r="30" ht="15" customHeight="1">
      <c r="A30" s="16" t="inlineStr">
        <is>
          <t>Current operating assets (AR + inv + prepaids)</t>
        </is>
      </c>
      <c r="B30" s="176" t="n"/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</row>
    <row r="31" ht="15" customHeight="1">
      <c r="A31" s="16" t="inlineStr">
        <is>
          <t>Current operating liabilities (AP + accruals)</t>
        </is>
      </c>
      <c r="B31" s="176" t="n"/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</row>
    <row r="32" ht="15" customHeight="1">
      <c r="A32" s="68" t="inlineStr">
        <is>
          <t>Net working capital</t>
        </is>
      </c>
      <c r="B32" s="197" t="n">
        <v>1461096</v>
      </c>
      <c r="C32" s="130">
        <f>Scenarios!D115</f>
        <v/>
      </c>
      <c r="D32" s="130">
        <f>Scenarios!D116</f>
        <v/>
      </c>
      <c r="E32" s="130">
        <f>Scenarios!D117</f>
        <v/>
      </c>
      <c r="F32" s="130">
        <f>Scenarios!D118</f>
        <v/>
      </c>
      <c r="G32" s="130">
        <f>Scenarios!D119</f>
        <v/>
      </c>
    </row>
    <row r="33" ht="15" customHeight="1">
      <c r="A33" s="68" t="inlineStr">
        <is>
          <t>Delta NWC (prior yr - current yr)</t>
        </is>
      </c>
      <c r="B33" s="176" t="n"/>
      <c r="C33" s="130">
        <f>Scenarios!D120</f>
        <v/>
      </c>
      <c r="D33" s="130">
        <f>Scenarios!D121</f>
        <v/>
      </c>
      <c r="E33" s="130">
        <f>Scenarios!D122</f>
        <v/>
      </c>
      <c r="F33" s="130">
        <f>Scenarios!D123</f>
        <v/>
      </c>
      <c r="G33" s="130">
        <f>Scenarios!D124</f>
        <v/>
      </c>
    </row>
    <row r="34">
      <c r="A34" s="26" t="n"/>
      <c r="B34" s="176" t="n"/>
      <c r="C34" s="176" t="n"/>
      <c r="D34" s="176" t="n"/>
      <c r="E34" s="176" t="n"/>
      <c r="F34" s="176" t="n"/>
      <c r="G34" s="176" t="n"/>
    </row>
    <row r="35">
      <c r="A35" s="68" t="inlineStr">
        <is>
          <t>Unlevered free cash flow</t>
        </is>
      </c>
      <c r="B35" s="176" t="n"/>
      <c r="C35" s="200">
        <f>Scenarios!D125</f>
        <v/>
      </c>
      <c r="D35" s="200">
        <f>Scenarios!D126</f>
        <v/>
      </c>
      <c r="E35" s="200">
        <f>Scenarios!D127</f>
        <v/>
      </c>
      <c r="F35" s="200">
        <f>Scenarios!D128</f>
        <v/>
      </c>
      <c r="G35" s="200">
        <f>Scenarios!D129</f>
        <v/>
      </c>
    </row>
    <row r="36">
      <c r="A36" s="16" t="inlineStr">
        <is>
          <t>Discount period (years)</t>
        </is>
      </c>
      <c r="B36" s="176" t="n"/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B37" s="176" t="n"/>
      <c r="C37" s="91">
        <f>1/(1+Scenarios!$B$9)^C36</f>
        <v/>
      </c>
      <c r="D37" s="91">
        <f>1/(1+Scenarios!$B$9)^D36</f>
        <v/>
      </c>
      <c r="E37" s="91">
        <f>1/(1+Scenarios!$B$9)^E36</f>
        <v/>
      </c>
      <c r="F37" s="91">
        <f>1/(1+Scenarios!$B$9)^F36</f>
        <v/>
      </c>
      <c r="G37" s="91">
        <f>1/(1+Scenarios!$B$9)^G36</f>
        <v/>
      </c>
    </row>
    <row r="38">
      <c r="A38" s="68" t="inlineStr">
        <is>
          <t>PV of unlevered FCF</t>
        </is>
      </c>
      <c r="B38" s="176" t="n"/>
      <c r="C38" s="130">
        <f>C35*C37</f>
        <v/>
      </c>
      <c r="D38" s="130">
        <f>D35*D37</f>
        <v/>
      </c>
      <c r="E38" s="130">
        <f>E35*E37</f>
        <v/>
      </c>
      <c r="F38" s="130">
        <f>F35*F37</f>
        <v/>
      </c>
      <c r="G38" s="130">
        <f>G35*G37</f>
        <v/>
      </c>
    </row>
    <row r="39">
      <c r="A39" s="176" t="n"/>
      <c r="B39" s="176" t="n"/>
      <c r="C39" s="176" t="n"/>
      <c r="D39" s="176" t="n"/>
      <c r="E39" s="176" t="n"/>
      <c r="F39" s="176" t="n"/>
      <c r="G39" s="176" t="n"/>
    </row>
    <row r="40">
      <c r="A40" s="61" t="inlineStr">
        <is>
          <t>Scenarios tie-out</t>
        </is>
      </c>
      <c r="B40" s="176" t="n"/>
      <c r="C40" s="176" t="n"/>
      <c r="D40" s="176" t="n"/>
      <c r="E40" s="176" t="n"/>
      <c r="F40" s="176" t="n"/>
      <c r="G40" s="176" t="n"/>
    </row>
    <row r="41">
      <c r="A41" s="201" t="inlineStr">
        <is>
          <t>VALUATION - GORDON GROWTH (PERPETUITY) METHOD</t>
        </is>
      </c>
      <c r="B41" s="176" t="n"/>
      <c r="C41" s="176" t="n"/>
      <c r="D41" s="176" t="n"/>
      <c r="E41" s="176" t="n"/>
      <c r="F41" s="176" t="n"/>
      <c r="G41" s="176" t="n"/>
    </row>
    <row r="42">
      <c r="A42" s="68" t="inlineStr">
        <is>
          <t>Sum of PV of explicit FCF (FY26-FY30)</t>
        </is>
      </c>
      <c r="B42" s="75">
        <f>SUM(C38:G38)</f>
        <v/>
      </c>
      <c r="C42" s="176" t="n"/>
      <c r="D42" s="176" t="n"/>
      <c r="E42" s="176" t="n"/>
      <c r="F42" s="176" t="n"/>
      <c r="G42" s="176" t="n"/>
    </row>
    <row r="43" ht="28" customHeight="1">
      <c r="A43" s="16" t="inlineStr">
        <is>
          <t>Terminal growth rate (g)</t>
        </is>
      </c>
      <c r="B43" s="32">
        <f>Scenarios!$B$10</f>
        <v/>
      </c>
      <c r="C43" s="176" t="n"/>
      <c r="D43" s="176" t="n"/>
      <c r="E43" s="176" t="n"/>
      <c r="F43" s="176" t="n"/>
      <c r="G43" s="176" t="n"/>
    </row>
    <row r="44">
      <c r="A44" s="68" t="inlineStr">
        <is>
          <t>Terminal EBITDA (FY2030E EBIT + D&amp;A)</t>
        </is>
      </c>
      <c r="B44" s="130">
        <f>G11+G16</f>
        <v/>
      </c>
      <c r="C44" s="176" t="n"/>
      <c r="D44" s="176" t="n"/>
      <c r="E44" s="176" t="n"/>
      <c r="F44" s="176" t="n"/>
      <c r="G44" s="176" t="n"/>
    </row>
    <row r="45">
      <c r="A45" s="16" t="inlineStr">
        <is>
          <t>Terminal value = FCF5x(1+g)/(WACC-g)</t>
        </is>
      </c>
      <c r="B45" s="75">
        <f>G35*(1+Scenarios!$B$10)/(Scenarios!$B$9-Scenarios!$B$10)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Implied exit EV/EBITDA = Gordon TV / FY30 EBITDA</t>
        </is>
      </c>
      <c r="B46" s="94">
        <f>B45/B44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(UFCF30 / EBITDA30) x (1+g) / (WACC-g)</t>
        </is>
      </c>
      <c r="B47" s="94">
        <f>G35/B44*(1+Scenarios!$B$10)/(Scenarios!$B$9-Scenarios!$B$10)</f>
        <v/>
      </c>
      <c r="C47" s="176" t="n"/>
      <c r="D47" s="176" t="n"/>
      <c r="E47" s="176" t="n"/>
      <c r="F47" s="176" t="n"/>
      <c r="G47" s="176" t="n"/>
    </row>
    <row r="48">
      <c r="A48" s="68" t="inlineStr">
        <is>
          <t>PV of terminal value</t>
        </is>
      </c>
      <c r="B48" s="75">
        <f>B45/(1+Scenarios!$B$9)^G36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Enterprise value</t>
        </is>
      </c>
      <c r="B49" s="130">
        <f>B42+B48</f>
        <v/>
      </c>
      <c r="C49" s="176" t="n"/>
      <c r="D49" s="176" t="n"/>
      <c r="E49" s="176" t="n"/>
      <c r="F49" s="176" t="n"/>
      <c r="G49" s="176" t="n"/>
    </row>
    <row r="50" ht="28" customHeight="1">
      <c r="A50" s="16" t="inlineStr">
        <is>
          <t>Plus: cash &amp; equivalents (FY2025)</t>
        </is>
      </c>
      <c r="B50" s="187" t="n">
        <v>1807202</v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Less: total debt &amp; operating leases</t>
        </is>
      </c>
      <c r="B51" s="187" t="n">
        <v>-1798441</v>
      </c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  <row r="53">
      <c r="A53" s="26" t="inlineStr">
        <is>
          <t>Enterprise value bridge</t>
        </is>
      </c>
      <c r="B53" s="176" t="n"/>
      <c r="C53" s="176" t="n"/>
      <c r="D53" s="176" t="n"/>
      <c r="E53" s="176" t="n"/>
      <c r="F53" s="176" t="n"/>
      <c r="G53" s="176" t="n"/>
    </row>
    <row r="54">
      <c r="A54" s="68" t="inlineStr">
        <is>
          <t>Equity value</t>
        </is>
      </c>
      <c r="B54" s="130">
        <f>B49+B50+B51</f>
        <v/>
      </c>
      <c r="C54" s="176" t="n"/>
      <c r="D54" s="176" t="n"/>
      <c r="E54" s="176" t="n"/>
      <c r="F54" s="176" t="n"/>
      <c r="G54" s="176" t="n"/>
    </row>
    <row r="55" ht="28" customHeight="1">
      <c r="A55" s="16" t="inlineStr">
        <is>
          <t>Shares outstanding (000)</t>
        </is>
      </c>
      <c r="B55" s="187" t="n">
        <v>111380</v>
      </c>
      <c r="C55" s="176" t="n"/>
      <c r="D55" s="176" t="n"/>
      <c r="E55" s="176" t="n"/>
      <c r="F55" s="176" t="n"/>
      <c r="G55" s="176" t="n"/>
    </row>
    <row r="56">
      <c r="A56" s="68" t="inlineStr">
        <is>
          <t>Implied value per share</t>
        </is>
      </c>
      <c r="B56" s="139">
        <f>B54/B55</f>
        <v/>
      </c>
      <c r="C56" s="176" t="n"/>
      <c r="D56" s="176" t="n"/>
      <c r="E56" s="176" t="n"/>
      <c r="F56" s="176" t="n"/>
      <c r="G56" s="176" t="n"/>
    </row>
    <row r="57" ht="28" customHeight="1">
      <c r="A57" s="16" t="inlineStr">
        <is>
          <t>Current share price</t>
        </is>
      </c>
      <c r="B57" s="186" t="n">
        <v>100</v>
      </c>
      <c r="C57" s="176" t="n"/>
      <c r="D57" s="176" t="n"/>
      <c r="E57" s="176" t="n"/>
      <c r="F57" s="176" t="n"/>
      <c r="G57" s="176" t="n"/>
    </row>
    <row r="58">
      <c r="A58" s="68" t="inlineStr">
        <is>
          <t>Implied upside / (downside)</t>
        </is>
      </c>
      <c r="B58" s="32">
        <f>B56/B57-1</f>
        <v/>
      </c>
      <c r="C58" s="176" t="n"/>
      <c r="D58" s="176" t="n"/>
      <c r="E58" s="176" t="n"/>
      <c r="F58" s="176" t="n"/>
      <c r="G58" s="176" t="n"/>
    </row>
    <row r="59">
      <c r="A59" s="16" t="inlineStr">
        <is>
          <t>% of EV from terminal value</t>
        </is>
      </c>
      <c r="B59" s="32">
        <f>B48/B49</f>
        <v/>
      </c>
      <c r="C59" s="176" t="n"/>
      <c r="D59" s="176" t="n"/>
      <c r="E59" s="176" t="n"/>
      <c r="F59" s="176" t="n"/>
      <c r="G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201" t="inlineStr">
        <is>
          <t>SHARE REPURCHASE &amp; EPS ACCRETION SCHEDULE</t>
        </is>
      </c>
      <c r="B62" s="184" t="n"/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</row>
    <row r="65">
      <c r="A65" s="16" t="inlineStr">
        <is>
          <t>Annual repurchase budget ($000) - base case</t>
        </is>
      </c>
      <c r="B65" s="187" t="n">
        <v>500000</v>
      </c>
      <c r="C65" s="75">
        <f>$B$65</f>
        <v/>
      </c>
      <c r="D65" s="75">
        <f>$B$65</f>
        <v/>
      </c>
      <c r="E65" s="75">
        <f>$B$65</f>
        <v/>
      </c>
      <c r="F65" s="75">
        <f>$B$65</f>
        <v/>
      </c>
      <c r="G65" s="75">
        <f>$B$65</f>
        <v/>
      </c>
    </row>
    <row r="66">
      <c r="A66" s="16" t="inlineStr">
        <is>
          <t>Cost of equity - share-price growth rate</t>
        </is>
      </c>
      <c r="B66" s="32" t="n">
        <v>0.105</v>
      </c>
      <c r="C66" s="32">
        <f>$B$66</f>
        <v/>
      </c>
      <c r="D66" s="32">
        <f>$B$66</f>
        <v/>
      </c>
      <c r="E66" s="32">
        <f>$B$66</f>
        <v/>
      </c>
      <c r="F66" s="32">
        <f>$B$66</f>
        <v/>
      </c>
      <c r="G66" s="32">
        <f>$B$66</f>
        <v/>
      </c>
    </row>
    <row r="67">
      <c r="A67" s="176" t="n"/>
      <c r="B67" s="176" t="n"/>
      <c r="C67" s="176" t="n"/>
      <c r="D67" s="176" t="n"/>
      <c r="E67" s="176" t="n"/>
      <c r="F67" s="176" t="n"/>
      <c r="G67" s="176" t="n"/>
    </row>
    <row r="68">
      <c r="A68" s="16" t="inlineStr">
        <is>
          <t>Unlevered free cash flow (from DCF above)</t>
        </is>
      </c>
      <c r="B68" s="176" t="n"/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B70" s="176" t="n"/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>
      <c r="A71" s="176" t="n"/>
      <c r="B71" s="176" t="n"/>
      <c r="C71" s="176" t="n"/>
      <c r="D71" s="176" t="n"/>
      <c r="E71" s="176" t="n"/>
      <c r="F71" s="176" t="n"/>
      <c r="G71" s="176" t="n"/>
    </row>
    <row r="72">
      <c r="A72" s="16" t="inlineStr">
        <is>
          <t>Projected share price ($)</t>
        </is>
      </c>
      <c r="B72" s="186" t="n">
        <v>100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187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68" t="inlineStr">
        <is>
          <t>Ending shares (000)</t>
        </is>
      </c>
      <c r="B75" s="197" t="n">
        <v>111380</v>
      </c>
      <c r="C75" s="130">
        <f>C74-C73</f>
        <v/>
      </c>
      <c r="D75" s="130">
        <f>D74-D73</f>
        <v/>
      </c>
      <c r="E75" s="130">
        <f>E74-E73</f>
        <v/>
      </c>
      <c r="F75" s="130">
        <f>F74-F73</f>
        <v/>
      </c>
      <c r="G75" s="130">
        <f>G74-G73</f>
        <v/>
      </c>
    </row>
    <row r="76">
      <c r="A76" s="176" t="n"/>
      <c r="B76" s="176" t="n"/>
      <c r="C76" s="176" t="n"/>
      <c r="D76" s="176" t="n"/>
      <c r="E76" s="176" t="n"/>
      <c r="F76" s="176" t="n"/>
      <c r="G76" s="176" t="n"/>
    </row>
    <row r="77">
      <c r="A77" s="16" t="inlineStr">
        <is>
          <t>Projected net income ($000)</t>
        </is>
      </c>
      <c r="B77" s="187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68" t="inlineStr">
        <is>
          <t>Accretive EPS ($/share) = Net income / ending shares</t>
        </is>
      </c>
      <c r="B78" s="202" t="n">
        <v>14.1783354282636</v>
      </c>
      <c r="C78" s="150">
        <f>C77/C75</f>
        <v/>
      </c>
      <c r="D78" s="150">
        <f>D77/D75</f>
        <v/>
      </c>
      <c r="E78" s="150">
        <f>E77/E75</f>
        <v/>
      </c>
      <c r="F78" s="150">
        <f>F77/F75</f>
        <v/>
      </c>
      <c r="G78" s="150">
        <f>G77/G75</f>
        <v/>
      </c>
    </row>
    <row r="79">
      <c r="A79" s="176" t="n"/>
      <c r="B79" s="176" t="n"/>
      <c r="C79" s="176" t="n"/>
      <c r="D79" s="176" t="n"/>
      <c r="E79" s="176" t="n"/>
      <c r="F79" s="176" t="n"/>
      <c r="G79" s="176" t="n"/>
    </row>
    <row r="80">
      <c r="A80" s="201" t="inlineStr">
        <is>
          <t>CROSS-CHECK - EXIT MULTIPLE METHOD</t>
        </is>
      </c>
      <c r="B80" s="176" t="n"/>
      <c r="C80" s="176" t="n"/>
      <c r="D80" s="176" t="n"/>
      <c r="E80" s="176" t="n"/>
      <c r="F80" s="176" t="n"/>
      <c r="G80" s="176" t="n"/>
    </row>
    <row r="81">
      <c r="A81" s="61" t="n"/>
      <c r="B81" s="176" t="n"/>
      <c r="C81" s="176" t="n"/>
      <c r="D81" s="176" t="n"/>
      <c r="E81" s="176" t="n"/>
      <c r="F81" s="176" t="n"/>
      <c r="G81" s="176" t="n"/>
    </row>
    <row r="82" ht="28" customHeight="1">
      <c r="A82" s="16" t="inlineStr">
        <is>
          <t>Selected exit EV/EBITDA (Gordon implied)</t>
        </is>
      </c>
      <c r="B82" s="94">
        <f>B46</f>
        <v/>
      </c>
      <c r="C82" s="176" t="n"/>
      <c r="D82" s="176" t="n"/>
      <c r="E82" s="176" t="n"/>
      <c r="F82" s="176" t="n"/>
      <c r="G82" s="176" t="n"/>
    </row>
    <row r="83">
      <c r="A83" s="16" t="inlineStr">
        <is>
          <t>Terminal value = Terminal EBITDA x exit multiple</t>
        </is>
      </c>
      <c r="B83" s="75">
        <f>B44*B82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PV of terminal value</t>
        </is>
      </c>
      <c r="B84" s="75">
        <f>B83/(1+Scenarios!$B$9)^G36</f>
        <v/>
      </c>
      <c r="C84" s="176" t="n"/>
      <c r="D84" s="176" t="n"/>
      <c r="E84" s="176" t="n"/>
      <c r="F84" s="176" t="n"/>
      <c r="G84" s="176" t="n"/>
    </row>
    <row r="85">
      <c r="A85" s="68" t="inlineStr">
        <is>
          <t>Enterprise value (exit method)</t>
        </is>
      </c>
      <c r="B85" s="130">
        <f>B42+B84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Implied value per share (exit method)</t>
        </is>
      </c>
      <c r="B86" s="99">
        <f>(B85+B50+B51)/B55</f>
        <v/>
      </c>
      <c r="C86" s="176" t="n"/>
      <c r="D86" s="176" t="n"/>
      <c r="E86" s="176" t="n"/>
      <c r="F86" s="176" t="n"/>
      <c r="G86" s="176" t="n"/>
    </row>
    <row r="87">
      <c r="A87" s="176" t="n"/>
      <c r="B87" s="176" t="n"/>
      <c r="C87" s="176" t="n"/>
      <c r="D87" s="176" t="n"/>
      <c r="E87" s="176" t="n"/>
      <c r="F87" s="176" t="n"/>
      <c r="G87" s="176" t="n"/>
    </row>
    <row r="88">
      <c r="A88" s="201" t="inlineStr">
        <is>
          <t>TERMINAL VALUE RECONCILIATION (GORDON vs EXIT MULTIPLE)</t>
        </is>
      </c>
      <c r="B88" s="176" t="n"/>
      <c r="C88" s="176" t="n"/>
      <c r="D88" s="176" t="n"/>
      <c r="E88" s="176" t="n"/>
      <c r="F88" s="176" t="n"/>
      <c r="G88" s="176" t="n"/>
    </row>
    <row r="89">
      <c r="A89" s="103" t="inlineStr"/>
      <c r="B89" s="176" t="inlineStr">
        <is>
          <t>Variance</t>
        </is>
      </c>
      <c r="C89" s="176" t="n"/>
      <c r="D89" s="176" t="n"/>
      <c r="E89" s="176" t="n"/>
      <c r="F89" s="176" t="n"/>
      <c r="G89" s="176" t="n"/>
    </row>
    <row r="90">
      <c r="A90" s="68" t="inlineStr">
        <is>
          <t>Terminal value ($)</t>
        </is>
      </c>
      <c r="B90" s="176">
        <f>B90-C90</f>
        <v/>
      </c>
      <c r="C90" s="176" t="n"/>
      <c r="D90" s="176" t="n"/>
      <c r="E90" s="176" t="n"/>
      <c r="F90" s="176" t="n"/>
      <c r="G90" s="176" t="n"/>
    </row>
    <row r="91">
      <c r="A91" s="68" t="inlineStr">
        <is>
          <t>Exit EV/EBITDA (implied vs selected)</t>
        </is>
      </c>
      <c r="B91" s="176">
        <f>B91-C91</f>
        <v/>
      </c>
      <c r="C91" s="176" t="n"/>
      <c r="D91" s="176" t="n"/>
      <c r="E91" s="176" t="n"/>
      <c r="F91" s="176" t="n"/>
      <c r="G91" s="176" t="n"/>
    </row>
    <row r="92">
      <c r="A92" s="16" t="inlineStr">
        <is>
          <t>Terminal value variance (%)</t>
        </is>
      </c>
      <c r="B92" s="176">
        <f>(B90-C90)/B90</f>
        <v/>
      </c>
      <c r="C92" s="176" t="n"/>
      <c r="D92" s="176" t="n"/>
      <c r="E92" s="176" t="n"/>
      <c r="F92" s="176" t="n"/>
      <c r="G92" s="176" t="n"/>
    </row>
    <row r="93">
      <c r="A93" s="68" t="inlineStr">
        <is>
          <t>Implied share price</t>
        </is>
      </c>
      <c r="B93" s="176">
        <f>B93-C93</f>
        <v/>
      </c>
      <c r="C93" s="176" t="n"/>
      <c r="D93" s="176" t="n"/>
      <c r="E93" s="176" t="n"/>
      <c r="F93" s="176" t="n"/>
      <c r="G93" s="176" t="n"/>
    </row>
    <row r="94">
      <c r="A94" s="68" t="n"/>
      <c r="B94" s="176" t="inlineStr">
        <is>
          <t>Selected exit is the Gordon identity, so spread should be 0</t>
        </is>
      </c>
      <c r="C94" s="176" t="n"/>
      <c r="D94" s="176" t="n"/>
      <c r="E94" s="176" t="n"/>
      <c r="F94" s="176" t="n"/>
      <c r="G94" s="176" t="n"/>
    </row>
    <row r="95">
      <c r="A95" s="176" t="n"/>
      <c r="B95" s="176" t="n"/>
      <c r="C95" s="176" t="n"/>
      <c r="D95" s="176" t="n"/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201" t="inlineStr">
        <is>
          <t>SENSITIVITY - IMPLIED SHARE PRICE (WACC vs terminal growth)</t>
        </is>
      </c>
      <c r="B97" s="184" t="n"/>
      <c r="C97" s="184" t="n"/>
      <c r="D97" s="184" t="n"/>
      <c r="E97" s="184" t="n"/>
      <c r="F97" s="176" t="n"/>
      <c r="G97" s="176" t="n"/>
    </row>
    <row r="98" ht="28" customHeight="1">
      <c r="A98" s="203" t="inlineStr">
        <is>
          <t>WACC \ g</t>
        </is>
      </c>
      <c r="B98" s="176" t="n"/>
      <c r="C98" s="204" t="n">
        <v>0.015</v>
      </c>
      <c r="D98" s="204" t="n">
        <v>0.02</v>
      </c>
      <c r="E98" s="204" t="n">
        <v>0.0225</v>
      </c>
      <c r="F98" s="204" t="n">
        <v>0.025</v>
      </c>
      <c r="G98" s="204" t="n">
        <v>0.03</v>
      </c>
    </row>
    <row r="99" ht="28" customHeight="1">
      <c r="A99" s="205" t="n">
        <v>0.095</v>
      </c>
      <c r="B99" s="176" t="n"/>
      <c r="C99" s="121">
        <f>(NPV(0.095,C35:G35)+(G35*(1+0.015)/(0.095-0.015))/(1+0.095)^5+B50+B51)/B55</f>
        <v/>
      </c>
      <c r="D99" s="121">
        <f>(NPV(0.095,C35:G35)+(G35*(1+0.02)/(0.095-0.02))/(1+0.095)^5+B50+B51)/B55</f>
        <v/>
      </c>
      <c r="E99" s="121">
        <f>(NPV(0.095,C35:G35)+(G35*(1+0.0225)/(0.095-0.0225))/(1+0.095)^5+B50+B51)/B55</f>
        <v/>
      </c>
      <c r="F99" s="121">
        <f>(NPV(0.095,C35:G35)+(G35*(1+0.025)/(0.095-0.025))/(1+0.095)^5+B50+B51)/B55</f>
        <v/>
      </c>
      <c r="G99" s="121">
        <f>(NPV(0.095,C35:G35)+(G35*(1+0.03)/(0.095-0.03))/(1+0.095)^5+B50+B51)/B55</f>
        <v/>
      </c>
    </row>
    <row r="100" ht="28" customHeight="1">
      <c r="A100" s="205" t="n">
        <v>0.1</v>
      </c>
      <c r="B100" s="176" t="n"/>
      <c r="C100" s="121">
        <f>(NPV(0.1,C35:G35)+(G35*(1+0.015)/(0.1-0.015))/(1+0.1)^5+B50+B51)/B55</f>
        <v/>
      </c>
      <c r="D100" s="121">
        <f>(NPV(0.1,C35:G35)+(G35*(1+0.02)/(0.1-0.02))/(1+0.1)^5+B50+B51)/B55</f>
        <v/>
      </c>
      <c r="E100" s="121">
        <f>(NPV(0.1,C35:G35)+(G35*(1+0.0225)/(0.1-0.0225))/(1+0.1)^5+B50+B51)/B55</f>
        <v/>
      </c>
      <c r="F100" s="121">
        <f>(NPV(0.1,C35:G35)+(G35*(1+0.025)/(0.1-0.025))/(1+0.1)^5+B50+B51)/B55</f>
        <v/>
      </c>
      <c r="G100" s="121">
        <f>(NPV(0.1,C35:G35)+(G35*(1+0.03)/(0.1-0.03))/(1+0.1)^5+B50+B51)/B55</f>
        <v/>
      </c>
    </row>
    <row r="101" ht="28" customHeight="1">
      <c r="A101" s="205" t="n">
        <v>0.105</v>
      </c>
      <c r="B101" s="176" t="n"/>
      <c r="C101" s="121">
        <f>(NPV(0.105,C35:G35)+(G35*(1+0.015)/(0.105-0.015))/(1+0.105)^5+B50+B51)/B55</f>
        <v/>
      </c>
      <c r="D101" s="121">
        <f>(NPV(0.105,C35:G35)+(G35*(1+0.02)/(0.105-0.02))/(1+0.105)^5+B50+B51)/B55</f>
        <v/>
      </c>
      <c r="E101" s="121">
        <f>(NPV(0.105,C35:G35)+(G35*(1+0.0225)/(0.105-0.0225))/(1+0.105)^5+B50+B51)/B55</f>
        <v/>
      </c>
      <c r="F101" s="121">
        <f>(NPV(0.105,C35:G35)+(G35*(1+0.025)/(0.105-0.025))/(1+0.105)^5+B50+B51)/B55</f>
        <v/>
      </c>
      <c r="G101" s="121">
        <f>(NPV(0.105,C35:G35)+(G35*(1+0.03)/(0.105-0.03))/(1+0.105)^5+B50+B51)/B55</f>
        <v/>
      </c>
    </row>
    <row r="102" ht="28" customHeight="1">
      <c r="A102" s="205" t="n">
        <v>0.11</v>
      </c>
      <c r="B102" s="176" t="n"/>
      <c r="C102" s="121">
        <f>(NPV(0.11,C35:G35)+(G35*(1+0.015)/(0.11-0.015))/(1+0.11)^5+B50+B51)/B55</f>
        <v/>
      </c>
      <c r="D102" s="121">
        <f>(NPV(0.11,C35:G35)+(G35*(1+0.02)/(0.11-0.02))/(1+0.11)^5+B50+B51)/B55</f>
        <v/>
      </c>
      <c r="E102" s="121">
        <f>(NPV(0.11,C35:G35)+(G35*(1+0.0225)/(0.11-0.0225))/(1+0.11)^5+B50+B51)/B55</f>
        <v/>
      </c>
      <c r="F102" s="121">
        <f>(NPV(0.11,C35:G35)+(G35*(1+0.025)/(0.11-0.025))/(1+0.11)^5+B50+B51)/B55</f>
        <v/>
      </c>
      <c r="G102" s="121">
        <f>(NPV(0.11,C35:G35)+(G35*(1+0.03)/(0.11-0.03))/(1+0.11)^5+B50+B51)/B55</f>
        <v/>
      </c>
    </row>
    <row r="103" ht="28" customHeight="1">
      <c r="A103" s="205" t="n">
        <v>0.115</v>
      </c>
      <c r="B103" s="176" t="n"/>
      <c r="C103" s="121">
        <f>(NPV(0.115,C35:G35)+(G35*(1+0.015)/(0.115-0.015))/(1+0.115)^5+B50+B51)/B55</f>
        <v/>
      </c>
      <c r="D103" s="121">
        <f>(NPV(0.115,C35:G35)+(G35*(1+0.02)/(0.115-0.02))/(1+0.115)^5+B50+B51)/B55</f>
        <v/>
      </c>
      <c r="E103" s="121">
        <f>(NPV(0.115,C35:G35)+(G35*(1+0.0225)/(0.115-0.0225))/(1+0.115)^5+B50+B51)/B55</f>
        <v/>
      </c>
      <c r="F103" s="121">
        <f>(NPV(0.115,C35:G35)+(G35*(1+0.025)/(0.115-0.025))/(1+0.115)^5+B50+B51)/B55</f>
        <v/>
      </c>
      <c r="G103" s="121">
        <f>(NPV(0.115,C35:G35)+(G35*(1+0.03)/(0.115-0.03))/(1+0.115)^5+B50+B51)/B55</f>
        <v/>
      </c>
    </row>
    <row r="104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DCF!B11+496228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DCF!B44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DCF!B46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8" customWidth="1" min="3" max="3"/>
    <col width="12" customWidth="1" min="4" max="4"/>
    <col width="2" customWidth="1" min="5" max="5"/>
    <col width="8" customWidth="1" min="6" max="6"/>
    <col width="28" customWidth="1" min="7" max="7"/>
    <col width="10" customWidth="1" min="8" max="8"/>
  </cols>
  <sheetData>
    <row r="1">
      <c r="A1" s="210" t="inlineStr">
        <is>
          <t>scratch — dont touch</t>
        </is>
      </c>
      <c r="B1" s="176" t="n"/>
      <c r="C1" s="176" t="n"/>
      <c r="D1" s="176" t="n"/>
      <c r="E1" s="176" t="n"/>
      <c r="F1" s="176" t="n"/>
      <c r="G1" s="176" t="n"/>
      <c r="H1" s="176" t="n"/>
    </row>
    <row r="2">
      <c r="A2" s="176" t="n"/>
      <c r="B2" s="176" t="n"/>
      <c r="C2" s="176" t="n"/>
      <c r="D2" s="176" t="n"/>
      <c r="E2" s="176" t="n"/>
      <c r="F2" s="176" t="n"/>
      <c r="G2" s="176" t="n"/>
      <c r="H2" s="176" t="n"/>
    </row>
    <row r="3">
      <c r="A3" s="211" t="inlineStr">
        <is>
          <t>10-K dump (FY25 MD&amp;A)</t>
        </is>
      </c>
      <c r="B3" s="176" t="n"/>
      <c r="C3" s="176" t="n"/>
      <c r="D3" s="176" t="n"/>
      <c r="E3" s="176" t="n"/>
      <c r="F3" s="176" t="n"/>
      <c r="G3" s="176" t="n"/>
      <c r="H3" s="176" t="n"/>
    </row>
    <row r="4" ht="72" customHeight="1">
      <c r="A4" s="212" t="inlineStr">
        <is>
          <t>MD&amp;A — FY2025: Net revenue increased 7% to $11.1 billion. Comparable sales increased 1% on a constant dollar basis. Americas comparable sales decreased 3%; China Mainland increased 20%; Rest of World increased 9%. Gross profit as a percent of net revenue was 59.2% compared to 58.3% last year. We ended the year with 811 company-operated stores globally. Looking ahead, we expect net revenue to decrease 5% to 7% in Q2 FY2026 vs prior year...</t>
        </is>
      </c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</row>
    <row r="6">
      <c r="A6" s="176" t="n"/>
      <c r="B6" s="176" t="n"/>
      <c r="C6" s="176" t="n"/>
      <c r="D6" s="176" t="n"/>
      <c r="E6" s="176" t="n"/>
      <c r="F6" s="176" t="n"/>
      <c r="G6" s="176" t="n"/>
      <c r="H6" s="176" t="n"/>
    </row>
    <row r="7">
      <c r="A7" s="176" t="n"/>
      <c r="B7" s="176" t="n"/>
      <c r="C7" s="176" t="n"/>
      <c r="D7" s="176" t="n"/>
      <c r="E7" s="176" t="n"/>
      <c r="F7" s="176" t="n"/>
      <c r="G7" s="176" t="n"/>
      <c r="H7" s="176" t="n"/>
    </row>
    <row r="8">
      <c r="A8" s="176" t="n"/>
      <c r="B8" s="176" t="n"/>
      <c r="C8" s="176" t="n"/>
      <c r="D8" s="211" t="inlineStr">
        <is>
          <t>EPS paste from release</t>
        </is>
      </c>
      <c r="E8" s="176" t="n"/>
      <c r="F8" s="176" t="n"/>
      <c r="G8" s="176" t="n"/>
      <c r="H8" s="176" t="n"/>
    </row>
    <row r="9">
      <c r="A9" s="176" t="n"/>
      <c r="B9" s="176" t="n"/>
      <c r="C9" s="176" t="n"/>
      <c r="D9" s="213" t="inlineStr">
        <is>
          <t>Q2 FY25</t>
        </is>
      </c>
      <c r="E9" s="176" t="n"/>
      <c r="F9" s="213" t="inlineStr">
        <is>
          <t>2.92</t>
        </is>
      </c>
      <c r="G9" s="176" t="n"/>
      <c r="H9" s="213" t="inlineStr">
        <is>
          <t>$</t>
        </is>
      </c>
    </row>
    <row r="10">
      <c r="A10" s="176" t="n"/>
      <c r="B10" s="176" t="n"/>
      <c r="C10" s="176" t="n"/>
      <c r="D10" s="213" t="inlineStr">
        <is>
          <t>Q3 FY25</t>
        </is>
      </c>
      <c r="E10" s="176" t="n"/>
      <c r="F10" s="213" t="inlineStr">
        <is>
          <t>2.87</t>
        </is>
      </c>
      <c r="G10" s="176" t="n"/>
      <c r="H10" s="213" t="inlineStr"/>
    </row>
    <row r="11">
      <c r="A11" s="176" t="n"/>
      <c r="B11" s="176" t="n"/>
      <c r="C11" s="176" t="n"/>
      <c r="D11" s="213" t="inlineStr">
        <is>
          <t>Q4 FY25</t>
        </is>
      </c>
      <c r="E11" s="176" t="n"/>
      <c r="F11" s="213" t="inlineStr">
        <is>
          <t>5.99</t>
        </is>
      </c>
      <c r="G11" s="176" t="n"/>
      <c r="H11" s="213" t="inlineStr">
        <is>
          <t xml:space="preserve">  </t>
        </is>
      </c>
    </row>
    <row r="12">
      <c r="A12" s="176" t="n"/>
      <c r="B12" s="176" t="n"/>
      <c r="C12" s="176" t="n"/>
      <c r="D12" s="213" t="inlineStr">
        <is>
          <t>FY25</t>
        </is>
      </c>
      <c r="E12" s="176" t="n"/>
      <c r="F12" s="213" t="inlineStr">
        <is>
          <t>14.64</t>
        </is>
      </c>
      <c r="G12" s="176" t="n"/>
      <c r="H12" s="213" t="inlineStr">
        <is>
          <t xml:space="preserve"> diluted</t>
        </is>
      </c>
    </row>
    <row r="13">
      <c r="A13" s="176" t="n"/>
      <c r="B13" s="176" t="n"/>
      <c r="C13" s="176" t="n"/>
      <c r="D13" s="213" t="inlineStr">
        <is>
          <t>FY26 guide</t>
        </is>
      </c>
      <c r="E13" s="176" t="n"/>
      <c r="F13" s="213" t="inlineStr">
        <is>
          <t>~$14.50</t>
        </is>
      </c>
      <c r="G13" s="176" t="n"/>
      <c r="H13" s="213" t="inlineStr">
        <is>
          <t>??? check slide 8</t>
        </is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176" t="n"/>
      <c r="B15" s="176" t="n"/>
      <c r="C15" s="176" t="n"/>
      <c r="D15" s="176" t="n"/>
      <c r="E15" s="176" t="n"/>
      <c r="F15" s="176" t="n"/>
      <c r="G15" s="176" t="n"/>
      <c r="H15" s="176" t="n"/>
    </row>
    <row r="16">
      <c r="A16" s="176" t="n"/>
      <c r="B16" s="176" t="n"/>
      <c r="C16" s="176" t="n"/>
      <c r="D16" s="176" t="n"/>
      <c r="E16" s="176" t="n"/>
      <c r="F16" s="176" t="n"/>
      <c r="G16" s="176" t="n"/>
      <c r="H16" s="176" t="n"/>
    </row>
    <row r="17">
      <c r="A17" s="176" t="n"/>
      <c r="B17" s="176" t="n"/>
      <c r="C17" s="176" t="n"/>
      <c r="D17" s="176" t="n"/>
      <c r="E17" s="176" t="n"/>
      <c r="F17" s="176" t="n"/>
      <c r="G17" s="176" t="n"/>
      <c r="H17" s="176" t="n"/>
    </row>
    <row r="18">
      <c r="A18" s="211" t="inlineStr">
        <is>
          <t>wacc sanity</t>
        </is>
      </c>
      <c r="B18" s="176" t="n"/>
      <c r="C18" s="176" t="n"/>
      <c r="D18" s="176" t="n"/>
      <c r="E18" s="176" t="n"/>
      <c r="F18" s="176" t="n"/>
      <c r="G18" s="176" t="n"/>
      <c r="H18" s="176" t="n"/>
    </row>
    <row r="19" ht="14" customHeight="1">
      <c r="A19" s="213" t="inlineStr">
        <is>
          <t>rf</t>
        </is>
      </c>
      <c r="B19" s="176" t="n"/>
      <c r="C19" s="213" t="inlineStr">
        <is>
          <t>4.8%</t>
        </is>
      </c>
      <c r="D19" s="176" t="n"/>
      <c r="E19" s="213" t="inlineStr">
        <is>
          <t>FRED DGS10 9/9/26</t>
        </is>
      </c>
      <c r="F19" s="176" t="n"/>
      <c r="G19" s="176" t="n"/>
      <c r="H19" s="176" t="n"/>
    </row>
    <row r="20" ht="19" customHeight="1">
      <c r="A20" s="213" t="inlineStr">
        <is>
          <t>ERP</t>
        </is>
      </c>
      <c r="B20" s="176" t="n"/>
      <c r="C20" s="213" t="inlineStr">
        <is>
          <t>5.5%</t>
        </is>
      </c>
      <c r="D20" s="176" t="n"/>
      <c r="E20" s="213" t="inlineStr">
        <is>
          <t>Damodaran Jan-26 + 177bps</t>
        </is>
      </c>
      <c r="F20" s="176" t="n"/>
      <c r="G20" s="176" t="n"/>
      <c r="H20" s="176" t="n"/>
    </row>
    <row r="21" ht="14" customHeight="1">
      <c r="A21" s="213" t="inlineStr">
        <is>
          <t>beta</t>
        </is>
      </c>
      <c r="B21" s="176" t="n"/>
      <c r="C21" s="213" t="inlineStr">
        <is>
          <t>1.35</t>
        </is>
      </c>
      <c r="D21" s="176" t="n"/>
      <c r="E21" s="213" t="inlineStr">
        <is>
          <t>Yahoo 5Y mo — relever w/ lease D/E</t>
        </is>
      </c>
      <c r="F21" s="176" t="n"/>
      <c r="G21" s="176" t="n"/>
      <c r="H21" s="176" t="n"/>
    </row>
    <row r="22" ht="19" customHeight="1">
      <c r="A22" s="213" t="inlineStr">
        <is>
          <t>WACC?</t>
        </is>
      </c>
      <c r="B22" s="176" t="n"/>
      <c r="C22" s="213" t="inlineStr">
        <is>
          <t>8.1%</t>
        </is>
      </c>
      <c r="D22" s="176" t="n"/>
      <c r="E22" s="213" t="inlineStr">
        <is>
          <t>back of envelope — tie to WACC tab</t>
        </is>
      </c>
      <c r="F22" s="176" t="n"/>
      <c r="G22" s="214" t="inlineStr">
        <is>
          <t>todo: fix capex fade note on Scenarios (typo: 'fades donw')</t>
        </is>
      </c>
      <c r="H22" s="17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2026-09-10T04:40:23Z</ns2:modified>
  <ns0:revision>1</ns0:revision>
</ns0:coreProperties>
</file>
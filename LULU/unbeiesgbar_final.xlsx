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Line item — FY25 10-K. Source: https://www.sec.gov/Archives/edgar/data/1397187/000139718726000020/lulu-20260201.htm</t>
      </text>
    </comment>
    <comment ref="E5" authorId="0" shapeId="0">
      <text>
        <t>Net revenue FY25 10-K. Source: https://www.sec.gov/Archives/edgar/data/1397187/000139718726000020/lulu-20260201.htm</t>
      </text>
    </comment>
    <comment ref="E8" authorId="0" shapeId="0">
      <text>
        <t>COGS FY25 10-K. Source: https://www.sec.gov/Archives/edgar/data/1397187/000139718726000020/lulu-20260201.htm</t>
      </text>
    </comment>
    <comment ref="E11" authorId="0" shapeId="0">
      <text>
        <t>EBIT incl. FY26 refund FY25 10-K. Source: https://www.sec.gov/Archives/edgar/data/1397187/000139718726000020/lulu-20260201.htm</t>
      </text>
    </comment>
    <comment ref="E12" authorId="0" shapeId="0">
      <text>
        <t>Reported EBIT margin FY25 10-K. Source: https://www.sec.gov/Archives/edgar/data/1397187/000139718726000020/lulu-20260201.htm</t>
      </text>
    </comment>
    <comment ref="E100" authorId="0" shapeId="0">
      <text>
        <t>WACC sensitivity −100 bps vs base.</t>
      </text>
    </comment>
    <comment ref="E101" authorId="0" shapeId="0">
      <text>
        <t>WACC sensitivity −50 bps vs base.</t>
      </text>
    </comment>
    <comment ref="E102" authorId="0" shapeId="0">
      <text>
        <t>WACC sensitivity +50 bps vs base.</t>
      </text>
    </comment>
    <comment ref="E103" authorId="0" shapeId="0">
      <text>
        <t>WACC sensitivity +100 bps vs base.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Peer EV/EBITDA from PitchBook.</t>
      </text>
    </comment>
    <comment ref="D56" authorId="0" shapeId="0">
      <text>
        <t>Football-field range from comp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15" customHeight="1">
      <c r="B17" s="10" t="n"/>
    </row>
    <row r="18"/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7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67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7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7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7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8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7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9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7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67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67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7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68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8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7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8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7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I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  <c r="I3" s="170" t="inlineStr">
        <is>
          <t>spot check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7" t="inlineStr">
        <is>
          <t>LULU Q2 FY2026 earnings release</t>
        </is>
      </c>
      <c r="E4" s="129" t="n">
        <v>-0.09</v>
      </c>
      <c r="F4" s="171" t="n">
        <v>-0.061</v>
      </c>
      <c r="G4" s="129" t="n">
        <v>-0.04</v>
      </c>
      <c r="I4" s="172">
        <f>F25*F4</f>
        <v/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7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7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7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7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7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7" t="inlineStr">
        <is>
          <t>FRED: Real GDP (GDPC1)</t>
        </is>
      </c>
      <c r="E10" s="129" t="n">
        <v>0.015</v>
      </c>
      <c r="F10" s="171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7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7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67" t="inlineStr">
        <is>
          <t>LULU 10-K: 2026 capex guide $725–745M Also: Q2 FY2026 outlook: $10.350B–$10.500B sales</t>
        </is>
      </c>
      <c r="E13" s="129" t="n">
        <v>0.07000000000000001</v>
      </c>
      <c r="F13" s="171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7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67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7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7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67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7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7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8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67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67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68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8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67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67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68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8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67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67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6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7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6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7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7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67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67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8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7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7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7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7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7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7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7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7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7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7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7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7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7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7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8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7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7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7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7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8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7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7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7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7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7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all listed non-recurring add-backs above.</t>
        </is>
      </c>
      <c r="C21" s="168" t="inlineStr">
        <is>
          <t>Sum of reported EBIT and add-backs above.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7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7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7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Reported EBIT plus lease interest and R&amp;D adjustments.</t>
        </is>
      </c>
      <c r="C26" s="168" t="inlineStr">
        <is>
          <t>Sum after lease and R&amp;D adjustments above.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7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7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7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67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67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67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store, e-comm, and other channel EBIT lines.</t>
        </is>
      </c>
      <c r="C34" s="168" t="inlineStr">
        <is>
          <t>Sum of channel EBIT lines above.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line before tax normalization step.</t>
        </is>
      </c>
      <c r="C35" s="168" t="inlineStr">
        <is>
          <t>Sum of channel EBIT lines above.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68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7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8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8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Minus 6.1% FY26 revenue per company guidance midpoint.</t>
        </is>
      </c>
      <c r="C6" s="167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FY25 gross margin held flat in forecast.</t>
        </is>
      </c>
      <c r="C7" s="167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clean OM from Q2 run-rate ex tariff.</t>
        </is>
      </c>
      <c r="C9" s="167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134.5M tariff refund in FY26 only.</t>
        </is>
      </c>
      <c r="C10" s="167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of sales from FY25 D&amp;A over revenue.</t>
        </is>
      </c>
      <c r="C15" s="167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5.5% model rate; FY26 7% capex guide fades down.</t>
        </is>
      </c>
      <c r="C17" s="167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NWC schedule nets to 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6.3 days DSO held flat vs FY25 actual.</t>
        </is>
      </c>
      <c r="C20" s="167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AR 1.7% of sales from FY25 balance sheet.</t>
        </is>
      </c>
      <c r="C21" s="167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128.8 day DIO anchor; minus 1 day per year.</t>
        </is>
      </c>
      <c r="C22" s="167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Inventory dollar balance driven by DIO times COGS.</t>
        </is>
      </c>
      <c r="C23" s="167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25.1 days DPO held flat vs FY25 actual.</t>
        </is>
      </c>
      <c r="C24" s="167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AP 3.0% of sales from FY25 payables balance.</t>
        </is>
      </c>
      <c r="C25" s="167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from FY25 other current assets.</t>
        </is>
      </c>
      <c r="C26" s="167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from FY25 other current assets.</t>
        </is>
      </c>
      <c r="C27" s="167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from FY25 accrued liabilities balance.</t>
        </is>
      </c>
      <c r="C28" s="167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from FY25 accrued liabilities balance.</t>
        </is>
      </c>
      <c r="C29" s="167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Operating assets sum to 22.1% of FY25 sales.</t>
        </is>
      </c>
      <c r="C30" s="167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Operating liabilities sum to 9.0% of FY25 sales.</t>
        </is>
      </c>
      <c r="C31" s="167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Net working capital equals 13.2% of FY25 sales.</t>
        </is>
      </c>
      <c r="C32" s="167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Year-over-year dollar change in net working capital schedule.</t>
        </is>
      </c>
      <c r="C33" s="167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anchored to FRED GDPC1 macro series.</t>
        </is>
      </c>
      <c r="C43" s="167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7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7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7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7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Gordon terminal value divided by FY30 EBITDA multiple.</t>
        </is>
      </c>
      <c r="C82" s="167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Sensitivity grid; terminal g spans 1.5% to 3.0%.</t>
        </is>
      </c>
      <c r="C98" s="167" t="inlineStr">
        <is>
          <t>FRED: Real GDP (GDPC1)</t>
        </is>
      </c>
      <c r="E98" s="151" t="n">
        <v>0.015</v>
      </c>
      <c r="F98" s="151" t="n">
        <v>0.02</v>
      </c>
      <c r="G98" s="151" t="n">
        <v>0.0225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7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7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7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7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7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7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8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8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8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8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8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8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8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8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8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8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8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7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7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7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68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7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7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7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67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73" t="inlineStr">
        <is>
          <t>Quick checks (not in model)</t>
        </is>
      </c>
    </row>
    <row r="2"/>
    <row r="3">
      <c r="A3" s="174" t="inlineStr">
        <is>
          <t>Mkt cap ($k)</t>
        </is>
      </c>
      <c r="B3" s="175">
        <f>WACC!D10</f>
        <v/>
      </c>
    </row>
    <row r="4">
      <c r="A4" s="174" t="inlineStr">
        <is>
          <t>FY26 rev growth check</t>
        </is>
      </c>
      <c r="B4" s="175">
        <f>Scenarios!F4</f>
        <v/>
      </c>
    </row>
    <row r="5">
      <c r="A5" s="174" t="inlineStr">
        <is>
          <t>Terminal g</t>
        </is>
      </c>
      <c r="B5" s="175">
        <f>Scenarios!F10</f>
        <v/>
      </c>
    </row>
    <row r="6">
      <c r="A6" s="174" t="inlineStr">
        <is>
          <t>Implied px (DCF)</t>
        </is>
      </c>
      <c r="B6" s="175">
        <f>DCF!D56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2026-09-10T03:51:29Z</dcterms:modified>
  <cp:lastModifiedBy>Microsoft Excel</cp:lastModifiedBy>
  <cp:revision>1</cp:revision>
</cp:coreProperties>
</file>
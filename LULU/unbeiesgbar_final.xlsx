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ACC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Revenue Drivers" sheetId="4" state="visible" r:id="rId4"/>
    <sheet xmlns:r="http://schemas.openxmlformats.org/officeDocument/2006/relationships" name="NOPAT Bridge" sheetId="5" state="visible" r:id="rId5"/>
    <sheet xmlns:r="http://schemas.openxmlformats.org/officeDocument/2006/relationships" name="DCF" sheetId="6" state="visible" r:id="rId6"/>
    <sheet xmlns:r="http://schemas.openxmlformats.org/officeDocument/2006/relationships" name="Comps" sheetId="7" state="visible" r:id="rId7"/>
    <sheet xmlns:r="http://schemas.openxmlformats.org/officeDocument/2006/relationships" name="Scratch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$#,##0.00"/>
    <numFmt numFmtId="166" formatCode="#,##0;(#,##0)"/>
    <numFmt numFmtId="167" formatCode="#,##0.0"/>
    <numFmt numFmtId="168" formatCode="0.000"/>
    <numFmt numFmtId="169" formatCode="0.0x"/>
    <numFmt numFmtId="170" formatCode="0.0"/>
  </numFmts>
  <fonts count="60">
    <font>
      <name val="Calibri"/>
      <family val="2"/>
      <color theme="1"/>
      <sz val="11"/>
      <scheme val="minor"/>
    </font>
    <font>
      <name val="Garamond"/>
      <b val="1"/>
      <color rgb="00FFFFFF"/>
      <sz val="13"/>
    </font>
    <font>
      <name val="Garamond"/>
      <b val="1"/>
      <color rgb="001F2A44"/>
      <sz val="20"/>
    </font>
    <font>
      <name val="Garamond"/>
      <b val="1"/>
      <color rgb="00C8102E"/>
      <sz val="13"/>
    </font>
    <font>
      <name val="Garamond"/>
      <b val="1"/>
      <color rgb="00006100"/>
      <sz val="14"/>
    </font>
    <font>
      <name val="Garamond"/>
      <b val="1"/>
      <color rgb="001F2A44"/>
      <sz val="12"/>
    </font>
    <font>
      <name val="Garamond"/>
      <b val="1"/>
      <color rgb="000000CC"/>
      <sz val="11"/>
    </font>
    <font>
      <name val="Garamond"/>
      <b val="1"/>
      <color rgb="00000000"/>
      <sz val="11"/>
    </font>
    <font>
      <name val="Garamond"/>
      <b val="1"/>
      <color rgb="00C00000"/>
      <sz val="11"/>
    </font>
    <font>
      <name val="Garamond"/>
      <color rgb="00000000"/>
      <sz val="10"/>
    </font>
    <font>
      <name val="Garamond"/>
      <color rgb="000000CC"/>
      <sz val="10"/>
    </font>
    <font>
      <name val="Garamond"/>
      <color rgb="000000CC"/>
      <sz val="10"/>
      <u val="single"/>
    </font>
    <font>
      <name val="Garamond"/>
      <i val="1"/>
      <color rgb="00000000"/>
      <sz val="9"/>
    </font>
    <font>
      <name val="Garamond"/>
      <b val="1"/>
      <color rgb="00FFFFFF"/>
      <sz val="12"/>
    </font>
    <font>
      <name val="Garamond"/>
      <b val="1"/>
      <color rgb="00C8102E"/>
      <sz val="9"/>
    </font>
    <font>
      <name val="Garamond"/>
      <b val="1"/>
      <color rgb="00C8102E"/>
      <sz val="10"/>
    </font>
    <font>
      <name val="Garamond"/>
      <color rgb="00C00000"/>
      <sz val="10"/>
    </font>
    <font>
      <name val="Garamond"/>
      <i val="1"/>
      <color rgb="00000000"/>
      <sz val="8"/>
    </font>
    <font>
      <name val="Garamond"/>
      <i val="1"/>
      <color rgb="000000CC"/>
      <sz val="9"/>
    </font>
    <font>
      <name val="Garamond"/>
      <i val="1"/>
      <color rgb="000000CC"/>
      <sz val="9"/>
      <u val="single"/>
    </font>
    <font>
      <name val="Garamond"/>
      <b val="1"/>
      <color rgb="001F2A44"/>
      <sz val="10"/>
    </font>
    <font>
      <name val="Garamond"/>
      <b val="1"/>
      <color rgb="00000000"/>
      <sz val="10"/>
    </font>
    <font>
      <name val="Garamond"/>
      <b val="1"/>
      <color rgb="00006100"/>
      <sz val="12"/>
    </font>
    <font>
      <name val="Garamond"/>
      <b val="1"/>
      <color rgb="00FFFFFF"/>
      <sz val="11"/>
    </font>
    <font>
      <name val="Garamond"/>
      <color rgb="00000000"/>
      <sz val="9"/>
    </font>
    <font>
      <name val="Garamond"/>
      <b val="1"/>
      <color rgb="001F2A44"/>
      <sz val="11"/>
    </font>
    <font>
      <name val="Garamond"/>
      <b val="1"/>
      <color rgb="00000000"/>
      <sz val="12"/>
    </font>
    <font>
      <name val="Garamond"/>
      <b val="1"/>
      <color rgb="00FFFFFF"/>
      <sz val="9"/>
    </font>
    <font>
      <name val="Garamond"/>
      <color rgb="000000CC"/>
      <sz val="9"/>
    </font>
    <font>
      <name val="Garamond"/>
      <color rgb="00C00000"/>
      <sz val="9"/>
    </font>
    <font>
      <name val="Garamond"/>
      <b val="1"/>
      <color rgb="00000000"/>
      <sz val="9"/>
    </font>
    <font>
      <name val="Garamond"/>
      <b val="1"/>
      <color rgb="000000CC"/>
      <sz val="9"/>
    </font>
    <font>
      <name val="Garamond"/>
      <b val="1"/>
      <color rgb="000000CC"/>
      <sz val="9"/>
      <u val="single"/>
    </font>
    <font>
      <name val="Garamond"/>
      <color rgb="000000CC"/>
      <sz val="9"/>
      <u val="single"/>
    </font>
    <font>
      <name val="Garamond"/>
      <b val="1"/>
      <color rgb="000000CC"/>
      <sz val="10"/>
    </font>
    <font>
      <name val="Garamond"/>
      <b val="1"/>
      <color rgb="000000CC"/>
      <sz val="10"/>
      <u val="single"/>
    </font>
    <font>
      <name val="Garamond"/>
      <b val="1"/>
      <color rgb="00FFFFFF"/>
      <sz val="10"/>
    </font>
    <font>
      <name val="Garamond"/>
      <b val="1"/>
      <color rgb="001F2A44"/>
      <sz val="9"/>
    </font>
    <font>
      <name val="Garamond"/>
      <b val="1"/>
      <color rgb="00C8102E"/>
      <sz val="8"/>
    </font>
    <font>
      <name val="Garamond"/>
      <color rgb="00000000"/>
      <sz val="8"/>
    </font>
    <font>
      <name val="Garamond"/>
      <color rgb="00C8102E"/>
      <sz val="8"/>
    </font>
    <font>
      <name val="Garamond"/>
      <i val="1"/>
      <color rgb="000000CC"/>
      <sz val="8"/>
    </font>
    <font>
      <name val="Garamond"/>
      <i val="1"/>
      <color rgb="000000CC"/>
      <sz val="8"/>
      <u val="single"/>
    </font>
    <font>
      <name val="Garamond"/>
      <i val="1"/>
      <color rgb="00F2F2F2"/>
      <sz val="9"/>
    </font>
    <font>
      <name val="Garamond"/>
      <i val="1"/>
      <color rgb="00F2F2F2"/>
      <sz val="7"/>
    </font>
    <font>
      <name val="Garamond"/>
      <b val="1"/>
      <color rgb="00000000"/>
      <sz val="8"/>
    </font>
    <font>
      <name val="Garamond"/>
      <b val="1"/>
      <color rgb="00006100"/>
      <sz val="9"/>
    </font>
    <font>
      <name val="Garamond"/>
      <b val="1"/>
      <color rgb="00006100"/>
      <sz val="13"/>
    </font>
    <font>
      <name val="Garamond"/>
      <b val="1"/>
      <color rgb="00006100"/>
      <sz val="11"/>
    </font>
    <font>
      <name val="Garamond"/>
      <b val="1"/>
      <color rgb="00C00000"/>
      <sz val="9"/>
    </font>
    <font>
      <name val="Garamond"/>
      <color rgb="00006100"/>
      <sz val="9"/>
    </font>
    <font>
      <name val="Garamond"/>
      <i val="1"/>
      <color rgb="00000000"/>
      <sz val="10"/>
    </font>
    <font>
      <name val="Garamond"/>
      <b val="1"/>
      <color rgb="000000CC"/>
      <sz val="11"/>
      <u val="single"/>
    </font>
    <font>
      <i val="1"/>
      <color rgb="000563C1"/>
      <sz val="9"/>
      <u val="single"/>
    </font>
    <font>
      <name val="Garamond"/>
      <color rgb="00006100"/>
      <sz val="10"/>
    </font>
    <font>
      <name val="Garamond"/>
      <i val="1"/>
      <color rgb="000000CC"/>
      <sz val="10"/>
    </font>
    <font>
      <name val="Garamond"/>
      <b val="1"/>
      <sz val="10"/>
    </font>
    <font>
      <name val="Garamond"/>
      <sz val="10"/>
    </font>
    <font>
      <name val="Garamond"/>
      <i val="1"/>
      <color rgb="00808080"/>
      <sz val="9"/>
    </font>
    <font>
      <name val="Garamond"/>
      <color rgb="00808080"/>
      <sz val="9"/>
    </font>
  </fonts>
  <fills count="8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2F2"/>
      </patternFill>
    </fill>
    <fill>
      <patternFill patternType="solid">
        <fgColor rgb="00C8102E"/>
      </patternFill>
    </fill>
    <fill>
      <patternFill patternType="solid">
        <fgColor rgb="00006100"/>
      </patternFill>
    </fill>
    <fill>
      <patternFill patternType="solid">
        <fgColor rgb="00D9E1F2"/>
      </patternFill>
    </fill>
    <fill>
      <patternFill patternType="solid">
        <fgColor rgb="00FFFF99"/>
      </patternFill>
    </fill>
  </fills>
  <borders count="3">
    <border>
      <left/>
      <right/>
      <top/>
      <bottom/>
      <diagonal/>
    </border>
    <border>
      <top style="thin">
        <color rgb="00BFBFBF"/>
      </top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7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0" fontId="12" fillId="0" borderId="0" pivotButton="0" quotePrefix="0" xfId="0"/>
    <xf numFmtId="0" fontId="13" fillId="2" borderId="0" pivotButton="0" quotePrefix="0" xfId="0"/>
    <xf numFmtId="0" fontId="0" fillId="2" borderId="0" pivotButton="0" quotePrefix="0" xfId="0"/>
    <xf numFmtId="0" fontId="15" fillId="0" borderId="0" pivotButton="0" quotePrefix="0" xfId="0"/>
    <xf numFmtId="0" fontId="14" fillId="0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 wrapText="1"/>
    </xf>
    <xf numFmtId="164" fontId="16" fillId="0" borderId="0" applyAlignment="1" pivotButton="0" quotePrefix="0" xfId="0">
      <alignment horizontal="right" vertical="center"/>
    </xf>
    <xf numFmtId="165" fontId="10" fillId="0" borderId="0" applyAlignment="1" pivotButton="0" quotePrefix="0" xfId="0">
      <alignment horizontal="right" vertical="center"/>
    </xf>
    <xf numFmtId="166" fontId="10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166" fontId="21" fillId="0" borderId="1" applyAlignment="1" pivotButton="0" quotePrefix="0" xfId="0">
      <alignment horizontal="right" vertical="center"/>
    </xf>
    <xf numFmtId="0" fontId="17" fillId="0" borderId="0" applyAlignment="1" pivotButton="0" quotePrefix="0" xfId="0">
      <alignment horizontal="left" vertical="center" indent="1"/>
    </xf>
    <xf numFmtId="2" fontId="10" fillId="0" borderId="0" applyAlignment="1" pivotButton="0" quotePrefix="0" xfId="0">
      <alignment horizontal="right" vertical="center"/>
    </xf>
    <xf numFmtId="2" fontId="9" fillId="0" borderId="0" applyAlignment="1" pivotButton="0" quotePrefix="0" xfId="0">
      <alignment horizontal="right" vertical="center"/>
    </xf>
    <xf numFmtId="2" fontId="21" fillId="0" borderId="1" applyAlignment="1" pivotButton="0" quotePrefix="0" xfId="0">
      <alignment horizontal="right" vertical="center"/>
    </xf>
    <xf numFmtId="164" fontId="21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164" fontId="9" fillId="0" borderId="0" applyAlignment="1" pivotButton="0" quotePrefix="0" xfId="0">
      <alignment horizontal="right" vertical="center"/>
    </xf>
    <xf numFmtId="164" fontId="22" fillId="3" borderId="1" applyAlignment="1" pivotButton="0" quotePrefix="0" xfId="0">
      <alignment horizontal="right" vertical="center"/>
    </xf>
    <xf numFmtId="0" fontId="23" fillId="4" borderId="0" applyAlignment="1" pivotButton="0" quotePrefix="0" xfId="0">
      <alignment horizontal="center" vertical="center" wrapText="1"/>
    </xf>
    <xf numFmtId="0" fontId="23" fillId="5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 wrapText="1"/>
    </xf>
    <xf numFmtId="166" fontId="16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top" wrapText="1"/>
    </xf>
    <xf numFmtId="2" fontId="16" fillId="0" borderId="0" applyAlignment="1" pivotButton="0" quotePrefix="0" xfId="0">
      <alignment horizontal="right" vertical="center"/>
    </xf>
    <xf numFmtId="1" fontId="16" fillId="0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 indent="1"/>
    </xf>
    <xf numFmtId="166" fontId="24" fillId="0" borderId="0" applyAlignment="1" pivotButton="0" quotePrefix="0" xfId="0">
      <alignment horizontal="right" vertical="center"/>
    </xf>
    <xf numFmtId="164" fontId="24" fillId="0" borderId="0" applyAlignment="1" pivotButton="0" quotePrefix="0" xfId="0">
      <alignment horizontal="right" vertical="center"/>
    </xf>
    <xf numFmtId="2" fontId="24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 indent="1"/>
    </xf>
    <xf numFmtId="165" fontId="26" fillId="3" borderId="2" applyAlignment="1" pivotButton="0" quotePrefix="0" xfId="0">
      <alignment horizontal="right" vertical="center"/>
    </xf>
    <xf numFmtId="165" fontId="22" fillId="3" borderId="2" applyAlignment="1" pivotButton="0" quotePrefix="0" xfId="0">
      <alignment horizontal="right" vertical="center"/>
    </xf>
    <xf numFmtId="164" fontId="21" fillId="0" borderId="0" applyAlignment="1" pivotButton="0" quotePrefix="0" xfId="0">
      <alignment horizontal="right" vertical="center"/>
    </xf>
    <xf numFmtId="165" fontId="24" fillId="0" borderId="0" applyAlignment="1" pivotButton="0" quotePrefix="0" xfId="0">
      <alignment horizontal="right" vertical="center"/>
    </xf>
    <xf numFmtId="0" fontId="23" fillId="2" borderId="0" applyAlignment="1" pivotButton="0" quotePrefix="0" xfId="0">
      <alignment horizontal="left" vertical="center" indent="1"/>
    </xf>
    <xf numFmtId="0" fontId="14" fillId="0" borderId="0" pivotButton="0" quotePrefix="0" xfId="0"/>
    <xf numFmtId="0" fontId="15" fillId="0" borderId="0" applyAlignment="1" pivotButton="0" quotePrefix="0" xfId="0">
      <alignment horizontal="left" vertical="center" indent="1"/>
    </xf>
    <xf numFmtId="0" fontId="27" fillId="2" borderId="0" applyAlignment="1" pivotButton="0" quotePrefix="0" xfId="0">
      <alignment horizontal="left" vertical="center" indent="1"/>
    </xf>
    <xf numFmtId="0" fontId="27" fillId="2" borderId="0" applyAlignment="1" pivotButton="0" quotePrefix="0" xfId="0">
      <alignment horizontal="center" vertical="center" wrapText="1"/>
    </xf>
    <xf numFmtId="0" fontId="27" fillId="4" borderId="0" applyAlignment="1" pivotButton="0" quotePrefix="0" xfId="0">
      <alignment horizontal="center" vertical="center" wrapText="1"/>
    </xf>
    <xf numFmtId="0" fontId="27" fillId="2" borderId="0" pivotButton="0" quotePrefix="0" xfId="0"/>
    <xf numFmtId="166" fontId="28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 wrapText="1"/>
    </xf>
    <xf numFmtId="0" fontId="17" fillId="3" borderId="0" applyAlignment="1" pivotButton="0" quotePrefix="0" xfId="0">
      <alignment horizontal="left" vertical="top" wrapText="1"/>
    </xf>
    <xf numFmtId="166" fontId="29" fillId="0" borderId="0" applyAlignment="1" pivotButton="0" quotePrefix="0" xfId="0">
      <alignment horizontal="right" vertical="center"/>
    </xf>
    <xf numFmtId="0" fontId="30" fillId="0" borderId="0" applyAlignment="1" pivotButton="0" quotePrefix="0" xfId="0">
      <alignment horizontal="left" vertical="center" indent="1"/>
    </xf>
    <xf numFmtId="166" fontId="30" fillId="0" borderId="0" applyAlignment="1" pivotButton="0" quotePrefix="0" xfId="0">
      <alignment horizontal="right" vertical="center"/>
    </xf>
    <xf numFmtId="166" fontId="32" fillId="0" borderId="0" applyAlignment="1" pivotButton="0" quotePrefix="0" xfId="0">
      <alignment horizontal="right" vertical="center"/>
    </xf>
    <xf numFmtId="164" fontId="29" fillId="0" borderId="0" applyAlignment="1" pivotButton="0" quotePrefix="0" xfId="0">
      <alignment horizontal="right" vertical="center"/>
    </xf>
    <xf numFmtId="166" fontId="33" fillId="0" borderId="0" applyAlignment="1" pivotButton="0" quotePrefix="0" xfId="0">
      <alignment horizontal="right" vertical="center"/>
    </xf>
    <xf numFmtId="167" fontId="29" fillId="0" borderId="0" applyAlignment="1" pivotButton="0" quotePrefix="0" xfId="0">
      <alignment horizontal="right" vertical="center"/>
    </xf>
    <xf numFmtId="165" fontId="29" fillId="0" borderId="0" applyAlignment="1" pivotButton="0" quotePrefix="0" xfId="0">
      <alignment horizontal="right" vertical="center"/>
    </xf>
    <xf numFmtId="0" fontId="21" fillId="0" borderId="0" applyAlignment="1" pivotButton="0" quotePrefix="0" xfId="0">
      <alignment horizontal="left" vertical="center" indent="1"/>
    </xf>
    <xf numFmtId="166" fontId="35" fillId="0" borderId="0" applyAlignment="1" pivotButton="0" quotePrefix="0" xfId="0">
      <alignment horizontal="right" vertical="center"/>
    </xf>
    <xf numFmtId="166" fontId="21" fillId="0" borderId="0" applyAlignment="1" pivotButton="0" quotePrefix="0" xfId="0">
      <alignment horizontal="right" vertical="center"/>
    </xf>
    <xf numFmtId="0" fontId="34" fillId="0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left" vertical="center" indent="1"/>
    </xf>
    <xf numFmtId="166" fontId="11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166" fontId="35" fillId="0" borderId="1" applyAlignment="1" pivotButton="0" quotePrefix="0" xfId="0">
      <alignment horizontal="right" vertical="center"/>
    </xf>
    <xf numFmtId="164" fontId="11" fillId="0" borderId="0" applyAlignment="1" pivotButton="0" quotePrefix="0" xfId="0">
      <alignment horizontal="right" vertical="center"/>
    </xf>
    <xf numFmtId="0" fontId="38" fillId="0" borderId="0" applyAlignment="1" pivotButton="0" quotePrefix="0" xfId="0">
      <alignment horizontal="left" vertical="center" indent="1"/>
    </xf>
    <xf numFmtId="0" fontId="39" fillId="0" borderId="0" applyAlignment="1" pivotButton="0" quotePrefix="0" xfId="0">
      <alignment horizontal="left" vertical="top" wrapText="1"/>
    </xf>
    <xf numFmtId="0" fontId="40" fillId="0" borderId="0" applyAlignment="1" pivotButton="0" quotePrefix="0" xfId="0">
      <alignment horizontal="left" vertical="center" indent="1"/>
    </xf>
    <xf numFmtId="0" fontId="38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left" vertical="center" indent="1"/>
    </xf>
    <xf numFmtId="0" fontId="42" fillId="0" borderId="0" applyAlignment="1" pivotButton="0" quotePrefix="0" xfId="0">
      <alignment horizontal="center" vertical="center" wrapText="1"/>
    </xf>
    <xf numFmtId="0" fontId="44" fillId="0" borderId="0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left" vertical="top" wrapText="1"/>
    </xf>
    <xf numFmtId="0" fontId="39" fillId="0" borderId="0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center" vertical="center" wrapText="1"/>
    </xf>
    <xf numFmtId="2" fontId="11" fillId="0" borderId="0" applyAlignment="1" pivotButton="0" quotePrefix="0" xfId="0">
      <alignment horizontal="right" vertical="center"/>
    </xf>
    <xf numFmtId="166" fontId="21" fillId="0" borderId="2" applyAlignment="1" pivotButton="0" quotePrefix="0" xfId="0">
      <alignment horizontal="right" vertical="center"/>
    </xf>
    <xf numFmtId="1" fontId="9" fillId="0" borderId="0" applyAlignment="1" pivotButton="0" quotePrefix="0" xfId="0">
      <alignment horizontal="right" vertical="center"/>
    </xf>
    <xf numFmtId="168" fontId="9" fillId="0" borderId="0" applyAlignment="1" pivotButton="0" quotePrefix="0" xfId="0">
      <alignment horizontal="right" vertical="center"/>
    </xf>
    <xf numFmtId="0" fontId="46" fillId="0" borderId="0" applyAlignment="1" pivotButton="0" quotePrefix="0" xfId="0">
      <alignment horizontal="center" vertical="center" wrapText="1"/>
    </xf>
    <xf numFmtId="0" fontId="36" fillId="2" borderId="0" pivotButton="0" quotePrefix="0" xfId="0"/>
    <xf numFmtId="169" fontId="9" fillId="0" borderId="0" applyAlignment="1" pivotButton="0" quotePrefix="0" xfId="0">
      <alignment horizontal="right" vertical="center"/>
    </xf>
    <xf numFmtId="0" fontId="42" fillId="0" borderId="0" applyAlignment="1" pivotButton="0" quotePrefix="0" xfId="0">
      <alignment horizontal="left" vertical="center"/>
    </xf>
    <xf numFmtId="165" fontId="47" fillId="3" borderId="2" applyAlignment="1" pivotButton="0" quotePrefix="0" xfId="0">
      <alignment horizontal="right" vertical="center"/>
    </xf>
    <xf numFmtId="165" fontId="11" fillId="0" borderId="0" applyAlignment="1" pivotButton="0" quotePrefix="0" xfId="0">
      <alignment horizontal="right" vertical="center"/>
    </xf>
    <xf numFmtId="164" fontId="48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166" fontId="34" fillId="0" borderId="1" applyAlignment="1" pivotButton="0" quotePrefix="0" xfId="0">
      <alignment horizontal="right" vertical="center"/>
    </xf>
    <xf numFmtId="165" fontId="21" fillId="0" borderId="1" applyAlignment="1" pivotButton="0" quotePrefix="0" xfId="0">
      <alignment horizontal="right" vertical="center"/>
    </xf>
    <xf numFmtId="165" fontId="48" fillId="0" borderId="0" applyAlignment="1" pivotButton="0" quotePrefix="0" xfId="0">
      <alignment horizontal="right" vertical="center"/>
    </xf>
    <xf numFmtId="0" fontId="24" fillId="0" borderId="0" pivotButton="0" quotePrefix="0" xfId="0"/>
    <xf numFmtId="169" fontId="21" fillId="0" borderId="0" applyAlignment="1" pivotButton="0" quotePrefix="0" xfId="0">
      <alignment horizontal="right" vertical="center"/>
    </xf>
    <xf numFmtId="165" fontId="21" fillId="0" borderId="0" applyAlignment="1" pivotButton="0" quotePrefix="0" xfId="0">
      <alignment horizontal="right" vertical="center"/>
    </xf>
    <xf numFmtId="0" fontId="48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indent="1"/>
    </xf>
    <xf numFmtId="0" fontId="37" fillId="6" borderId="0" applyAlignment="1" pivotButton="0" quotePrefix="0" xfId="0">
      <alignment horizontal="center" vertical="center" wrapText="1"/>
    </xf>
    <xf numFmtId="164" fontId="49" fillId="6" borderId="0" applyAlignment="1" pivotButton="0" quotePrefix="0" xfId="0">
      <alignment horizontal="center" vertical="center" wrapText="1"/>
    </xf>
    <xf numFmtId="165" fontId="24" fillId="0" borderId="0" applyAlignment="1" pivotButton="0" quotePrefix="0" xfId="0">
      <alignment horizontal="center" vertical="center" wrapText="1"/>
    </xf>
    <xf numFmtId="165" fontId="50" fillId="0" borderId="0" applyAlignment="1" pivotButton="0" quotePrefix="0" xfId="0">
      <alignment horizontal="center" vertical="center" wrapText="1"/>
    </xf>
    <xf numFmtId="169" fontId="12" fillId="0" borderId="0" applyAlignment="1" pivotButton="0" quotePrefix="0" xfId="0">
      <alignment horizontal="right" vertical="center"/>
    </xf>
    <xf numFmtId="0" fontId="36" fillId="2" borderId="0" applyAlignment="1" pivotButton="0" quotePrefix="0" xfId="0">
      <alignment horizontal="left" vertical="center" indent="1"/>
    </xf>
    <xf numFmtId="0" fontId="36" fillId="2" borderId="0" applyAlignment="1" pivotButton="0" quotePrefix="0" xfId="0">
      <alignment horizontal="center" vertical="center" wrapText="1"/>
    </xf>
    <xf numFmtId="169" fontId="9" fillId="0" borderId="0" applyAlignment="1" pivotButton="0" quotePrefix="0" xfId="0">
      <alignment horizontal="center" vertical="center" wrapText="1"/>
    </xf>
    <xf numFmtId="166" fontId="24" fillId="0" borderId="0" applyAlignment="1" pivotButton="0" quotePrefix="0" xfId="0">
      <alignment horizontal="center" vertical="center" wrapText="1"/>
    </xf>
    <xf numFmtId="167" fontId="11" fillId="0" borderId="0" applyAlignment="1" pivotButton="0" quotePrefix="0" xfId="0">
      <alignment horizontal="center" vertical="center" wrapText="1"/>
    </xf>
    <xf numFmtId="169" fontId="21" fillId="0" borderId="0" applyAlignment="1" pivotButton="0" quotePrefix="0" xfId="0">
      <alignment horizontal="center" vertical="center" wrapText="1"/>
    </xf>
    <xf numFmtId="0" fontId="51" fillId="0" borderId="0" applyAlignment="1" pivotButton="0" quotePrefix="0" xfId="0">
      <alignment horizontal="center" vertical="center" wrapText="1"/>
    </xf>
    <xf numFmtId="169" fontId="16" fillId="0" borderId="0" applyAlignment="1" pivotButton="0" quotePrefix="0" xfId="0">
      <alignment horizontal="center" vertical="center" wrapText="1"/>
    </xf>
    <xf numFmtId="165" fontId="9" fillId="0" borderId="0" applyAlignment="1" pivotButton="0" quotePrefix="0" xfId="0">
      <alignment horizontal="center" vertical="center" wrapText="1"/>
    </xf>
    <xf numFmtId="165" fontId="21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indent="1"/>
    </xf>
    <xf numFmtId="165" fontId="52" fillId="0" borderId="0" applyAlignment="1" pivotButton="0" quotePrefix="0" xfId="0">
      <alignment horizontal="right" vertical="center"/>
    </xf>
    <xf numFmtId="0" fontId="53" fillId="0" borderId="0" pivotButton="0" quotePrefix="0" xfId="0"/>
    <xf numFmtId="0" fontId="21" fillId="0" borderId="0" pivotButton="0" quotePrefix="0" xfId="0"/>
    <xf numFmtId="0" fontId="19" fillId="0" borderId="0" pivotButton="0" quotePrefix="0" xfId="0"/>
    <xf numFmtId="164" fontId="10" fillId="0" borderId="0" applyAlignment="1" pivotButton="0" quotePrefix="0" xfId="0">
      <alignment horizontal="right" vertical="center"/>
    </xf>
    <xf numFmtId="166" fontId="9" fillId="0" borderId="1" applyAlignment="1" pivotButton="0" quotePrefix="0" xfId="0">
      <alignment horizontal="right" vertical="center"/>
    </xf>
    <xf numFmtId="2" fontId="9" fillId="0" borderId="1" applyAlignment="1" pivotButton="0" quotePrefix="0" xfId="0">
      <alignment horizontal="right" vertical="center"/>
    </xf>
    <xf numFmtId="164" fontId="9" fillId="3" borderId="1" applyAlignment="1" pivotButton="0" quotePrefix="0" xfId="0">
      <alignment horizontal="right" vertical="center"/>
    </xf>
    <xf numFmtId="0" fontId="10" fillId="4" borderId="0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164" fontId="54" fillId="0" borderId="0" applyAlignment="1" pivotButton="0" quotePrefix="0" xfId="0">
      <alignment horizontal="right" vertical="center"/>
    </xf>
    <xf numFmtId="1" fontId="10" fillId="0" borderId="0" applyAlignment="1" pivotButton="0" quotePrefix="0" xfId="0">
      <alignment horizontal="right" vertical="center"/>
    </xf>
    <xf numFmtId="166" fontId="54" fillId="0" borderId="0" applyAlignment="1" pivotButton="0" quotePrefix="0" xfId="0">
      <alignment horizontal="right" vertical="center"/>
    </xf>
    <xf numFmtId="165" fontId="9" fillId="3" borderId="2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 vertical="center" wrapText="1"/>
    </xf>
    <xf numFmtId="167" fontId="10" fillId="0" borderId="0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166" fontId="54" fillId="0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 indent="1"/>
    </xf>
    <xf numFmtId="2" fontId="54" fillId="0" borderId="0" applyAlignment="1" pivotButton="0" quotePrefix="0" xfId="0">
      <alignment horizontal="right" vertical="center"/>
    </xf>
    <xf numFmtId="166" fontId="54" fillId="0" borderId="2" applyAlignment="1" pivotButton="0" quotePrefix="0" xfId="0">
      <alignment horizontal="right" vertical="center"/>
    </xf>
    <xf numFmtId="168" fontId="54" fillId="0" borderId="0" applyAlignment="1" pivotButton="0" quotePrefix="0" xfId="0">
      <alignment horizontal="right" vertical="center"/>
    </xf>
    <xf numFmtId="169" fontId="54" fillId="0" borderId="0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165" fontId="9" fillId="0" borderId="1" applyAlignment="1" pivotButton="0" quotePrefix="0" xfId="0">
      <alignment horizontal="right" vertical="center"/>
    </xf>
    <xf numFmtId="164" fontId="10" fillId="6" borderId="0" applyAlignment="1" pivotButton="0" quotePrefix="0" xfId="0">
      <alignment horizontal="center" vertical="center" wrapText="1"/>
    </xf>
    <xf numFmtId="166" fontId="10" fillId="0" borderId="0" applyAlignment="1" pivotButton="0" quotePrefix="0" xfId="0">
      <alignment horizontal="center" vertical="center" wrapText="1"/>
    </xf>
    <xf numFmtId="167" fontId="10" fillId="0" borderId="0" applyAlignment="1" pivotButton="0" quotePrefix="0" xfId="0">
      <alignment horizontal="center" vertical="center" wrapText="1"/>
    </xf>
    <xf numFmtId="169" fontId="10" fillId="0" borderId="0" applyAlignment="1" pivotButton="0" quotePrefix="0" xfId="0">
      <alignment horizontal="center" vertical="center" wrapText="1"/>
    </xf>
    <xf numFmtId="169" fontId="54" fillId="0" borderId="0" applyAlignment="1" pivotButton="0" quotePrefix="0" xfId="0">
      <alignment horizontal="center" vertical="center" wrapText="1"/>
    </xf>
    <xf numFmtId="165" fontId="54" fillId="0" borderId="0" applyAlignment="1" pivotButton="0" quotePrefix="0" xfId="0">
      <alignment horizontal="center" vertical="center" wrapText="1"/>
    </xf>
    <xf numFmtId="4" fontId="10" fillId="0" borderId="0" applyAlignment="1" pivotButton="0" quotePrefix="0" xfId="0">
      <alignment horizontal="right" vertical="center"/>
    </xf>
    <xf numFmtId="3" fontId="10" fillId="0" borderId="0" applyAlignment="1" pivotButton="0" quotePrefix="0" xfId="0">
      <alignment horizontal="right" vertical="center"/>
    </xf>
    <xf numFmtId="170" fontId="10" fillId="0" borderId="0" applyAlignment="1" pivotButton="0" quotePrefix="0" xfId="0">
      <alignment horizontal="right" vertical="center"/>
    </xf>
    <xf numFmtId="3" fontId="10" fillId="0" borderId="1" applyAlignment="1" pivotButton="0" quotePrefix="0" xfId="0">
      <alignment horizontal="right" vertical="center"/>
    </xf>
    <xf numFmtId="4" fontId="10" fillId="0" borderId="1" applyAlignment="1" pivotButton="0" quotePrefix="0" xfId="0">
      <alignment horizontal="right" vertical="center"/>
    </xf>
    <xf numFmtId="3" fontId="10" fillId="0" borderId="0" applyAlignment="1" pivotButton="0" quotePrefix="0" xfId="0">
      <alignment horizontal="center" vertical="center" wrapText="1"/>
    </xf>
    <xf numFmtId="4" fontId="10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center"/>
    </xf>
    <xf numFmtId="0" fontId="53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53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58" fillId="0" borderId="0" pivotButton="0" quotePrefix="0" xfId="0"/>
    <xf numFmtId="164" fontId="10" fillId="7" borderId="0" applyAlignment="1" pivotButton="0" quotePrefix="0" xfId="0">
      <alignment horizontal="right" vertical="center"/>
    </xf>
    <xf numFmtId="0" fontId="59" fillId="0" borderId="0" pivotButton="0" quotePrefix="0" xfId="0"/>
    <xf numFmtId="0" fontId="56" fillId="0" borderId="0" pivotButton="0" quotePrefix="0" xfId="0"/>
    <xf numFmtId="0" fontId="57" fillId="0" borderId="0" pivotButton="0" quotePrefix="0" xfId="0"/>
    <xf numFmtId="0" fontId="5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Analyst</author>
  </authors>
  <commentList>
    <comment ref="D3" authorId="0" shapeId="0">
      <text>
        <t>Line item — FY25 10-K. Source: https://www.sec.gov/Archives/edgar/data/1397187/000139718726000020/lulu-20260201.htm</t>
      </text>
    </comment>
    <comment ref="E5" authorId="0" shapeId="0">
      <text>
        <t>Net revenue FY25 10-K. Source: https://www.sec.gov/Archives/edgar/data/1397187/000139718726000020/lulu-20260201.htm</t>
      </text>
    </comment>
    <comment ref="E8" authorId="0" shapeId="0">
      <text>
        <t>COGS FY25 10-K. Source: https://www.sec.gov/Archives/edgar/data/1397187/000139718726000020/lulu-20260201.htm</t>
      </text>
    </comment>
    <comment ref="E11" authorId="0" shapeId="0">
      <text>
        <t>EBIT incl. FY26 refund FY25 10-K. Source: https://www.sec.gov/Archives/edgar/data/1397187/000139718726000020/lulu-20260201.htm</t>
      </text>
    </comment>
    <comment ref="E12" authorId="0" shapeId="0">
      <text>
        <t>Reported EBIT margin FY25 10-K. Source: https://www.sec.gov/Archives/edgar/data/1397187/000139718726000020/lulu-20260201.htm</t>
      </text>
    </comment>
    <comment ref="E100" authorId="0" shapeId="0">
      <text>
        <t>WACC sensitivity −100 bps vs base.</t>
      </text>
    </comment>
    <comment ref="E101" authorId="0" shapeId="0">
      <text>
        <t>WACC sensitivity −50 bps vs base.</t>
      </text>
    </comment>
    <comment ref="E102" authorId="0" shapeId="0">
      <text>
        <t>WACC sensitivity +50 bps vs base.</t>
      </text>
    </comment>
    <comment ref="E103" authorId="0" shapeId="0">
      <text>
        <t>WACC sensitivity +100 bps vs base.</t>
      </text>
    </comment>
  </commentList>
</comments>
</file>

<file path=xl/comments/comment2.xml><?xml version="1.0" encoding="utf-8"?>
<comments xmlns="http://schemas.openxmlformats.org/spreadsheetml/2006/main">
  <authors>
    <author>Analyst</author>
  </authors>
  <commentList>
    <comment ref="D18" authorId="0" shapeId="0">
      <text>
        <t>Peer EV/EBITDA from PitchBook.</t>
      </text>
    </comment>
    <comment ref="D56" authorId="0" shapeId="0">
      <text>
        <t>Football-field range from comp set.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c.gov/edgar/browse/?CIK=1397187&amp;owner=exclude" TargetMode="External" Id="rId1"/><Relationship Type="http://schemas.openxmlformats.org/officeDocument/2006/relationships/hyperlink" Target="https://www.sec.gov/Archives/edgar/data/1397187/000139718726000020/lulu-20260201.htm" TargetMode="External" Id="rId2"/><Relationship Type="http://schemas.openxmlformats.org/officeDocument/2006/relationships/hyperlink" Target="https://corporate.lululemon.com/newsroom/press-releases/2026/09-03-2026-210528733" TargetMode="External" Id="rId3"/><Relationship Type="http://schemas.openxmlformats.org/officeDocument/2006/relationships/hyperlink" Target="https://www.nasdaq.com/market-activity/stocks/lulu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hyperlink" Target="https://fred.stlouisfed.org/series/DGS10" TargetMode="External" Id="rId1"/><Relationship Type="http://schemas.openxmlformats.org/officeDocument/2006/relationships/hyperlink" Target="https://www.stern.nyu.edu/~adamodar/New_Home_Page/datafile/histimpl.html" TargetMode="External" Id="rId2"/><Relationship Type="http://schemas.openxmlformats.org/officeDocument/2006/relationships/hyperlink" Target="https://corporate.lululemon.com/newsroom/press-releases/2026/09-03-2026-210528733" TargetMode="External" Id="rId3"/><Relationship Type="http://schemas.openxmlformats.org/officeDocument/2006/relationships/hyperlink" Target="https://www.nasdaq.com/market-activity/stocks/lulu" TargetMode="External" Id="rId4"/><Relationship Type="http://schemas.openxmlformats.org/officeDocument/2006/relationships/hyperlink" Target="https://www.sec.gov/Archives/edgar/data/1397187/000139718726000020/lulu-20260201.htm" TargetMode="External" Id="rId5"/><Relationship Type="http://schemas.openxmlformats.org/officeDocument/2006/relationships/hyperlink" Target="https://www.sec.gov/Archives/edgar/data/1397187/000139718726000020/lulu-20260201.htm" TargetMode="External" Id="rId6"/><Relationship Type="http://schemas.openxmlformats.org/officeDocument/2006/relationships/hyperlink" Target="https://www.sec.gov/Archives/edgar/data/1397187/000139718726000020/lulu-20260201.htm" TargetMode="External" Id="rId7"/><Relationship Type="http://schemas.openxmlformats.org/officeDocument/2006/relationships/hyperlink" Target="https://finance.yahoo.com/quote/LULU/key-statistics/" TargetMode="External" Id="rId8"/><Relationship Type="http://schemas.openxmlformats.org/officeDocument/2006/relationships/hyperlink" Target="https://finance.yahoo.com/quote/LULU/key-statistics/" TargetMode="External" Id="rId9"/><Relationship Type="http://schemas.openxmlformats.org/officeDocument/2006/relationships/hyperlink" Target="https://finance.yahoo.com/quote/LULU/key-statistics/" TargetMode="External" Id="rId10"/><Relationship Type="http://schemas.openxmlformats.org/officeDocument/2006/relationships/hyperlink" Target="https://finance.yahoo.com/quote/LULU/key-statistics/" TargetMode="External" Id="rId11"/><Relationship Type="http://schemas.openxmlformats.org/officeDocument/2006/relationships/hyperlink" Target="https://finance.yahoo.com/quote/LULU/key-statistics/" TargetMode="External" Id="rId12"/><Relationship Type="http://schemas.openxmlformats.org/officeDocument/2006/relationships/hyperlink" Target="https://www.stern.nyu.edu/~adamodar/New_Home_Page/datafile/Betas.html" TargetMode="External" Id="rId13"/><Relationship Type="http://schemas.openxmlformats.org/officeDocument/2006/relationships/hyperlink" Target="https://www.sec.gov/Archives/edgar/data/1397187/000139718726000020/lulu-20260201.htm" TargetMode="External" Id="rId14"/><Relationship Type="http://schemas.openxmlformats.org/officeDocument/2006/relationships/hyperlink" Target="https://www.sec.gov/Archives/edgar/data/1397187/000139718726000020/lulu-20260201.htm" TargetMode="External" Id="rId15"/></Relationships>
</file>

<file path=xl/worksheets/_rels/sheet3.xml.rels><Relationships xmlns="http://schemas.openxmlformats.org/package/2006/relationships"><Relationship Type="http://schemas.openxmlformats.org/officeDocument/2006/relationships/hyperlink" Target="https://corporate.lululemon.com/newsroom/press-releases/2026/09-03-2026-210528733" TargetMode="External" Id="rId1"/><Relationship Type="http://schemas.openxmlformats.org/officeDocument/2006/relationships/hyperlink" Target="https://stockanalysis.com/stocks/lulu/statistics/" TargetMode="External" Id="rId2"/><Relationship Type="http://schemas.openxmlformats.org/officeDocument/2006/relationships/hyperlink" Target="https://corporate.lululemon.com/newsroom/press-releases/2026/09-03-2026-210528733" TargetMode="External" Id="rId3"/><Relationship Type="http://schemas.openxmlformats.org/officeDocument/2006/relationships/hyperlink" Target="https://corporate.lululemon.com/newsroom/press-releases/2026/09-03-2026-210528733" TargetMode="External" Id="rId4"/><Relationship Type="http://schemas.openxmlformats.org/officeDocument/2006/relationships/hyperlink" Target="https://www.sec.gov/Archives/edgar/data/1397187/000139718726000020/lulu-20260201.htm" TargetMode="External" Id="rId5"/><Relationship Type="http://schemas.openxmlformats.org/officeDocument/2006/relationships/hyperlink" Target="https://fred.stlouisfed.org/series/GDPC1" TargetMode="External" Id="rId6"/><Relationship Type="http://schemas.openxmlformats.org/officeDocument/2006/relationships/hyperlink" Target="https://corporate.lululemon.com/newsroom/press-releases/2026/09-03-2026-210528733" TargetMode="External" Id="rId7"/><Relationship Type="http://schemas.openxmlformats.org/officeDocument/2006/relationships/hyperlink" Target="https://www.sec.gov/Archives/edgar/data/1397187/000139718726000020/lulu-20260201.htm" TargetMode="External" Id="rId8"/><Relationship Type="http://schemas.openxmlformats.org/officeDocument/2006/relationships/hyperlink" Target="https://www.sec.gov/Archives/edgar/data/1397187/000139718726000020/lulu-20260201.htm" TargetMode="External" Id="rId9"/><Relationship Type="http://schemas.openxmlformats.org/officeDocument/2006/relationships/hyperlink" Target="https://www.sec.gov/Archives/edgar/data/1397187/000139718726000020/lulu-20260201.htm" TargetMode="External" Id="rId10"/><Relationship Type="http://schemas.openxmlformats.org/officeDocument/2006/relationships/hyperlink" Target="https://www.sec.gov/Archives/edgar/data/1397187/000139718726000020/lulu-20260201.htm" TargetMode="External" Id="rId11"/><Relationship Type="http://schemas.openxmlformats.org/officeDocument/2006/relationships/hyperlink" Target="https://www.sec.gov/Archives/edgar/data/1397187/000139718726000020/lulu-20260201.htm" TargetMode="External" Id="rId12"/><Relationship Type="http://schemas.openxmlformats.org/officeDocument/2006/relationships/hyperlink" Target="https://www.sec.gov/Archives/edgar/data/1397187/000139718726000020/lulu-20260201.htm" TargetMode="External" Id="rId13"/><Relationship Type="http://schemas.openxmlformats.org/officeDocument/2006/relationships/hyperlink" Target="https://www.sec.gov/Archives/edgar/data/1397187/000139718726000020/lulu-20260201.htm" TargetMode="External" Id="rId14"/><Relationship Type="http://schemas.openxmlformats.org/officeDocument/2006/relationships/hyperlink" Target="https://www.sec.gov/Archives/edgar/data/1397187/000139718726000020/lulu-20260201.htm" TargetMode="External" Id="rId15"/><Relationship Type="http://schemas.openxmlformats.org/officeDocument/2006/relationships/hyperlink" Target="https://www.sec.gov/Archives/edgar/data/1397187/000139718726000020/lulu-20260201.htm" TargetMode="External" Id="rId16"/></Relationships>
</file>

<file path=xl/worksheets/_rels/sheet4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/><Relationship Type="http://schemas.openxmlformats.org/officeDocument/2006/relationships/hyperlink" Target="https://www.sec.gov/Archives/edgar/data/1397187/000139718726000020/lulu-20260201.htm" TargetMode="External" Id="rId2"/><Relationship Type="http://schemas.openxmlformats.org/officeDocument/2006/relationships/hyperlink" Target="https://www.sec.gov/Archives/edgar/data/1397187/000139718726000020/lulu-20260201.htm" TargetMode="External" Id="rId3"/><Relationship Type="http://schemas.openxmlformats.org/officeDocument/2006/relationships/hyperlink" Target="https://www.sec.gov/Archives/edgar/data/1397187/000139718726000020/lulu-20260201.htm" TargetMode="External" Id="rId4"/><Relationship Type="http://schemas.openxmlformats.org/officeDocument/2006/relationships/hyperlink" Target="https://www.sec.gov/Archives/edgar/data/1397187/000139718726000020/lulu-20260201.htm" TargetMode="External" Id="rId5"/><Relationship Type="http://schemas.openxmlformats.org/officeDocument/2006/relationships/hyperlink" Target="https://www.sec.gov/Archives/edgar/data/1397187/000139718726000020/lulu-20260201.htm" TargetMode="External" Id="rId6"/><Relationship Type="http://schemas.openxmlformats.org/officeDocument/2006/relationships/hyperlink" Target="https://www.sec.gov/Archives/edgar/data/1397187/000139718726000020/lulu-20260201.htm" TargetMode="External" Id="rId7"/><Relationship Type="http://schemas.openxmlformats.org/officeDocument/2006/relationships/hyperlink" Target="https://www.sec.gov/Archives/edgar/data/1397187/000139718726000020/lulu-20260201.htm" TargetMode="External" Id="rId8"/><Relationship Type="http://schemas.openxmlformats.org/officeDocument/2006/relationships/hyperlink" Target="https://www.sec.gov/Archives/edgar/data/1397187/000139718726000020/lulu-20260201.htm" TargetMode="External" Id="rId9"/><Relationship Type="http://schemas.openxmlformats.org/officeDocument/2006/relationships/hyperlink" Target="https://www.sec.gov/Archives/edgar/data/1397187/000139718726000020/lulu-20260201.htm" TargetMode="External" Id="rId10"/><Relationship Type="http://schemas.openxmlformats.org/officeDocument/2006/relationships/hyperlink" Target="https://www.sec.gov/Archives/edgar/data/1397187/000139718726000020/lulu-20260201.htm" TargetMode="External" Id="rId11"/><Relationship Type="http://schemas.openxmlformats.org/officeDocument/2006/relationships/hyperlink" Target="https://www.sec.gov/Archives/edgar/data/1397187/000139718726000020/lulu-20260201.htm" TargetMode="External" Id="rId12"/><Relationship Type="http://schemas.openxmlformats.org/officeDocument/2006/relationships/hyperlink" Target="https://www.sec.gov/Archives/edgar/data/1397187/000139718726000020/lulu-20260201.htm" TargetMode="External" Id="rId13"/><Relationship Type="http://schemas.openxmlformats.org/officeDocument/2006/relationships/hyperlink" Target="https://www.sec.gov/Archives/edgar/data/1397187/000139718726000020/lulu-20260201.htm" TargetMode="External" Id="rId14"/><Relationship Type="http://schemas.openxmlformats.org/officeDocument/2006/relationships/hyperlink" Target="https://www.sec.gov/Archives/edgar/data/1397187/000139718726000020/lulu-20260201.htm" TargetMode="External" Id="rId15"/><Relationship Type="http://schemas.openxmlformats.org/officeDocument/2006/relationships/hyperlink" Target="https://www.sec.gov/Archives/edgar/data/1397187/000139718726000020/lulu-20260201.htm" TargetMode="External" Id="rId16"/><Relationship Type="http://schemas.openxmlformats.org/officeDocument/2006/relationships/hyperlink" Target="https://www.sec.gov/Archives/edgar/data/1397187/000139718726000020/lulu-20260201.htm" TargetMode="External" Id="rId17"/><Relationship Type="http://schemas.openxmlformats.org/officeDocument/2006/relationships/hyperlink" Target="https://www.sec.gov/Archives/edgar/data/1397187/000139718726000020/lulu-20260201.htm" TargetMode="External" Id="rId18"/><Relationship Type="http://schemas.openxmlformats.org/officeDocument/2006/relationships/hyperlink" Target="https://www.sec.gov/Archives/edgar/data/1397187/000139718726000020/lulu-20260201.htm" TargetMode="External" Id="rId19"/><Relationship Type="http://schemas.openxmlformats.org/officeDocument/2006/relationships/hyperlink" Target="https://www.sec.gov/Archives/edgar/data/1397187/000139718726000020/lulu-20260201.htm" TargetMode="External" Id="rId20"/><Relationship Type="http://schemas.openxmlformats.org/officeDocument/2006/relationships/hyperlink" Target="https://www.sec.gov/Archives/edgar/data/1397187/000139718726000020/lulu-20260201.htm" TargetMode="External" Id="rId21"/><Relationship Type="http://schemas.openxmlformats.org/officeDocument/2006/relationships/hyperlink" Target="https://www.sec.gov/Archives/edgar/data/1397187/000139718726000020/lulu-20260201.htm" TargetMode="External" Id="rId22"/><Relationship Type="http://schemas.openxmlformats.org/officeDocument/2006/relationships/hyperlink" Target="https://www.sec.gov/Archives/edgar/data/1397187/000139718726000020/lulu-20260201.htm" TargetMode="External" Id="rId23"/><Relationship Type="http://schemas.openxmlformats.org/officeDocument/2006/relationships/hyperlink" Target="https://www.sec.gov/Archives/edgar/data/1397187/000139718726000020/lulu-20260201.htm" TargetMode="External" Id="rId24"/><Relationship Type="http://schemas.openxmlformats.org/officeDocument/2006/relationships/hyperlink" Target="https://www.sec.gov/Archives/edgar/data/1397187/000139718726000020/lulu-20260201.htm" TargetMode="External" Id="rId25"/><Relationship Type="http://schemas.openxmlformats.org/officeDocument/2006/relationships/hyperlink" Target="https://www.sec.gov/Archives/edgar/data/1397187/000139718726000020/lulu-20260201.htm" TargetMode="External" Id="rId26"/><Relationship Type="http://schemas.openxmlformats.org/officeDocument/2006/relationships/hyperlink" Target="https://www.sec.gov/Archives/edgar/data/1397187/000139718726000020/lulu-20260201.htm" TargetMode="External" Id="rId27"/><Relationship Type="http://schemas.openxmlformats.org/officeDocument/2006/relationships/hyperlink" Target="https://www.sec.gov/Archives/edgar/data/1397187/000139718726000020/lulu-20260201.htm" TargetMode="External" Id="rId28"/><Relationship Type="http://schemas.openxmlformats.org/officeDocument/2006/relationships/hyperlink" Target="https://www.sec.gov/Archives/edgar/data/1397187/000139718726000020/lulu-20260201.htm" TargetMode="External" Id="rId29"/><Relationship Type="http://schemas.openxmlformats.org/officeDocument/2006/relationships/hyperlink" Target="https://www.sec.gov/Archives/edgar/data/1397187/000139718726000020/lulu-20260201.htm" TargetMode="External" Id="rId30"/><Relationship Type="http://schemas.openxmlformats.org/officeDocument/2006/relationships/hyperlink" Target="https://www.sec.gov/Archives/edgar/data/1397187/000139718726000020/lulu-20260201.htm" TargetMode="External" Id="rId31"/><Relationship Type="http://schemas.openxmlformats.org/officeDocument/2006/relationships/hyperlink" Target="https://www.sec.gov/Archives/edgar/data/1397187/000139718726000020/lulu-20260201.htm" TargetMode="External" Id="rId32"/><Relationship Type="http://schemas.openxmlformats.org/officeDocument/2006/relationships/hyperlink" Target="https://www.sec.gov/Archives/edgar/data/1397187/000139718726000020/lulu-20260201.htm" TargetMode="External" Id="rId33"/><Relationship Type="http://schemas.openxmlformats.org/officeDocument/2006/relationships/hyperlink" Target="https://www.sec.gov/Archives/edgar/data/1397187/000139718726000020/lulu-20260201.htm" TargetMode="External" Id="rId34"/></Relationships>
</file>

<file path=xl/worksheets/_rels/sheet5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/><Relationship Type="http://schemas.openxmlformats.org/officeDocument/2006/relationships/hyperlink" Target="https://www.sec.gov/Archives/edgar/data/1397187/000139718726000020/lulu-20260201.htm" TargetMode="External" Id="rId2"/><Relationship Type="http://schemas.openxmlformats.org/officeDocument/2006/relationships/hyperlink" Target="https://www.sec.gov/Archives/edgar/data/1397187/000139718726000020/lulu-20260201.htm" TargetMode="External" Id="rId3"/><Relationship Type="http://schemas.openxmlformats.org/officeDocument/2006/relationships/hyperlink" Target="https://corporate.lululemon.com/newsroom/press-releases/2026/09-03-2026-210528733" TargetMode="External" Id="rId4"/><Relationship Type="http://schemas.openxmlformats.org/officeDocument/2006/relationships/hyperlink" Target="https://www.sec.gov/Archives/edgar/data/1397187/000139718726000020/lulu-20260201.htm" TargetMode="External" Id="rId5"/><Relationship Type="http://schemas.openxmlformats.org/officeDocument/2006/relationships/hyperlink" Target="https://www.sec.gov/Archives/edgar/data/1397187/000139718726000020/lulu-20260201.htm" TargetMode="External" Id="rId6"/><Relationship Type="http://schemas.openxmlformats.org/officeDocument/2006/relationships/hyperlink" Target="https://www.sec.gov/Archives/edgar/data/1397187/000139718726000020/lulu-20260201.htm" TargetMode="External" Id="rId7"/><Relationship Type="http://schemas.openxmlformats.org/officeDocument/2006/relationships/hyperlink" Target="https://www.sec.gov/Archives/edgar/data/1397187/000139718726000020/lulu-20260201.htm" TargetMode="External" Id="rId8"/><Relationship Type="http://schemas.openxmlformats.org/officeDocument/2006/relationships/hyperlink" Target="https://www.sec.gov/Archives/edgar/data/1397187/000139718726000020/lulu-20260201.htm" TargetMode="External" Id="rId9"/><Relationship Type="http://schemas.openxmlformats.org/officeDocument/2006/relationships/hyperlink" Target="https://www.sec.gov/Archives/edgar/data/1397187/000139718726000020/lulu-20260201.htm" TargetMode="External" Id="rId10"/><Relationship Type="http://schemas.openxmlformats.org/officeDocument/2006/relationships/hyperlink" Target="https://www.sec.gov/Archives/edgar/data/1397187/000139718726000020/lulu-20260201.htm" TargetMode="External" Id="rId11"/><Relationship Type="http://schemas.openxmlformats.org/officeDocument/2006/relationships/hyperlink" Target="https://www.sec.gov/Archives/edgar/data/1397187/000139718726000020/lulu-20260201.htm" TargetMode="External" Id="rId12"/><Relationship Type="http://schemas.openxmlformats.org/officeDocument/2006/relationships/hyperlink" Target="https://www.sec.gov/Archives/edgar/data/1397187/000139718726000020/lulu-20260201.htm" TargetMode="External" Id="rId13"/><Relationship Type="http://schemas.openxmlformats.org/officeDocument/2006/relationships/hyperlink" Target="https://www.sec.gov/Archives/edgar/data/1397187/000139718726000020/lulu-20260201.htm" TargetMode="External" Id="rId14"/><Relationship Type="http://schemas.openxmlformats.org/officeDocument/2006/relationships/hyperlink" Target="https://www.sec.gov/Archives/edgar/data/1397187/000139718726000020/lulu-20260201.htm" TargetMode="External" Id="rId15"/><Relationship Type="http://schemas.openxmlformats.org/officeDocument/2006/relationships/hyperlink" Target="https://www.sec.gov/Archives/edgar/data/1397187/000139718726000020/lulu-20260201.htm" TargetMode="External" Id="rId16"/><Relationship Type="http://schemas.openxmlformats.org/officeDocument/2006/relationships/hyperlink" Target="https://www.sec.gov/Archives/edgar/data/1397187/000139718726000020/lulu-20260201.htm" TargetMode="External" Id="rId17"/><Relationship Type="http://schemas.openxmlformats.org/officeDocument/2006/relationships/hyperlink" Target="https://www.sec.gov/Archives/edgar/data/1397187/000139718726000020/lulu-20260201.htm" TargetMode="External" Id="rId18"/><Relationship Type="http://schemas.openxmlformats.org/officeDocument/2006/relationships/hyperlink" Target="https://www.sec.gov/Archives/edgar/data/1397187/000139718726000020/lulu-20260201.htm" TargetMode="External" Id="rId19"/><Relationship Type="http://schemas.openxmlformats.org/officeDocument/2006/relationships/hyperlink" Target="https://www.sec.gov/Archives/edgar/data/1397187/000139718726000020/lulu-20260201.htm" TargetMode="External" Id="rId20"/><Relationship Type="http://schemas.openxmlformats.org/officeDocument/2006/relationships/hyperlink" Target="https://www.sec.gov/Archives/edgar/data/1397187/000139718726000020/lulu-20260201.htm" TargetMode="External" Id="rId21"/><Relationship Type="http://schemas.openxmlformats.org/officeDocument/2006/relationships/hyperlink" Target="https://www.sec.gov/Archives/edgar/data/1397187/000139718726000020/lulu-20260201.htm" TargetMode="External" Id="rId22"/><Relationship Type="http://schemas.openxmlformats.org/officeDocument/2006/relationships/hyperlink" Target="https://www.sec.gov/Archives/edgar/data/1397187/000139718726000020/lulu-20260201.htm" TargetMode="External" Id="rId23"/><Relationship Type="http://schemas.openxmlformats.org/officeDocument/2006/relationships/hyperlink" Target="https://www.sec.gov/Archives/edgar/data/1397187/000139718726000020/lulu-20260201.htm" TargetMode="External" Id="rId24"/><Relationship Type="http://schemas.openxmlformats.org/officeDocument/2006/relationships/hyperlink" Target="https://www.sec.gov/Archives/edgar/data/1397187/000139718726000020/lulu-20260201.htm" TargetMode="External" Id="rId25"/><Relationship Type="http://schemas.openxmlformats.org/officeDocument/2006/relationships/hyperlink" Target="https://www.sec.gov/Archives/edgar/data/1397187/000139718726000020/lulu-20260201.htm" TargetMode="External" Id="rId26"/><Relationship Type="http://schemas.openxmlformats.org/officeDocument/2006/relationships/hyperlink" Target="https://www.sec.gov/Archives/edgar/data/1397187/000139718726000020/lulu-20260201.htm" TargetMode="External" Id="rId27"/><Relationship Type="http://schemas.openxmlformats.org/officeDocument/2006/relationships/hyperlink" Target="https://www.sec.gov/Archives/edgar/data/1397187/000139718726000020/lulu-20260201.htm" TargetMode="External" Id="rId28"/></Relationships>
</file>

<file path=xl/worksheets/_rels/sheet6.xml.rels><Relationships xmlns="http://schemas.openxmlformats.org/package/2006/relationships"><Relationship Type="http://schemas.openxmlformats.org/officeDocument/2006/relationships/hyperlink" Target="https://corporate.lululemon.com/newsroom/press-releases/2026/09-03-2026-210528733" TargetMode="External" Id="rId1"/><Relationship Type="http://schemas.openxmlformats.org/officeDocument/2006/relationships/hyperlink" Target="https://www.sec.gov/Archives/edgar/data/1397187/000139718726000020/lulu-20260201.htm" TargetMode="External" Id="rId2"/><Relationship Type="http://schemas.openxmlformats.org/officeDocument/2006/relationships/hyperlink" Target="https://corporate.lululemon.com/newsroom/press-releases/2026/09-03-2026-210528733" TargetMode="External" Id="rId3"/><Relationship Type="http://schemas.openxmlformats.org/officeDocument/2006/relationships/hyperlink" Target="https://corporate.lululemon.com/newsroom/press-releases/2026/09-03-2026-210528733" TargetMode="External" Id="rId4"/><Relationship Type="http://schemas.openxmlformats.org/officeDocument/2006/relationships/hyperlink" Target="https://www.sec.gov/Archives/edgar/data/1397187/000139718726000020/lulu-20260201.htm" TargetMode="External" Id="rId5"/><Relationship Type="http://schemas.openxmlformats.org/officeDocument/2006/relationships/hyperlink" Target="https://www.sec.gov/Archives/edgar/data/1397187/000139718726000020/lulu-20260201.htm" TargetMode="External" Id="rId6"/><Relationship Type="http://schemas.openxmlformats.org/officeDocument/2006/relationships/hyperlink" Target="https://www.sec.gov/Archives/edgar/data/1397187/000139718726000020/lulu-20260201.htm" TargetMode="External" Id="rId7"/><Relationship Type="http://schemas.openxmlformats.org/officeDocument/2006/relationships/hyperlink" Target="https://www.sec.gov/Archives/edgar/data/1397187/000139718726000020/lulu-20260201.htm" TargetMode="External" Id="rId8"/><Relationship Type="http://schemas.openxmlformats.org/officeDocument/2006/relationships/hyperlink" Target="https://www.sec.gov/Archives/edgar/data/1397187/000139718726000020/lulu-20260201.htm" TargetMode="External" Id="rId9"/><Relationship Type="http://schemas.openxmlformats.org/officeDocument/2006/relationships/hyperlink" Target="https://www.sec.gov/Archives/edgar/data/1397187/000139718726000020/lulu-20260201.htm" TargetMode="External" Id="rId10"/><Relationship Type="http://schemas.openxmlformats.org/officeDocument/2006/relationships/hyperlink" Target="https://www.sec.gov/Archives/edgar/data/1397187/000139718726000020/lulu-20260201.htm" TargetMode="External" Id="rId11"/><Relationship Type="http://schemas.openxmlformats.org/officeDocument/2006/relationships/hyperlink" Target="https://www.sec.gov/Archives/edgar/data/1397187/000139718726000020/lulu-20260201.htm" TargetMode="External" Id="rId12"/><Relationship Type="http://schemas.openxmlformats.org/officeDocument/2006/relationships/hyperlink" Target="https://www.sec.gov/Archives/edgar/data/1397187/000139718726000020/lulu-20260201.htm" TargetMode="External" Id="rId13"/><Relationship Type="http://schemas.openxmlformats.org/officeDocument/2006/relationships/hyperlink" Target="https://www.sec.gov/Archives/edgar/data/1397187/000139718726000020/lulu-20260201.htm" TargetMode="External" Id="rId14"/><Relationship Type="http://schemas.openxmlformats.org/officeDocument/2006/relationships/hyperlink" Target="https://www.sec.gov/Archives/edgar/data/1397187/000139718726000020/lulu-20260201.htm" TargetMode="External" Id="rId15"/><Relationship Type="http://schemas.openxmlformats.org/officeDocument/2006/relationships/hyperlink" Target="https://www.sec.gov/Archives/edgar/data/1397187/000139718726000020/lulu-20260201.htm" TargetMode="External" Id="rId16"/><Relationship Type="http://schemas.openxmlformats.org/officeDocument/2006/relationships/hyperlink" Target="https://www.sec.gov/Archives/edgar/data/1397187/000139718726000020/lulu-20260201.htm" TargetMode="External" Id="rId17"/><Relationship Type="http://schemas.openxmlformats.org/officeDocument/2006/relationships/hyperlink" Target="https://www.sec.gov/Archives/edgar/data/1397187/000139718726000020/lulu-20260201.htm" TargetMode="External" Id="rId18"/><Relationship Type="http://schemas.openxmlformats.org/officeDocument/2006/relationships/hyperlink" Target="https://fred.stlouisfed.org/series/GDPC1" TargetMode="External" Id="rId19"/><Relationship Type="http://schemas.openxmlformats.org/officeDocument/2006/relationships/hyperlink" Target="https://www.sec.gov/Archives/edgar/data/1397187/000139718726000020/lulu-20260201.htm" TargetMode="External" Id="rId20"/><Relationship Type="http://schemas.openxmlformats.org/officeDocument/2006/relationships/hyperlink" Target="https://www.sec.gov/Archives/edgar/data/1397187/000139718726000020/lulu-20260201.htm" TargetMode="External" Id="rId21"/><Relationship Type="http://schemas.openxmlformats.org/officeDocument/2006/relationships/hyperlink" Target="https://www.sec.gov/Archives/edgar/data/1397187/000139718726000020/lulu-20260201.htm" TargetMode="External" Id="rId22"/><Relationship Type="http://schemas.openxmlformats.org/officeDocument/2006/relationships/hyperlink" Target="https://www.nasdaq.com/market-activity/stocks/lulu" TargetMode="External" Id="rId23"/><Relationship Type="http://schemas.openxmlformats.org/officeDocument/2006/relationships/hyperlink" Target="https://fred.stlouisfed.org/series/GDPC1" TargetMode="External" Id="rId24"/><Relationship Type="http://schemas.openxmlformats.org/officeDocument/2006/relationships/hyperlink" Target="https://www.stern.nyu.edu/~adamodar/New_Home_Page/datafile/histimpl.html" TargetMode="External" Id="rId2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/><Relationship Type="http://schemas.openxmlformats.org/officeDocument/2006/relationships/hyperlink" Target="https://corporate.lululemon.com/newsroom/press-releases/2026/09-03-2026-210528733" TargetMode="External" Id="rId2"/><Relationship Type="http://schemas.openxmlformats.org/officeDocument/2006/relationships/hyperlink" Target="https://www.sec.gov/Archives/edgar/data/1397187/000139718726000020/lulu-20260201.htm" TargetMode="External" Id="rId3"/><Relationship Type="http://schemas.openxmlformats.org/officeDocument/2006/relationships/hyperlink" Target="https://www.sec.gov/Archives/edgar/data/1397187/000139718726000020/lulu-20260201.htm" TargetMode="External" Id="rId4"/><Relationship Type="http://schemas.openxmlformats.org/officeDocument/2006/relationships/hyperlink" Target="https://www.nasdaq.com/market-activity/stocks/lulu" TargetMode="External" Id="rId5"/><Relationship Type="http://schemas.openxmlformats.org/officeDocument/2006/relationships/hyperlink" Target="https://www.reuters.com/markets/deals/alo-yoga-parent-seeks-investment-10-bln-valuation-sources-2023-10-30/" TargetMode="External" Id="rId6"/><Relationship Type="http://schemas.openxmlformats.org/officeDocument/2006/relationships/hyperlink" Target="https://www.forbes.com/sites/jemimamcevoy/2025/04/01/the-founders-of-this-lululemon-rival-are-worth-nearly-5-billion-each/" TargetMode="External" Id="rId7"/><Relationship Type="http://schemas.openxmlformats.org/officeDocument/2006/relationships/hyperlink" Target="https://stockanalysis.com/stocks/lulu/statistics/" TargetMode="External" Id="rId8"/><Relationship Type="http://schemas.openxmlformats.org/officeDocument/2006/relationships/hyperlink" Target="https://stockanalysis.com/stocks/lulu/statistics/" TargetMode="External" Id="rId9"/><Relationship Type="http://schemas.openxmlformats.org/officeDocument/2006/relationships/hyperlink" Target="https://www.nasdaq.com/market-activity/stocks/lulu" TargetMode="External" Id="rId10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 showOutlineSymbols="0"/>
    <pageSetUpPr/>
  </sheetPr>
  <dimension ref="B2:B25"/>
  <sheetViews>
    <sheetView showGridLines="0" showOutlineSymbol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6" customHeight="1">
      <c r="B2" s="1" t="inlineStr">
        <is>
          <t>lululemon athletica inc. (NASDAQ: LULU)</t>
        </is>
      </c>
    </row>
    <row r="4">
      <c r="B4" s="2" t="inlineStr">
        <is>
          <t>Unlevered DCF Valuation Model</t>
        </is>
      </c>
    </row>
    <row r="5">
      <c r="B5" s="3" t="inlineStr">
        <is>
          <t>FY2025A - FY2030E | US$ thousands</t>
        </is>
      </c>
    </row>
    <row r="7">
      <c r="B7" s="4" t="inlineStr">
        <is>
          <t>Recommendation: LONG / OVERWEIGHT</t>
        </is>
      </c>
    </row>
    <row r="9">
      <c r="B9" s="5" t="n"/>
    </row>
    <row r="10">
      <c r="B10" s="6" t="n"/>
    </row>
    <row r="11">
      <c r="B11" s="7" t="n"/>
    </row>
    <row r="12">
      <c r="B12" s="8" t="n"/>
    </row>
    <row r="14">
      <c r="B14" s="5" t="n"/>
    </row>
    <row r="15">
      <c r="B15" s="9" t="n"/>
    </row>
    <row r="16">
      <c r="B16" s="5" t="n"/>
    </row>
    <row r="17" ht="15" customHeight="1">
      <c r="B17" s="10" t="n"/>
    </row>
    <row r="19">
      <c r="B19" s="5" t="inlineStr">
        <is>
          <t>SOURCES</t>
        </is>
      </c>
    </row>
    <row r="20" ht="15" customHeight="1">
      <c r="B20" s="10" t="inlineStr">
        <is>
          <t>SEC EDGAR filings, CIK 0001397187 (Form 10-K, FY2025)</t>
        </is>
      </c>
    </row>
    <row r="21" ht="15" customHeight="1">
      <c r="B21" s="10" t="inlineStr">
        <is>
          <t>FY2025 Form 10-K (ended Feb 1, 2026)</t>
        </is>
      </c>
    </row>
    <row r="22" ht="15" customHeight="1">
      <c r="B22" s="10" t="inlineStr">
        <is>
          <t>Market data &amp; Q2 FY2026 results (Sep 3, 2026 earnings release)</t>
        </is>
      </c>
    </row>
    <row r="23" ht="15" customHeight="1">
      <c r="B23" s="10" t="inlineStr">
        <is>
          <t>Current share price (NASDAQ: LULU)</t>
        </is>
      </c>
    </row>
    <row r="25">
      <c r="B25" s="11" t="n"/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applyStyles="1" summaryBelow="1" summaryRight="1" showOutlineSymbols="0"/>
    <pageSetUpPr/>
  </sheetPr>
  <dimension ref="A1:D36"/>
  <sheetViews>
    <sheetView showGridLines="0" showOutlineSymbols="0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B3" sqref="B3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28" customWidth="1" min="2" max="2"/>
    <col width="18" customWidth="1" min="3" max="3"/>
    <col width="40" customWidth="1" min="4" max="4"/>
    <col width="12" customWidth="1" min="5" max="5"/>
  </cols>
  <sheetData>
    <row r="1" ht="16" customHeight="1">
      <c r="A1" s="12" t="inlineStr">
        <is>
          <t>WEIGHTED AVERAGE COST OF CAPITAL</t>
        </is>
      </c>
      <c r="D1" s="13" t="n"/>
    </row>
    <row r="2">
      <c r="A2" s="14" t="inlineStr">
        <is>
          <t>Cost of equity (CAPM)</t>
        </is>
      </c>
      <c r="B2" s="127" t="inlineStr">
        <is>
          <t>Notes</t>
        </is>
      </c>
      <c r="C2" t="inlineStr">
        <is>
          <t>Source</t>
        </is>
      </c>
    </row>
    <row r="3" ht="28" customHeight="1">
      <c r="A3" s="16" t="inlineStr">
        <is>
          <t>Risk-free rate (10-yr UST)</t>
        </is>
      </c>
      <c r="B3" s="9" t="inlineStr">
        <is>
          <t>Current 10Y UST</t>
        </is>
      </c>
      <c r="C3" s="167" t="inlineStr">
        <is>
          <t>FRED: 10Y Treasury (DGS10)</t>
        </is>
      </c>
      <c r="D3" s="129" t="n">
        <v>0.048</v>
      </c>
    </row>
    <row r="4" ht="28" customHeight="1">
      <c r="A4" s="16" t="inlineStr">
        <is>
          <t>Equity risk premium</t>
        </is>
      </c>
      <c r="B4" s="9" t="inlineStr">
        <is>
          <t>Damodaran ERP plus 177 bps US risk premium.</t>
        </is>
      </c>
      <c r="C4" s="167" t="inlineStr">
        <is>
          <t>Damodaran: Historical Implied ERP</t>
        </is>
      </c>
      <c r="D4" s="129" t="n">
        <v>0.06</v>
      </c>
    </row>
    <row r="5" ht="28" customHeight="1">
      <c r="A5" s="16" t="inlineStr">
        <is>
          <t>Tax rate</t>
        </is>
      </c>
      <c r="B5" s="9" t="inlineStr">
        <is>
          <t>Q2 FY26 guide ~30%</t>
        </is>
      </c>
      <c r="C5" s="167" t="inlineStr">
        <is>
          <t>Q2 FY2026 outlook: tax rate ≈ 30%</t>
        </is>
      </c>
      <c r="D5" s="129" t="n">
        <v>0.3</v>
      </c>
    </row>
    <row r="7">
      <c r="A7" s="14" t="inlineStr">
        <is>
          <t>Capital structure (market values)</t>
        </is>
      </c>
    </row>
    <row r="8" ht="28" customHeight="1">
      <c r="A8" s="16" t="inlineStr">
        <is>
          <t>Share price ($)</t>
        </is>
      </c>
      <c r="B8" s="9" t="inlineStr">
        <is>
          <t>NASDAQ last sale</t>
        </is>
      </c>
      <c r="C8" s="167" t="inlineStr">
        <is>
          <t>NASDAQ LULU last sale (current price)</t>
        </is>
      </c>
      <c r="D8" s="157" t="n">
        <v>100</v>
      </c>
    </row>
    <row r="9" ht="28" customHeight="1">
      <c r="A9" s="16" t="inlineStr">
        <is>
          <t>Shares outstanding (000)</t>
        </is>
      </c>
      <c r="B9" s="9" t="inlineStr">
        <is>
          <t>FY25 10-K shares</t>
        </is>
      </c>
      <c r="C9" s="167" t="inlineStr">
        <is>
          <t>LULU FY2025 10-K: shares outstanding</t>
        </is>
      </c>
      <c r="D9" s="158" t="n">
        <v>111380</v>
      </c>
    </row>
    <row r="10" ht="28" customHeight="1">
      <c r="A10" s="23" t="inlineStr">
        <is>
          <t>Market value of equity</t>
        </is>
      </c>
      <c r="B10" s="9" t="inlineStr">
        <is>
          <t>Px × shares</t>
        </is>
      </c>
      <c r="C10" s="168" t="inlineStr">
        <is>
          <t>WACC tab: price × shares</t>
        </is>
      </c>
      <c r="D10" s="130">
        <f>D8*D9</f>
        <v/>
      </c>
    </row>
    <row r="11" ht="28" customHeight="1">
      <c r="A11" s="16" t="inlineStr">
        <is>
          <t>Operating lease liabilities (ASC 842 debt equiv.)</t>
        </is>
      </c>
      <c r="B11" s="9" t="inlineStr">
        <is>
          <t>FY25 lease debt (10-K)</t>
        </is>
      </c>
      <c r="C11" s="167" t="inlineStr">
        <is>
          <t>LULU FY2025 10-K: operating lease liabilities</t>
        </is>
      </c>
      <c r="D11" s="158" t="n">
        <v>1798441</v>
      </c>
    </row>
    <row r="12">
      <c r="A12" s="16" t="inlineStr">
        <is>
          <t>Funded debt (term loans / bonds)</t>
        </is>
      </c>
      <c r="B12" s="9" t="inlineStr">
        <is>
          <t>No funded debt (10-K)</t>
        </is>
      </c>
      <c r="C12" s="128" t="inlineStr">
        <is>
          <t>LULU FY2025 10-K (no funded debt)</t>
        </is>
      </c>
      <c r="D12" s="22" t="n">
        <v>0</v>
      </c>
    </row>
    <row r="13" ht="28" customHeight="1">
      <c r="A13" s="23" t="inlineStr">
        <is>
          <t>Total debt equivalents</t>
        </is>
      </c>
      <c r="C13" s="169" t="inlineStr">
        <is>
          <t>Lease + funded debt (above)</t>
        </is>
      </c>
      <c r="D13" s="130">
        <f>D11+D12</f>
        <v/>
      </c>
    </row>
    <row r="15">
      <c r="A15" s="14" t="inlineStr">
        <is>
          <t>Beta (unlever to relever)</t>
        </is>
      </c>
    </row>
    <row r="16">
      <c r="A16" s="16" t="inlineStr">
        <is>
          <t>Observed Beta (5Y Monthly) - levered beta L</t>
        </is>
      </c>
      <c r="B16" s="9" t="inlineStr">
        <is>
          <t>Yahoo Beta (5Y Monthly) = 0.86. Levered equity.</t>
        </is>
      </c>
      <c r="C16" s="128" t="inlineStr">
        <is>
          <t>Yahoo Finance: LULU Beta (5Y Monthly)</t>
        </is>
      </c>
      <c r="D16" s="27" t="n">
        <v>0.86</v>
      </c>
    </row>
    <row r="17" ht="28" customHeight="1">
      <c r="A17" s="16" t="inlineStr">
        <is>
          <t>Yahoo Total Debt (mrq)</t>
        </is>
      </c>
      <c r="B17" s="9" t="inlineStr">
        <is>
          <t>Yahoo total debt</t>
        </is>
      </c>
      <c r="C17" s="167" t="inlineStr">
        <is>
          <t>Yahoo Finance: LULU Total Debt (mrq)</t>
        </is>
      </c>
      <c r="D17" s="158" t="n">
        <v>2140000</v>
      </c>
    </row>
    <row r="18" ht="28" customHeight="1">
      <c r="A18" s="16" t="inlineStr">
        <is>
          <t>Yahoo Market Cap (same page as beta L)</t>
        </is>
      </c>
      <c r="B18" s="9" t="inlineStr">
        <is>
          <t>Yahoo Market Cap = $11.14B on the same.</t>
        </is>
      </c>
      <c r="C18" s="167" t="inlineStr">
        <is>
          <t>Yahoo Finance: LULU Market Cap</t>
        </is>
      </c>
      <c r="D18" s="158" t="n">
        <v>11140000</v>
      </c>
    </row>
    <row r="19" ht="28" customHeight="1">
      <c r="A19" s="16" t="inlineStr">
        <is>
          <t>D/E for unlever (Yahoo debt mrq / Yahoo market cap)</t>
        </is>
      </c>
      <c r="B19" s="9" t="inlineStr">
        <is>
          <t>Unlever D/E = Yahoo debt (mrq) ÷ Yahoo.</t>
        </is>
      </c>
      <c r="C19" s="167" t="inlineStr">
        <is>
          <t>Yahoo Finance: debt (mrq) ÷ market cap</t>
        </is>
      </c>
      <c r="D19" s="28">
        <f>D17/D18</f>
        <v/>
      </c>
    </row>
    <row r="20" ht="28" customHeight="1">
      <c r="A20" s="16" t="inlineStr">
        <is>
          <t>Yahoo book D/E (mrq) - reference only</t>
        </is>
      </c>
      <c r="B20" s="9" t="inlineStr">
        <is>
          <t>Yahoo Total Debt/Equity (mrq) = 44.69% is book.</t>
        </is>
      </c>
      <c r="C20" s="167" t="inlineStr">
        <is>
          <t>Yahoo Finance: Total Debt/Equity (mrq)</t>
        </is>
      </c>
      <c r="D20" s="27" t="n">
        <v>0.4469</v>
      </c>
    </row>
    <row r="21" ht="28" customHeight="1">
      <c r="A21" s="16" t="inlineStr">
        <is>
          <t>Unlevered beta-u</t>
        </is>
      </c>
      <c r="B21" s="9" t="inlineStr">
        <is>
          <t>βu = 0.86 ÷ [1 + 0.70 ×.</t>
        </is>
      </c>
      <c r="C21" s="168" t="inlineStr">
        <is>
          <t>WACC tab: Hamada unlever (Yahoo market D/E)</t>
        </is>
      </c>
      <c r="D21" s="28">
        <f>D16/(1+(1-D5)*D19)</f>
        <v/>
      </c>
    </row>
    <row r="22" ht="28" customHeight="1">
      <c r="A22" s="16" t="inlineStr">
        <is>
          <t>D/E for relever (WACC: FY25 lease debt / market equity)</t>
        </is>
      </c>
      <c r="B22" s="9" t="inlineStr">
        <is>
          <t>FY25 lease D/E</t>
        </is>
      </c>
      <c r="C22" s="168" t="inlineStr">
        <is>
          <t>WACC tab: FY25 lease debt / market equity</t>
        </is>
      </c>
      <c r="D22" s="28">
        <f>D13/D10</f>
        <v/>
      </c>
    </row>
    <row r="23" ht="28" customHeight="1">
      <c r="A23" s="16" t="inlineStr">
        <is>
          <t>Sector beta-u benchmark (Damodaran Special Lines) - not used</t>
        </is>
      </c>
      <c r="B23" s="9" t="inlineStr">
        <is>
          <t>Benchmark only: Damodaran unlevered Retail (Special Lines) βu.</t>
        </is>
      </c>
      <c r="C23" s="167" t="inlineStr">
        <is>
          <t>Damodaran: US betas by sector (Jan 2026)</t>
        </is>
      </c>
      <c r="D23" s="27" t="n">
        <v>0.95</v>
      </c>
    </row>
    <row r="24" ht="28" customHeight="1">
      <c r="A24" s="23" t="inlineStr">
        <is>
          <t>Beta used (relevered for WACC capital structure)</t>
        </is>
      </c>
      <c r="B24" s="9" t="inlineStr">
        <is>
          <t>Relevered β</t>
        </is>
      </c>
      <c r="C24" s="168" t="inlineStr">
        <is>
          <t>WACC tab: Hamada relever (total D/E incl. leases)</t>
        </is>
      </c>
      <c r="D24" s="131">
        <f>D21*(1+(1-D5)*D22)</f>
        <v/>
      </c>
    </row>
    <row r="25" ht="15" customHeight="1">
      <c r="A25" s="26" t="n"/>
    </row>
    <row r="26">
      <c r="A26" s="14" t="inlineStr">
        <is>
          <t>Cost of equity (CAPM)</t>
        </is>
      </c>
      <c r="B26" s="127" t="inlineStr">
        <is>
          <t>Notes</t>
        </is>
      </c>
      <c r="C26" s="127" t="inlineStr">
        <is>
          <t>Source</t>
        </is>
      </c>
    </row>
    <row r="27">
      <c r="A27" s="23" t="inlineStr">
        <is>
          <t>Cost of equity = rf + beta x ERP</t>
        </is>
      </c>
      <c r="C27" s="11" t="inlineStr">
        <is>
          <t>CAPM: rf + β × ERP</t>
        </is>
      </c>
      <c r="D27" s="31">
        <f>D3+D24*D4</f>
        <v/>
      </c>
    </row>
    <row r="29">
      <c r="A29" s="14" t="inlineStr">
        <is>
          <t>Cost of debt (lease-equivalent)</t>
        </is>
      </c>
    </row>
    <row r="30">
      <c r="A30" s="16" t="inlineStr">
        <is>
          <t>Pre-tax cost of debt (lease-equivalent)</t>
        </is>
      </c>
      <c r="B30" s="9" t="inlineStr">
        <is>
          <t>Lease-equivalent kd</t>
        </is>
      </c>
      <c r="C30" s="128" t="inlineStr">
        <is>
          <t>LULU FY2025 10-K: lease liabilities &amp; no funded debt</t>
        </is>
      </c>
      <c r="D30" s="129" t="n">
        <v>0.05</v>
      </c>
    </row>
    <row r="31">
      <c r="A31" s="16" t="inlineStr">
        <is>
          <t>After-tax cost of debt</t>
        </is>
      </c>
      <c r="C31" s="11" t="inlineStr">
        <is>
          <t>Pre-tax kd × (1 − T)</t>
        </is>
      </c>
      <c r="D31" s="31">
        <f>D30*(1-D5)</f>
        <v/>
      </c>
    </row>
    <row r="33">
      <c r="A33" s="14" t="inlineStr">
        <is>
          <t>WACC weights</t>
        </is>
      </c>
      <c r="C33" s="11" t="inlineStr">
        <is>
          <t>Weighted avg (weights above)</t>
        </is>
      </c>
    </row>
    <row r="34">
      <c r="A34" s="16" t="inlineStr">
        <is>
          <t>Equity weight</t>
        </is>
      </c>
      <c r="B34" s="9" t="inlineStr">
        <is>
          <t>Equity weight</t>
        </is>
      </c>
      <c r="C34" s="126" t="inlineStr">
        <is>
          <t>WACC tab: capital structure</t>
        </is>
      </c>
      <c r="D34" s="32">
        <f>D10/(D10+D13)</f>
        <v/>
      </c>
    </row>
    <row r="35" ht="28" customHeight="1">
      <c r="A35" s="16" t="inlineStr">
        <is>
          <t>Debt weight (leases + funded)</t>
        </is>
      </c>
      <c r="B35" s="9" t="inlineStr">
        <is>
          <t>Debt weight</t>
        </is>
      </c>
      <c r="C35" s="167" t="inlineStr">
        <is>
          <t>LULU FY2025 10-K: operating lease liabilities</t>
        </is>
      </c>
      <c r="D35" s="32">
        <f>D13/(D10+D13)</f>
        <v/>
      </c>
    </row>
    <row r="36">
      <c r="A36" s="23" t="inlineStr">
        <is>
          <t>WACC</t>
        </is>
      </c>
      <c r="C36" s="11" t="inlineStr">
        <is>
          <t>Weighted avg (weights above)</t>
        </is>
      </c>
      <c r="D36" s="132">
        <f>D34*D27+D35*D31</f>
        <v/>
      </c>
    </row>
    <row r="39" ht="28" customHeight="1"/>
    <row r="40" ht="28" customHeight="1"/>
  </sheetData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1" r:id="rId6"/>
    <hyperlink xmlns:r="http://schemas.openxmlformats.org/officeDocument/2006/relationships" ref="C12" r:id="rId7"/>
    <hyperlink xmlns:r="http://schemas.openxmlformats.org/officeDocument/2006/relationships" ref="C16" r:id="rId8"/>
    <hyperlink xmlns:r="http://schemas.openxmlformats.org/officeDocument/2006/relationships" ref="C17" r:id="rId9"/>
    <hyperlink xmlns:r="http://schemas.openxmlformats.org/officeDocument/2006/relationships" ref="C18" r:id="rId10"/>
    <hyperlink xmlns:r="http://schemas.openxmlformats.org/officeDocument/2006/relationships" ref="C19" r:id="rId11"/>
    <hyperlink xmlns:r="http://schemas.openxmlformats.org/officeDocument/2006/relationships" ref="C20" r:id="rId12"/>
    <hyperlink xmlns:r="http://schemas.openxmlformats.org/officeDocument/2006/relationships" ref="C23" r:id="rId13"/>
    <hyperlink xmlns:r="http://schemas.openxmlformats.org/officeDocument/2006/relationships" ref="C30" r:id="rId14"/>
    <hyperlink xmlns:r="http://schemas.openxmlformats.org/officeDocument/2006/relationships" ref="C35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applyStyles="1" summaryBelow="1" summaryRight="1" showOutlineSymbols="0"/>
    <pageSetUpPr/>
  </sheetPr>
  <dimension ref="A1:I193"/>
  <sheetViews>
    <sheetView showGridLines="0" showOutlineSymbols="0" workbookViewId="0">
      <pane xSplit="6" ySplit="2" topLeftCell="G3" activePane="bottomRight" state="frozen"/>
      <selection pane="topRight" activeCell="A1" sqref="A1"/>
      <selection pane="bottomLeft" activeCell="A1" sqref="A1"/>
      <selection pane="bottomRight" activeCell="B3" sqref="B3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26" customWidth="1" min="2" max="2"/>
    <col width="16" customWidth="1" min="3" max="3"/>
    <col width="38" customWidth="1" min="4" max="4"/>
    <col width="11" customWidth="1" min="6" max="6"/>
    <col width="11" customWidth="1" min="7" max="7"/>
    <col width="11" customWidth="1" min="8" max="8"/>
    <col width="11" customWidth="1" min="9" max="9"/>
  </cols>
  <sheetData>
    <row r="1" ht="16" customHeight="1">
      <c r="A1" s="12" t="inlineStr">
        <is>
          <t>SCENARIO ANALYSIS</t>
        </is>
      </c>
      <c r="D1" s="13" t="n"/>
      <c r="E1" s="13" t="n"/>
      <c r="F1" s="13" t="n"/>
      <c r="G1" s="13" t="n"/>
    </row>
    <row r="2">
      <c r="E2" s="133" t="inlineStr">
        <is>
          <t>Bear</t>
        </is>
      </c>
      <c r="F2" s="134" t="inlineStr">
        <is>
          <t>Base</t>
        </is>
      </c>
      <c r="G2" s="135" t="inlineStr">
        <is>
          <t>Bull</t>
        </is>
      </c>
    </row>
    <row r="3">
      <c r="A3" s="14" t="inlineStr">
        <is>
          <t>Key assumptions (5-yr forecast)</t>
        </is>
      </c>
      <c r="B3" s="127" t="inlineStr">
        <is>
          <t>Notes</t>
        </is>
      </c>
      <c r="C3" t="inlineStr">
        <is>
          <t>Source</t>
        </is>
      </c>
      <c r="I3" s="170" t="inlineStr">
        <is>
          <t>spot check</t>
        </is>
      </c>
    </row>
    <row r="4" ht="28" customHeight="1">
      <c r="A4" s="16" t="inlineStr">
        <is>
          <t>FY2026E revenue growth</t>
        </is>
      </c>
      <c r="B4" s="9" t="inlineStr">
        <is>
          <t>Q2 FY26 rev guide</t>
        </is>
      </c>
      <c r="C4" s="167" t="inlineStr">
        <is>
          <t>LULU Q2 FY2026 earnings release</t>
        </is>
      </c>
      <c r="E4" s="129" t="n">
        <v>-0.09</v>
      </c>
      <c r="F4" s="171" t="n">
        <v>-0.061</v>
      </c>
      <c r="G4" s="129" t="n">
        <v>-0.04</v>
      </c>
      <c r="I4" s="172">
        <f>F25*F4</f>
        <v/>
      </c>
    </row>
    <row r="5" ht="28" customHeight="1">
      <c r="A5" s="16" t="inlineStr">
        <is>
          <t>FY2027-FY2030E revenue growth (avg)</t>
        </is>
      </c>
      <c r="B5" s="9" t="inlineStr">
        <is>
          <t>2.3% FY27–30 growth matches StockAnalysis Revenue Growth Forecast.</t>
        </is>
      </c>
      <c r="C5" s="167" t="inlineStr">
        <is>
          <t>StockAnalysis: LULU 3Y revenue forecast</t>
        </is>
      </c>
      <c r="E5" s="129" t="n">
        <v>-0.01</v>
      </c>
      <c r="F5" s="129" t="n">
        <v>0.023</v>
      </c>
      <c r="G5" s="129" t="n">
        <v>0.06</v>
      </c>
    </row>
    <row r="6" ht="28" customHeight="1">
      <c r="A6" s="16" t="inlineStr">
        <is>
          <t>Run-rate EBIT margin (clean, ex-refunds)</t>
        </is>
      </c>
      <c r="B6" s="9" t="inlineStr">
        <is>
          <t>Q2 FY26 run-rate OM</t>
        </is>
      </c>
      <c r="C6" s="167" t="inlineStr">
        <is>
          <t>Q2 FY2026 release: 18.8% OM minus 560bps tariffs</t>
        </is>
      </c>
      <c r="E6" s="129" t="n">
        <v>0.12</v>
      </c>
      <c r="F6" s="129" t="n">
        <v>0.132</v>
      </c>
      <c r="G6" s="129" t="n">
        <v>0.145</v>
      </c>
    </row>
    <row r="7" ht="28" customHeight="1">
      <c r="A7" s="16" t="inlineStr">
        <is>
          <t>FY26 IEEPA tariff refunds ($k, already in guide)</t>
        </is>
      </c>
      <c r="B7" s="9" t="inlineStr">
        <is>
          <t>FY26 tariff refund</t>
        </is>
      </c>
      <c r="C7" s="167" t="inlineStr">
        <is>
          <t>Q2 FY2026 release: $134.5M IEEPA tariff refunds</t>
        </is>
      </c>
      <c r="E7" s="158" t="n">
        <v>134500</v>
      </c>
      <c r="F7" s="158" t="n">
        <v>134500</v>
      </c>
      <c r="G7" s="158" t="n">
        <v>134500</v>
      </c>
    </row>
    <row r="8" ht="28" customHeight="1">
      <c r="A8" s="16" t="inlineStr">
        <is>
          <t>Terminal (FY2030E) EBIT margin</t>
        </is>
      </c>
      <c r="B8" s="9" t="inlineStr">
        <is>
          <t>Partial OM recovery</t>
        </is>
      </c>
      <c r="C8" s="167" t="inlineStr">
        <is>
          <t>FY2025 10-K: Operating margin 19.9% (one hit)</t>
        </is>
      </c>
      <c r="E8" s="129" t="n">
        <v>0.12</v>
      </c>
      <c r="F8" s="129" t="n">
        <v>0.155</v>
      </c>
      <c r="G8" s="129" t="n">
        <v>0.19</v>
      </c>
    </row>
    <row r="9" ht="28" customHeight="1">
      <c r="A9" s="16" t="inlineStr">
        <is>
          <t>WACC</t>
        </is>
      </c>
      <c r="B9" s="9" t="inlineStr">
        <is>
          <t>Links to WACC tab</t>
        </is>
      </c>
      <c r="C9" s="167" t="inlineStr">
        <is>
          <t>WACC tab: CAPM build</t>
        </is>
      </c>
      <c r="E9" s="129" t="n">
        <v>0.11</v>
      </c>
      <c r="F9" s="136">
        <f>WACC!D36</f>
        <v/>
      </c>
      <c r="G9" s="129" t="n">
        <v>0.095</v>
      </c>
    </row>
    <row r="10" ht="28" customHeight="1">
      <c r="A10" s="16" t="inlineStr">
        <is>
          <t>Terminal growth</t>
        </is>
      </c>
      <c r="B10" s="9" t="inlineStr">
        <is>
          <t>FRED GDPC1 ~2.1%</t>
        </is>
      </c>
      <c r="C10" s="167" t="inlineStr">
        <is>
          <t>FRED: Real GDP (GDPC1)</t>
        </is>
      </c>
      <c r="E10" s="129" t="n">
        <v>0.015</v>
      </c>
      <c r="F10" s="171" t="n">
        <v>0.0225</v>
      </c>
      <c r="G10" s="129" t="n">
        <v>0.03</v>
      </c>
    </row>
    <row r="11" ht="28" customHeight="1">
      <c r="A11" s="16" t="inlineStr">
        <is>
          <t>Cash tax rate</t>
        </is>
      </c>
      <c r="B11" s="9" t="inlineStr">
        <is>
          <t>Q2 FY26 guide ~30%</t>
        </is>
      </c>
      <c r="C11" s="167" t="inlineStr">
        <is>
          <t>Q2 FY2026 outlook: tax rate ≈ 30%</t>
        </is>
      </c>
      <c r="E11" s="129" t="n">
        <v>0.32</v>
      </c>
      <c r="F11" s="129" t="n">
        <v>0.3</v>
      </c>
      <c r="G11" s="129" t="n">
        <v>0.28</v>
      </c>
    </row>
    <row r="12" ht="28" customHeight="1">
      <c r="A12" s="16" t="inlineStr">
        <is>
          <t>D&amp;A % of revenue</t>
        </is>
      </c>
      <c r="B12" s="9" t="inlineStr">
        <is>
          <t>FY25 D&amp;A / sales</t>
        </is>
      </c>
      <c r="C12" s="167" t="inlineStr">
        <is>
          <t>LULU CF statement (10-K)</t>
        </is>
      </c>
      <c r="E12" s="129" t="n">
        <v>0.045</v>
      </c>
      <c r="F12" s="129" t="n">
        <v>0.045</v>
      </c>
      <c r="G12" s="129" t="n">
        <v>0.045</v>
      </c>
    </row>
    <row r="13" ht="15" customHeight="1">
      <c r="A13" s="16" t="inlineStr">
        <is>
          <t>Capex % of revenue</t>
        </is>
      </c>
      <c r="B13" s="9" t="inlineStr">
        <is>
          <t>5.5% model rate; FY26 7% capex guide fades down.</t>
        </is>
      </c>
      <c r="C13" s="167" t="inlineStr">
        <is>
          <t>LULU 10-K: 2026 capex guide $725–745M Also: Q2 FY2026 outlook: $10.350B–$10.500B sales</t>
        </is>
      </c>
      <c r="E13" s="129" t="n">
        <v>0.07000000000000001</v>
      </c>
      <c r="F13" s="171" t="n">
        <v>0.055</v>
      </c>
      <c r="G13" s="129" t="n">
        <v>0.045</v>
      </c>
    </row>
    <row r="14" ht="15" customHeight="1">
      <c r="A14" s="16" t="inlineStr">
        <is>
          <t>Gross margin %</t>
        </is>
      </c>
      <c r="B14" s="9" t="inlineStr">
        <is>
          <t>Flat vs FY25</t>
        </is>
      </c>
      <c r="C14" s="167" t="inlineStr">
        <is>
          <t>LULU FY2025 10-K: Gross profit &amp; COGS</t>
        </is>
      </c>
      <c r="E14" s="129" t="n">
        <v>0.5600000000000001</v>
      </c>
      <c r="F14" s="129" t="n">
        <v>0.5659999999999999</v>
      </c>
      <c r="G14" s="129" t="n">
        <v>0.575</v>
      </c>
    </row>
    <row r="15" ht="15" customHeight="1">
      <c r="A15" s="16" t="inlineStr">
        <is>
          <t>DSO (days) - flat vs FY25</t>
        </is>
      </c>
      <c r="B15" s="9" t="inlineStr">
        <is>
          <t>6.3 days DSO held flat vs FY25 actual.</t>
        </is>
      </c>
      <c r="C15" s="167" t="inlineStr">
        <is>
          <t>LULU FY2025 10-K: Accounts receivable, net</t>
        </is>
      </c>
      <c r="E15" s="159" t="n">
        <v>6.267883648875038</v>
      </c>
      <c r="F15" s="159" t="n">
        <v>6.267883648875038</v>
      </c>
      <c r="G15" s="159" t="n">
        <v>6.267883648875038</v>
      </c>
    </row>
    <row r="16" ht="15" customHeight="1">
      <c r="A16" s="16" t="inlineStr">
        <is>
          <t>FY25 DIO anchor (days)</t>
        </is>
      </c>
      <c r="B16" s="9" t="inlineStr">
        <is>
          <t>FY25 DIO −1d/yr</t>
        </is>
      </c>
      <c r="C16" s="167" t="inlineStr">
        <is>
          <t>LULU FY2025 10-K: Inventories &amp; COGS</t>
        </is>
      </c>
      <c r="E16" s="159" t="n">
        <v>128.8324100108167</v>
      </c>
      <c r="F16" s="159" t="n">
        <v>128.8324100108167</v>
      </c>
      <c r="G16" s="159" t="n">
        <v>128.8324100108167</v>
      </c>
    </row>
    <row r="17" ht="15" customHeight="1">
      <c r="A17" s="16" t="inlineStr">
        <is>
          <t>DIO decline (days / forecast yr)</t>
        </is>
      </c>
      <c r="B17" s="9" t="inlineStr">
        <is>
          <t>−1 day / yr</t>
        </is>
      </c>
      <c r="C17" s="167" t="inlineStr">
        <is>
          <t>LULU FY2025 10-K: inventory &amp; markdown outlook</t>
        </is>
      </c>
      <c r="E17" s="159" t="n">
        <v>1</v>
      </c>
      <c r="F17" s="159" t="n">
        <v>1</v>
      </c>
      <c r="G17" s="159" t="n">
        <v>1</v>
      </c>
    </row>
    <row r="18" ht="15" customHeight="1">
      <c r="A18" s="16" t="inlineStr">
        <is>
          <t>DPO (days) - flat vs FY25</t>
        </is>
      </c>
      <c r="B18" s="9" t="inlineStr">
        <is>
          <t>25.1 days DPO held flat vs FY25 actual.</t>
        </is>
      </c>
      <c r="C18" s="167" t="inlineStr">
        <is>
          <t>LULU FY2025 10-K: Accounts payable &amp; COGS</t>
        </is>
      </c>
      <c r="E18" s="159" t="n">
        <v>25.10521290169407</v>
      </c>
      <c r="F18" s="159" t="n">
        <v>25.10521290169407</v>
      </c>
      <c r="G18" s="159" t="n">
        <v>25.10521290169407</v>
      </c>
    </row>
    <row r="19" ht="15" customHeight="1">
      <c r="A19" s="16" t="inlineStr">
        <is>
          <t>Prepaid expenses (% of revenue)</t>
        </is>
      </c>
      <c r="B19" s="9" t="inlineStr">
        <is>
          <t>FY25 prepaids % rev</t>
        </is>
      </c>
      <c r="C19" s="167" t="inlineStr">
        <is>
          <t>LULU FY2025 10-K: other current assets (residual)</t>
        </is>
      </c>
      <c r="E19" s="129" t="n">
        <v>0.05080692810692991</v>
      </c>
      <c r="F19" s="129" t="n">
        <v>0.05080692810692991</v>
      </c>
      <c r="G19" s="129" t="n">
        <v>0.05080692810692991</v>
      </c>
    </row>
    <row r="20" ht="15" customHeight="1">
      <c r="A20" s="16" t="inlineStr">
        <is>
          <t>Accrued liabilities (% of revenue)</t>
        </is>
      </c>
      <c r="B20" s="9" t="inlineStr">
        <is>
          <t>FY25 accrued % rev</t>
        </is>
      </c>
      <c r="C20" s="167" t="inlineStr">
        <is>
          <t>LULU FY2025 10-K: Accrued liabilities and other</t>
        </is>
      </c>
      <c r="E20" s="129" t="n">
        <v>0.05971412101669879</v>
      </c>
      <c r="F20" s="129" t="n">
        <v>0.05971412101669879</v>
      </c>
      <c r="G20" s="129" t="n">
        <v>0.05971412101669879</v>
      </c>
    </row>
    <row r="21">
      <c r="A21" s="16" t="inlineStr">
        <is>
          <t>Pitch CFF: fixed buyback ($k/yr) bear/base</t>
        </is>
      </c>
      <c r="E21" s="158" t="n">
        <v>500000</v>
      </c>
      <c r="F21" s="158" t="n">
        <v>500000</v>
      </c>
      <c r="G21" s="22" t="n">
        <v>0</v>
      </c>
    </row>
    <row r="22">
      <c r="A22" s="16" t="inlineStr">
        <is>
          <t>Pitch CFF: % of FCF to buybacks (bull)</t>
        </is>
      </c>
      <c r="E22" s="129" t="n">
        <v>0</v>
      </c>
      <c r="F22" s="129" t="n">
        <v>0</v>
      </c>
      <c r="G22" s="129" t="n">
        <v>0.75</v>
      </c>
    </row>
    <row r="24">
      <c r="A24" s="14" t="inlineStr">
        <is>
          <t>5-year forecast paths (by scenario)</t>
        </is>
      </c>
    </row>
    <row r="25">
      <c r="A25" s="41" t="inlineStr">
        <is>
          <t>Revenue - year 1</t>
        </is>
      </c>
      <c r="E25" s="75">
        <f>11102600*(1+E4)</f>
        <v/>
      </c>
      <c r="F25" s="75">
        <f>11102600*(1+F4)</f>
        <v/>
      </c>
      <c r="G25" s="75">
        <f>11102600*(1+G4)</f>
        <v/>
      </c>
    </row>
    <row r="26">
      <c r="A26" s="41" t="inlineStr">
        <is>
          <t>Revenue - year 2</t>
        </is>
      </c>
      <c r="E26" s="75">
        <f>E25*(1+E5)</f>
        <v/>
      </c>
      <c r="F26" s="75">
        <f>F25*(1+F5)</f>
        <v/>
      </c>
      <c r="G26" s="75">
        <f>G25*(1+G5)</f>
        <v/>
      </c>
    </row>
    <row r="27">
      <c r="A27" s="41" t="inlineStr">
        <is>
          <t>Revenue - year 3</t>
        </is>
      </c>
      <c r="E27" s="75">
        <f>E26*(1+E5)</f>
        <v/>
      </c>
      <c r="F27" s="75">
        <f>F26*(1+F5)</f>
        <v/>
      </c>
      <c r="G27" s="75">
        <f>G26*(1+G5)</f>
        <v/>
      </c>
    </row>
    <row r="28">
      <c r="A28" s="41" t="inlineStr">
        <is>
          <t>Revenue - year 4</t>
        </is>
      </c>
      <c r="E28" s="75">
        <f>E27*(1+E5)</f>
        <v/>
      </c>
      <c r="F28" s="75">
        <f>F27*(1+F5)</f>
        <v/>
      </c>
      <c r="G28" s="75">
        <f>G27*(1+G5)</f>
        <v/>
      </c>
    </row>
    <row r="29">
      <c r="A29" s="41" t="inlineStr">
        <is>
          <t>Revenue - year 5</t>
        </is>
      </c>
      <c r="E29" s="75">
        <f>E28*(1+E5)</f>
        <v/>
      </c>
      <c r="F29" s="75">
        <f>F28*(1+F5)</f>
        <v/>
      </c>
      <c r="G29" s="75">
        <f>G28*(1+G5)</f>
        <v/>
      </c>
    </row>
    <row r="30">
      <c r="A30" s="41" t="inlineStr">
        <is>
          <t>Gross margin % - year 1</t>
        </is>
      </c>
      <c r="E30" s="32">
        <f>E14</f>
        <v/>
      </c>
      <c r="F30" s="32">
        <f>F14</f>
        <v/>
      </c>
      <c r="G30" s="32">
        <f>G14</f>
        <v/>
      </c>
    </row>
    <row r="31">
      <c r="A31" s="41" t="inlineStr">
        <is>
          <t>Gross margin % - year 2</t>
        </is>
      </c>
      <c r="E31" s="32">
        <f>E14</f>
        <v/>
      </c>
      <c r="F31" s="32">
        <f>F14</f>
        <v/>
      </c>
      <c r="G31" s="32">
        <f>G14</f>
        <v/>
      </c>
    </row>
    <row r="32">
      <c r="A32" s="41" t="inlineStr">
        <is>
          <t>Gross margin % - year 3</t>
        </is>
      </c>
      <c r="E32" s="32">
        <f>E14</f>
        <v/>
      </c>
      <c r="F32" s="32">
        <f>F14</f>
        <v/>
      </c>
      <c r="G32" s="32">
        <f>G14</f>
        <v/>
      </c>
    </row>
    <row r="33">
      <c r="A33" s="41" t="inlineStr">
        <is>
          <t>Gross margin % - year 4</t>
        </is>
      </c>
      <c r="E33" s="32">
        <f>E14</f>
        <v/>
      </c>
      <c r="F33" s="32">
        <f>F14</f>
        <v/>
      </c>
      <c r="G33" s="32">
        <f>G14</f>
        <v/>
      </c>
    </row>
    <row r="34">
      <c r="A34" s="41" t="inlineStr">
        <is>
          <t>Gross margin % - year 5</t>
        </is>
      </c>
      <c r="E34" s="32">
        <f>E14</f>
        <v/>
      </c>
      <c r="F34" s="32">
        <f>F14</f>
        <v/>
      </c>
      <c r="G34" s="32">
        <f>G14</f>
        <v/>
      </c>
    </row>
    <row r="35">
      <c r="A35" s="41" t="inlineStr">
        <is>
          <t>Cost of goods sold (COGS) - year 1</t>
        </is>
      </c>
      <c r="E35" s="75">
        <f>E25*(1-E30)</f>
        <v/>
      </c>
      <c r="F35" s="75">
        <f>F25*(1-F30)</f>
        <v/>
      </c>
      <c r="G35" s="75">
        <f>G25*(1-G30)</f>
        <v/>
      </c>
    </row>
    <row r="36">
      <c r="A36" s="41" t="inlineStr">
        <is>
          <t>Cost of goods sold (COGS) - year 2</t>
        </is>
      </c>
      <c r="E36" s="75">
        <f>E26*(1-E31)</f>
        <v/>
      </c>
      <c r="F36" s="75">
        <f>F26*(1-F31)</f>
        <v/>
      </c>
      <c r="G36" s="75">
        <f>G26*(1-G31)</f>
        <v/>
      </c>
    </row>
    <row r="37">
      <c r="A37" s="41" t="inlineStr">
        <is>
          <t>Cost of goods sold (COGS) - year 3</t>
        </is>
      </c>
      <c r="E37" s="75">
        <f>E27*(1-E32)</f>
        <v/>
      </c>
      <c r="F37" s="75">
        <f>F27*(1-F32)</f>
        <v/>
      </c>
      <c r="G37" s="75">
        <f>G27*(1-G32)</f>
        <v/>
      </c>
    </row>
    <row r="38">
      <c r="A38" s="41" t="inlineStr">
        <is>
          <t>Cost of goods sold (COGS) - year 4</t>
        </is>
      </c>
      <c r="E38" s="75">
        <f>E28*(1-E33)</f>
        <v/>
      </c>
      <c r="F38" s="75">
        <f>F28*(1-F33)</f>
        <v/>
      </c>
      <c r="G38" s="75">
        <f>G28*(1-G33)</f>
        <v/>
      </c>
    </row>
    <row r="39">
      <c r="A39" s="41" t="inlineStr">
        <is>
          <t>Cost of goods sold (COGS) - year 5</t>
        </is>
      </c>
      <c r="E39" s="75">
        <f>E29*(1-E34)</f>
        <v/>
      </c>
      <c r="F39" s="75">
        <f>F29*(1-F34)</f>
        <v/>
      </c>
      <c r="G39" s="75">
        <f>G29*(1-G34)</f>
        <v/>
      </c>
    </row>
    <row r="40">
      <c r="A40" s="41" t="inlineStr">
        <is>
          <t>Clean EBIT margin - year 1</t>
        </is>
      </c>
      <c r="E40" s="32">
        <f>E6+(E8-E6)*0/4</f>
        <v/>
      </c>
      <c r="F40" s="32">
        <f>F6+(F8-F6)*0/4</f>
        <v/>
      </c>
      <c r="G40" s="32">
        <f>G6+(G8-G6)*0/4</f>
        <v/>
      </c>
    </row>
    <row r="41">
      <c r="A41" s="41" t="inlineStr">
        <is>
          <t>Clean EBIT margin - year 2</t>
        </is>
      </c>
      <c r="E41" s="32">
        <f>E6+(E8-E6)*1/4</f>
        <v/>
      </c>
      <c r="F41" s="32">
        <f>F6+(F8-F6)*1/4</f>
        <v/>
      </c>
      <c r="G41" s="32">
        <f>G6+(G8-G6)*1/4</f>
        <v/>
      </c>
    </row>
    <row r="42">
      <c r="A42" s="41" t="inlineStr">
        <is>
          <t>Clean EBIT margin - year 3</t>
        </is>
      </c>
      <c r="E42" s="32">
        <f>E6+(E8-E6)*2/4</f>
        <v/>
      </c>
      <c r="F42" s="32">
        <f>F6+(F8-F6)*2/4</f>
        <v/>
      </c>
      <c r="G42" s="32">
        <f>G6+(G8-G6)*2/4</f>
        <v/>
      </c>
    </row>
    <row r="43">
      <c r="A43" s="41" t="inlineStr">
        <is>
          <t>Clean EBIT margin - year 4</t>
        </is>
      </c>
      <c r="E43" s="32">
        <f>E6+(E8-E6)*3/4</f>
        <v/>
      </c>
      <c r="F43" s="32">
        <f>F6+(F8-F6)*3/4</f>
        <v/>
      </c>
      <c r="G43" s="32">
        <f>G6+(G8-G6)*3/4</f>
        <v/>
      </c>
    </row>
    <row r="44">
      <c r="A44" s="41" t="inlineStr">
        <is>
          <t>Clean EBIT margin - year 5</t>
        </is>
      </c>
      <c r="E44" s="32">
        <f>E6+(E8-E6)*4/4</f>
        <v/>
      </c>
      <c r="F44" s="32">
        <f>F6+(F8-F6)*4/4</f>
        <v/>
      </c>
      <c r="G44" s="32">
        <f>G6+(G8-G6)*4/4</f>
        <v/>
      </c>
    </row>
    <row r="45">
      <c r="A45" s="41" t="inlineStr">
        <is>
          <t>EBIT - year 1</t>
        </is>
      </c>
      <c r="E45" s="75">
        <f>E25*E40+E7</f>
        <v/>
      </c>
      <c r="F45" s="75">
        <f>F25*F40+F7</f>
        <v/>
      </c>
      <c r="G45" s="75">
        <f>G25*G40+G7</f>
        <v/>
      </c>
    </row>
    <row r="46">
      <c r="A46" s="41" t="inlineStr">
        <is>
          <t>EBIT - year 2</t>
        </is>
      </c>
      <c r="E46" s="75">
        <f>E26*E41</f>
        <v/>
      </c>
      <c r="F46" s="75">
        <f>F26*F41</f>
        <v/>
      </c>
      <c r="G46" s="75">
        <f>G26*G41</f>
        <v/>
      </c>
    </row>
    <row r="47">
      <c r="A47" s="41" t="inlineStr">
        <is>
          <t>EBIT - year 3</t>
        </is>
      </c>
      <c r="E47" s="75">
        <f>E27*E42</f>
        <v/>
      </c>
      <c r="F47" s="75">
        <f>F27*F42</f>
        <v/>
      </c>
      <c r="G47" s="75">
        <f>G27*G42</f>
        <v/>
      </c>
    </row>
    <row r="48">
      <c r="A48" s="41" t="inlineStr">
        <is>
          <t>EBIT - year 4</t>
        </is>
      </c>
      <c r="E48" s="75">
        <f>E28*E43</f>
        <v/>
      </c>
      <c r="F48" s="75">
        <f>F28*F43</f>
        <v/>
      </c>
      <c r="G48" s="75">
        <f>G28*G43</f>
        <v/>
      </c>
    </row>
    <row r="49">
      <c r="A49" s="41" t="inlineStr">
        <is>
          <t>EBIT - year 5</t>
        </is>
      </c>
      <c r="E49" s="75">
        <f>E29*E44</f>
        <v/>
      </c>
      <c r="F49" s="75">
        <f>F29*F44</f>
        <v/>
      </c>
      <c r="G49" s="75">
        <f>G29*G44</f>
        <v/>
      </c>
    </row>
    <row r="50">
      <c r="A50" s="41" t="inlineStr">
        <is>
          <t>NOPAT - year 1</t>
        </is>
      </c>
      <c r="E50" s="138">
        <f>E45*(1-'NOPAT Bridge'!E$39)</f>
        <v/>
      </c>
      <c r="F50" s="138">
        <f>'NOPAT Bridge'!E41</f>
        <v/>
      </c>
      <c r="G50" s="138">
        <f>G45*(1-'NOPAT Bridge'!E$39)</f>
        <v/>
      </c>
    </row>
    <row r="51">
      <c r="A51" s="41" t="inlineStr">
        <is>
          <t>NOPAT - year 2</t>
        </is>
      </c>
      <c r="E51" s="138">
        <f>E46*(1-'NOPAT Bridge'!F$39)</f>
        <v/>
      </c>
      <c r="F51" s="138">
        <f>'NOPAT Bridge'!F41</f>
        <v/>
      </c>
      <c r="G51" s="138">
        <f>G46*(1-'NOPAT Bridge'!F$39)</f>
        <v/>
      </c>
    </row>
    <row r="52">
      <c r="A52" s="41" t="inlineStr">
        <is>
          <t>NOPAT - year 3</t>
        </is>
      </c>
      <c r="E52" s="138">
        <f>E47*(1-'NOPAT Bridge'!G$39)</f>
        <v/>
      </c>
      <c r="F52" s="138">
        <f>'NOPAT Bridge'!G41</f>
        <v/>
      </c>
      <c r="G52" s="138">
        <f>G47*(1-'NOPAT Bridge'!G$39)</f>
        <v/>
      </c>
    </row>
    <row r="53">
      <c r="A53" s="41" t="inlineStr">
        <is>
          <t>NOPAT - year 4</t>
        </is>
      </c>
      <c r="E53" s="138">
        <f>E48*(1-'NOPAT Bridge'!H$39)</f>
        <v/>
      </c>
      <c r="F53" s="138">
        <f>'NOPAT Bridge'!H41</f>
        <v/>
      </c>
      <c r="G53" s="138">
        <f>G48*(1-'NOPAT Bridge'!H$39)</f>
        <v/>
      </c>
    </row>
    <row r="54">
      <c r="A54" s="41" t="inlineStr">
        <is>
          <t>NOPAT - year 5</t>
        </is>
      </c>
      <c r="E54" s="138">
        <f>E49*(1-'NOPAT Bridge'!I$39)</f>
        <v/>
      </c>
      <c r="F54" s="138">
        <f>'NOPAT Bridge'!I41</f>
        <v/>
      </c>
      <c r="G54" s="138">
        <f>G49*(1-'NOPAT Bridge'!I$39)</f>
        <v/>
      </c>
    </row>
    <row r="55">
      <c r="A55" s="41" t="inlineStr">
        <is>
          <t>D&amp;A - year 1</t>
        </is>
      </c>
      <c r="E55" s="75">
        <f>E25*E12</f>
        <v/>
      </c>
      <c r="F55" s="75">
        <f>F25*F12</f>
        <v/>
      </c>
      <c r="G55" s="75">
        <f>G25*G12</f>
        <v/>
      </c>
    </row>
    <row r="56">
      <c r="A56" s="41" t="inlineStr">
        <is>
          <t>D&amp;A - year 2</t>
        </is>
      </c>
      <c r="E56" s="75">
        <f>E26*E12</f>
        <v/>
      </c>
      <c r="F56" s="75">
        <f>F26*F12</f>
        <v/>
      </c>
      <c r="G56" s="75">
        <f>G26*G12</f>
        <v/>
      </c>
    </row>
    <row r="57">
      <c r="A57" s="41" t="inlineStr">
        <is>
          <t>D&amp;A - year 3</t>
        </is>
      </c>
      <c r="E57" s="75">
        <f>E27*E12</f>
        <v/>
      </c>
      <c r="F57" s="75">
        <f>F27*F12</f>
        <v/>
      </c>
      <c r="G57" s="75">
        <f>G27*G12</f>
        <v/>
      </c>
    </row>
    <row r="58">
      <c r="A58" s="41" t="inlineStr">
        <is>
          <t>D&amp;A - year 4</t>
        </is>
      </c>
      <c r="E58" s="75">
        <f>E28*E12</f>
        <v/>
      </c>
      <c r="F58" s="75">
        <f>F28*F12</f>
        <v/>
      </c>
      <c r="G58" s="75">
        <f>G28*G12</f>
        <v/>
      </c>
    </row>
    <row r="59">
      <c r="A59" s="41" t="inlineStr">
        <is>
          <t>D&amp;A - year 5</t>
        </is>
      </c>
      <c r="E59" s="75">
        <f>E29*E12</f>
        <v/>
      </c>
      <c r="F59" s="75">
        <f>F29*F12</f>
        <v/>
      </c>
      <c r="G59" s="75">
        <f>G29*G12</f>
        <v/>
      </c>
    </row>
    <row r="60">
      <c r="A60" s="41" t="inlineStr">
        <is>
          <t>Capex - year 1</t>
        </is>
      </c>
      <c r="E60" s="75">
        <f>E25*E13</f>
        <v/>
      </c>
      <c r="F60" s="75">
        <f>F25*F13</f>
        <v/>
      </c>
      <c r="G60" s="75">
        <f>G25*G13</f>
        <v/>
      </c>
    </row>
    <row r="61">
      <c r="A61" s="41" t="inlineStr">
        <is>
          <t>Capex - year 2</t>
        </is>
      </c>
      <c r="E61" s="75">
        <f>E26*E13</f>
        <v/>
      </c>
      <c r="F61" s="75">
        <f>F26*F13</f>
        <v/>
      </c>
      <c r="G61" s="75">
        <f>G26*G13</f>
        <v/>
      </c>
    </row>
    <row r="62">
      <c r="A62" s="41" t="inlineStr">
        <is>
          <t>Capex - year 3</t>
        </is>
      </c>
      <c r="E62" s="75">
        <f>E27*E13</f>
        <v/>
      </c>
      <c r="F62" s="75">
        <f>F27*F13</f>
        <v/>
      </c>
      <c r="G62" s="75">
        <f>G27*G13</f>
        <v/>
      </c>
    </row>
    <row r="63">
      <c r="A63" s="41" t="inlineStr">
        <is>
          <t>Capex - year 4</t>
        </is>
      </c>
      <c r="E63" s="75">
        <f>E28*E13</f>
        <v/>
      </c>
      <c r="F63" s="75">
        <f>F28*F13</f>
        <v/>
      </c>
      <c r="G63" s="75">
        <f>G28*G13</f>
        <v/>
      </c>
    </row>
    <row r="64">
      <c r="A64" s="41" t="inlineStr">
        <is>
          <t>Capex - year 5</t>
        </is>
      </c>
      <c r="E64" s="75">
        <f>E29*E13</f>
        <v/>
      </c>
      <c r="F64" s="75">
        <f>F29*F13</f>
        <v/>
      </c>
      <c r="G64" s="75">
        <f>G29*G13</f>
        <v/>
      </c>
    </row>
    <row r="65">
      <c r="A65" s="41" t="inlineStr">
        <is>
          <t>DSO (days) - year 1</t>
        </is>
      </c>
      <c r="E65" s="28">
        <f>E15</f>
        <v/>
      </c>
      <c r="F65" s="28">
        <f>F15</f>
        <v/>
      </c>
      <c r="G65" s="28">
        <f>G15</f>
        <v/>
      </c>
    </row>
    <row r="66">
      <c r="A66" s="41" t="inlineStr">
        <is>
          <t>DSO (days) - year 2</t>
        </is>
      </c>
      <c r="E66" s="28">
        <f>E15</f>
        <v/>
      </c>
      <c r="F66" s="28">
        <f>F15</f>
        <v/>
      </c>
      <c r="G66" s="28">
        <f>G15</f>
        <v/>
      </c>
    </row>
    <row r="67">
      <c r="A67" s="41" t="inlineStr">
        <is>
          <t>DSO (days) - year 3</t>
        </is>
      </c>
      <c r="E67" s="28">
        <f>E15</f>
        <v/>
      </c>
      <c r="F67" s="28">
        <f>F15</f>
        <v/>
      </c>
      <c r="G67" s="28">
        <f>G15</f>
        <v/>
      </c>
    </row>
    <row r="68">
      <c r="A68" s="41" t="inlineStr">
        <is>
          <t>DSO (days) - year 4</t>
        </is>
      </c>
      <c r="E68" s="28">
        <f>E15</f>
        <v/>
      </c>
      <c r="F68" s="28">
        <f>F15</f>
        <v/>
      </c>
      <c r="G68" s="28">
        <f>G15</f>
        <v/>
      </c>
    </row>
    <row r="69">
      <c r="A69" s="41" t="inlineStr">
        <is>
          <t>DSO (days) - year 5</t>
        </is>
      </c>
      <c r="E69" s="28">
        <f>E15</f>
        <v/>
      </c>
      <c r="F69" s="28">
        <f>F15</f>
        <v/>
      </c>
      <c r="G69" s="28">
        <f>G15</f>
        <v/>
      </c>
    </row>
    <row r="70">
      <c r="A70" s="41" t="inlineStr">
        <is>
          <t>Accounts receivable - year 1</t>
        </is>
      </c>
      <c r="E70" s="75">
        <f>(E65/365)*E25</f>
        <v/>
      </c>
      <c r="F70" s="75">
        <f>(F65/365)*F25</f>
        <v/>
      </c>
      <c r="G70" s="75">
        <f>(G65/365)*G25</f>
        <v/>
      </c>
    </row>
    <row r="71">
      <c r="A71" s="41" t="inlineStr">
        <is>
          <t>Accounts receivable - year 2</t>
        </is>
      </c>
      <c r="E71" s="75">
        <f>(E66/365)*E26</f>
        <v/>
      </c>
      <c r="F71" s="75">
        <f>(F66/365)*F26</f>
        <v/>
      </c>
      <c r="G71" s="75">
        <f>(G66/365)*G26</f>
        <v/>
      </c>
    </row>
    <row r="72">
      <c r="A72" s="41" t="inlineStr">
        <is>
          <t>Accounts receivable - year 3</t>
        </is>
      </c>
      <c r="E72" s="75">
        <f>(E67/365)*E27</f>
        <v/>
      </c>
      <c r="F72" s="75">
        <f>(F67/365)*F27</f>
        <v/>
      </c>
      <c r="G72" s="75">
        <f>(G67/365)*G27</f>
        <v/>
      </c>
    </row>
    <row r="73">
      <c r="A73" s="41" t="inlineStr">
        <is>
          <t>Accounts receivable - year 4</t>
        </is>
      </c>
      <c r="E73" s="75">
        <f>(E68/365)*E28</f>
        <v/>
      </c>
      <c r="F73" s="75">
        <f>(F68/365)*F28</f>
        <v/>
      </c>
      <c r="G73" s="75">
        <f>(G68/365)*G28</f>
        <v/>
      </c>
    </row>
    <row r="74">
      <c r="A74" s="41" t="inlineStr">
        <is>
          <t>Accounts receivable - year 5</t>
        </is>
      </c>
      <c r="E74" s="75">
        <f>(E69/365)*E29</f>
        <v/>
      </c>
      <c r="F74" s="75">
        <f>(F69/365)*F29</f>
        <v/>
      </c>
      <c r="G74" s="75">
        <f>(G69/365)*G29</f>
        <v/>
      </c>
    </row>
    <row r="75">
      <c r="A75" s="41" t="inlineStr">
        <is>
          <t>DIO (days) - year 1</t>
        </is>
      </c>
      <c r="E75" s="28">
        <f>E16-E17*1</f>
        <v/>
      </c>
      <c r="F75" s="28">
        <f>F16-F17*1</f>
        <v/>
      </c>
      <c r="G75" s="28">
        <f>G16-G17*1</f>
        <v/>
      </c>
    </row>
    <row r="76">
      <c r="A76" s="41" t="inlineStr">
        <is>
          <t>DIO (days) - year 2</t>
        </is>
      </c>
      <c r="E76" s="28">
        <f>E16-E17*2</f>
        <v/>
      </c>
      <c r="F76" s="28">
        <f>F16-F17*2</f>
        <v/>
      </c>
      <c r="G76" s="28">
        <f>G16-G17*2</f>
        <v/>
      </c>
    </row>
    <row r="77">
      <c r="A77" s="41" t="inlineStr">
        <is>
          <t>DIO (days) - year 3</t>
        </is>
      </c>
      <c r="E77" s="28">
        <f>E16-E17*3</f>
        <v/>
      </c>
      <c r="F77" s="28">
        <f>F16-F17*3</f>
        <v/>
      </c>
      <c r="G77" s="28">
        <f>G16-G17*3</f>
        <v/>
      </c>
    </row>
    <row r="78">
      <c r="A78" s="41" t="inlineStr">
        <is>
          <t>DIO (days) - year 4</t>
        </is>
      </c>
      <c r="E78" s="28">
        <f>E16-E17*4</f>
        <v/>
      </c>
      <c r="F78" s="28">
        <f>F16-F17*4</f>
        <v/>
      </c>
      <c r="G78" s="28">
        <f>G16-G17*4</f>
        <v/>
      </c>
    </row>
    <row r="79">
      <c r="A79" s="41" t="inlineStr">
        <is>
          <t>DIO (days) - year 5</t>
        </is>
      </c>
      <c r="E79" s="28">
        <f>E16-E17*5</f>
        <v/>
      </c>
      <c r="F79" s="28">
        <f>F16-F17*5</f>
        <v/>
      </c>
      <c r="G79" s="28">
        <f>G16-G17*5</f>
        <v/>
      </c>
    </row>
    <row r="80">
      <c r="A80" s="41" t="inlineStr">
        <is>
          <t>Inventories - year 1</t>
        </is>
      </c>
      <c r="E80" s="75">
        <f>(E75/365)*E35</f>
        <v/>
      </c>
      <c r="F80" s="75">
        <f>(F75/365)*F35</f>
        <v/>
      </c>
      <c r="G80" s="75">
        <f>(G75/365)*G35</f>
        <v/>
      </c>
    </row>
    <row r="81">
      <c r="A81" s="41" t="inlineStr">
        <is>
          <t>Inventories - year 2</t>
        </is>
      </c>
      <c r="E81" s="75">
        <f>(E76/365)*E36</f>
        <v/>
      </c>
      <c r="F81" s="75">
        <f>(F76/365)*F36</f>
        <v/>
      </c>
      <c r="G81" s="75">
        <f>(G76/365)*G36</f>
        <v/>
      </c>
    </row>
    <row r="82">
      <c r="A82" s="41" t="inlineStr">
        <is>
          <t>Inventories - year 3</t>
        </is>
      </c>
      <c r="E82" s="75">
        <f>(E77/365)*E37</f>
        <v/>
      </c>
      <c r="F82" s="75">
        <f>(F77/365)*F37</f>
        <v/>
      </c>
      <c r="G82" s="75">
        <f>(G77/365)*G37</f>
        <v/>
      </c>
    </row>
    <row r="83">
      <c r="A83" s="41" t="inlineStr">
        <is>
          <t>Inventories - year 4</t>
        </is>
      </c>
      <c r="E83" s="75">
        <f>(E78/365)*E38</f>
        <v/>
      </c>
      <c r="F83" s="75">
        <f>(F78/365)*F38</f>
        <v/>
      </c>
      <c r="G83" s="75">
        <f>(G78/365)*G38</f>
        <v/>
      </c>
    </row>
    <row r="84">
      <c r="A84" s="41" t="inlineStr">
        <is>
          <t>Inventories - year 5</t>
        </is>
      </c>
      <c r="E84" s="75">
        <f>(E79/365)*E39</f>
        <v/>
      </c>
      <c r="F84" s="75">
        <f>(F79/365)*F39</f>
        <v/>
      </c>
      <c r="G84" s="75">
        <f>(G79/365)*G39</f>
        <v/>
      </c>
    </row>
    <row r="85">
      <c r="A85" s="41" t="inlineStr">
        <is>
          <t>DPO (days) - year 1</t>
        </is>
      </c>
      <c r="E85" s="28">
        <f>E18</f>
        <v/>
      </c>
      <c r="F85" s="28">
        <f>F18</f>
        <v/>
      </c>
      <c r="G85" s="28">
        <f>G18</f>
        <v/>
      </c>
    </row>
    <row r="86">
      <c r="A86" s="41" t="inlineStr">
        <is>
          <t>DPO (days) - year 2</t>
        </is>
      </c>
      <c r="E86" s="28">
        <f>E18</f>
        <v/>
      </c>
      <c r="F86" s="28">
        <f>F18</f>
        <v/>
      </c>
      <c r="G86" s="28">
        <f>G18</f>
        <v/>
      </c>
    </row>
    <row r="87">
      <c r="A87" s="41" t="inlineStr">
        <is>
          <t>DPO (days) - year 3</t>
        </is>
      </c>
      <c r="E87" s="28">
        <f>E18</f>
        <v/>
      </c>
      <c r="F87" s="28">
        <f>F18</f>
        <v/>
      </c>
      <c r="G87" s="28">
        <f>G18</f>
        <v/>
      </c>
    </row>
    <row r="88">
      <c r="A88" s="41" t="inlineStr">
        <is>
          <t>DPO (days) - year 4</t>
        </is>
      </c>
      <c r="E88" s="28">
        <f>E18</f>
        <v/>
      </c>
      <c r="F88" s="28">
        <f>F18</f>
        <v/>
      </c>
      <c r="G88" s="28">
        <f>G18</f>
        <v/>
      </c>
    </row>
    <row r="89">
      <c r="A89" s="41" t="inlineStr">
        <is>
          <t>DPO (days) - year 5</t>
        </is>
      </c>
      <c r="E89" s="28">
        <f>E18</f>
        <v/>
      </c>
      <c r="F89" s="28">
        <f>F18</f>
        <v/>
      </c>
      <c r="G89" s="28">
        <f>G18</f>
        <v/>
      </c>
    </row>
    <row r="90">
      <c r="A90" s="41" t="inlineStr">
        <is>
          <t>Accounts payable - year 1</t>
        </is>
      </c>
      <c r="E90" s="75">
        <f>(E85/365)*E35</f>
        <v/>
      </c>
      <c r="F90" s="75">
        <f>(F85/365)*F35</f>
        <v/>
      </c>
      <c r="G90" s="75">
        <f>(G85/365)*G35</f>
        <v/>
      </c>
    </row>
    <row r="91">
      <c r="A91" s="41" t="inlineStr">
        <is>
          <t>Accounts payable - year 2</t>
        </is>
      </c>
      <c r="E91" s="75">
        <f>(E86/365)*E36</f>
        <v/>
      </c>
      <c r="F91" s="75">
        <f>(F86/365)*F36</f>
        <v/>
      </c>
      <c r="G91" s="75">
        <f>(G86/365)*G36</f>
        <v/>
      </c>
    </row>
    <row r="92">
      <c r="A92" s="41" t="inlineStr">
        <is>
          <t>Accounts payable - year 3</t>
        </is>
      </c>
      <c r="E92" s="75">
        <f>(E87/365)*E37</f>
        <v/>
      </c>
      <c r="F92" s="75">
        <f>(F87/365)*F37</f>
        <v/>
      </c>
      <c r="G92" s="75">
        <f>(G87/365)*G37</f>
        <v/>
      </c>
    </row>
    <row r="93">
      <c r="A93" s="41" t="inlineStr">
        <is>
          <t>Accounts payable - year 4</t>
        </is>
      </c>
      <c r="E93" s="75">
        <f>(E88/365)*E38</f>
        <v/>
      </c>
      <c r="F93" s="75">
        <f>(F88/365)*F38</f>
        <v/>
      </c>
      <c r="G93" s="75">
        <f>(G88/365)*G38</f>
        <v/>
      </c>
    </row>
    <row r="94">
      <c r="A94" s="41" t="inlineStr">
        <is>
          <t>Accounts payable - year 5</t>
        </is>
      </c>
      <c r="E94" s="75">
        <f>(E89/365)*E39</f>
        <v/>
      </c>
      <c r="F94" s="75">
        <f>(F89/365)*F39</f>
        <v/>
      </c>
      <c r="G94" s="75">
        <f>(G89/365)*G39</f>
        <v/>
      </c>
    </row>
    <row r="95">
      <c r="A95" s="41" t="inlineStr">
        <is>
          <t>Prepaid expenses (other current assets) - year 1</t>
        </is>
      </c>
      <c r="E95" s="75">
        <f>E25*E19</f>
        <v/>
      </c>
      <c r="F95" s="75">
        <f>F25*F19</f>
        <v/>
      </c>
      <c r="G95" s="75">
        <f>G25*G19</f>
        <v/>
      </c>
    </row>
    <row r="96">
      <c r="A96" s="41" t="inlineStr">
        <is>
          <t>Prepaid expenses (other current assets) - year 2</t>
        </is>
      </c>
      <c r="E96" s="75">
        <f>E26*E19</f>
        <v/>
      </c>
      <c r="F96" s="75">
        <f>F26*F19</f>
        <v/>
      </c>
      <c r="G96" s="75">
        <f>G26*G19</f>
        <v/>
      </c>
    </row>
    <row r="97">
      <c r="A97" s="41" t="inlineStr">
        <is>
          <t>Prepaid expenses (other current assets) - year 3</t>
        </is>
      </c>
      <c r="E97" s="75">
        <f>E27*E19</f>
        <v/>
      </c>
      <c r="F97" s="75">
        <f>F27*F19</f>
        <v/>
      </c>
      <c r="G97" s="75">
        <f>G27*G19</f>
        <v/>
      </c>
    </row>
    <row r="98">
      <c r="A98" s="41" t="inlineStr">
        <is>
          <t>Prepaid expenses (other current assets) - year 4</t>
        </is>
      </c>
      <c r="E98" s="75">
        <f>E28*E19</f>
        <v/>
      </c>
      <c r="F98" s="75">
        <f>F28*F19</f>
        <v/>
      </c>
      <c r="G98" s="75">
        <f>G28*G19</f>
        <v/>
      </c>
    </row>
    <row r="99">
      <c r="A99" s="41" t="inlineStr">
        <is>
          <t>Prepaid expenses (other current assets) - year 5</t>
        </is>
      </c>
      <c r="E99" s="75">
        <f>E29*E19</f>
        <v/>
      </c>
      <c r="F99" s="75">
        <f>F29*F19</f>
        <v/>
      </c>
      <c r="G99" s="75">
        <f>G29*G19</f>
        <v/>
      </c>
    </row>
    <row r="100">
      <c r="A100" s="41" t="inlineStr">
        <is>
          <t>Accrued liabilities - year 1</t>
        </is>
      </c>
      <c r="E100" s="75">
        <f>E25*E20</f>
        <v/>
      </c>
      <c r="F100" s="75">
        <f>F25*F20</f>
        <v/>
      </c>
      <c r="G100" s="75">
        <f>G25*G20</f>
        <v/>
      </c>
    </row>
    <row r="101">
      <c r="A101" s="41" t="inlineStr">
        <is>
          <t>Accrued liabilities - year 2</t>
        </is>
      </c>
      <c r="E101" s="75">
        <f>E26*E20</f>
        <v/>
      </c>
      <c r="F101" s="75">
        <f>F26*F20</f>
        <v/>
      </c>
      <c r="G101" s="75">
        <f>G26*G20</f>
        <v/>
      </c>
    </row>
    <row r="102">
      <c r="A102" s="41" t="inlineStr">
        <is>
          <t>Accrued liabilities - year 3</t>
        </is>
      </c>
      <c r="E102" s="75">
        <f>E27*E20</f>
        <v/>
      </c>
      <c r="F102" s="75">
        <f>F27*F20</f>
        <v/>
      </c>
      <c r="G102" s="75">
        <f>G27*G20</f>
        <v/>
      </c>
    </row>
    <row r="103">
      <c r="A103" s="41" t="inlineStr">
        <is>
          <t>Accrued liabilities - year 4</t>
        </is>
      </c>
      <c r="E103" s="75">
        <f>E28*E20</f>
        <v/>
      </c>
      <c r="F103" s="75">
        <f>F28*F20</f>
        <v/>
      </c>
      <c r="G103" s="75">
        <f>G28*G20</f>
        <v/>
      </c>
    </row>
    <row r="104">
      <c r="A104" s="41" t="inlineStr">
        <is>
          <t>Accrued liabilities - year 5</t>
        </is>
      </c>
      <c r="E104" s="75">
        <f>E29*E20</f>
        <v/>
      </c>
      <c r="F104" s="75">
        <f>F29*F20</f>
        <v/>
      </c>
      <c r="G104" s="75">
        <f>G29*G20</f>
        <v/>
      </c>
    </row>
    <row r="105">
      <c r="A105" s="41" t="inlineStr">
        <is>
          <t>Current operating assets (AR + inv + prepaids) - year 1</t>
        </is>
      </c>
      <c r="E105" s="75">
        <f>E70+E80+E95</f>
        <v/>
      </c>
      <c r="F105" s="75">
        <f>F70+F80+F95</f>
        <v/>
      </c>
      <c r="G105" s="75">
        <f>G70+G80+G95</f>
        <v/>
      </c>
    </row>
    <row r="106">
      <c r="A106" s="41" t="inlineStr">
        <is>
          <t>Current operating assets (AR + inv + prepaids) - year 2</t>
        </is>
      </c>
      <c r="E106" s="75">
        <f>E71+E81+E96</f>
        <v/>
      </c>
      <c r="F106" s="75">
        <f>F71+F81+F96</f>
        <v/>
      </c>
      <c r="G106" s="75">
        <f>G71+G81+G96</f>
        <v/>
      </c>
    </row>
    <row r="107">
      <c r="A107" s="41" t="inlineStr">
        <is>
          <t>Current operating assets (AR + inv + prepaids) - year 3</t>
        </is>
      </c>
      <c r="E107" s="75">
        <f>E72+E82+E97</f>
        <v/>
      </c>
      <c r="F107" s="75">
        <f>F72+F82+F97</f>
        <v/>
      </c>
      <c r="G107" s="75">
        <f>G72+G82+G97</f>
        <v/>
      </c>
    </row>
    <row r="108">
      <c r="A108" s="41" t="inlineStr">
        <is>
          <t>Current operating assets (AR + inv + prepaids) - year 4</t>
        </is>
      </c>
      <c r="E108" s="75">
        <f>E73+E83+E98</f>
        <v/>
      </c>
      <c r="F108" s="75">
        <f>F73+F83+F98</f>
        <v/>
      </c>
      <c r="G108" s="75">
        <f>G73+G83+G98</f>
        <v/>
      </c>
    </row>
    <row r="109">
      <c r="A109" s="41" t="inlineStr">
        <is>
          <t>Current operating assets (AR + inv + prepaids) - year 5</t>
        </is>
      </c>
      <c r="E109" s="75">
        <f>E74+E84+E99</f>
        <v/>
      </c>
      <c r="F109" s="75">
        <f>F74+F84+F99</f>
        <v/>
      </c>
      <c r="G109" s="75">
        <f>G74+G84+G99</f>
        <v/>
      </c>
    </row>
    <row r="110">
      <c r="A110" s="41" t="inlineStr">
        <is>
          <t>Current operating liabilities (AP + accruals) - year 1</t>
        </is>
      </c>
      <c r="E110" s="75">
        <f>E90+E100</f>
        <v/>
      </c>
      <c r="F110" s="75">
        <f>F90+F100</f>
        <v/>
      </c>
      <c r="G110" s="75">
        <f>G90+G100</f>
        <v/>
      </c>
    </row>
    <row r="111">
      <c r="A111" s="41" t="inlineStr">
        <is>
          <t>Current operating liabilities (AP + accruals) - year 2</t>
        </is>
      </c>
      <c r="E111" s="75">
        <f>E91+E101</f>
        <v/>
      </c>
      <c r="F111" s="75">
        <f>F91+F101</f>
        <v/>
      </c>
      <c r="G111" s="75">
        <f>G91+G101</f>
        <v/>
      </c>
    </row>
    <row r="112">
      <c r="A112" s="41" t="inlineStr">
        <is>
          <t>Current operating liabilities (AP + accruals) - year 3</t>
        </is>
      </c>
      <c r="E112" s="75">
        <f>E92+E102</f>
        <v/>
      </c>
      <c r="F112" s="75">
        <f>F92+F102</f>
        <v/>
      </c>
      <c r="G112" s="75">
        <f>G92+G102</f>
        <v/>
      </c>
    </row>
    <row r="113">
      <c r="A113" s="41" t="inlineStr">
        <is>
          <t>Current operating liabilities (AP + accruals) - year 4</t>
        </is>
      </c>
      <c r="E113" s="75">
        <f>E93+E103</f>
        <v/>
      </c>
      <c r="F113" s="75">
        <f>F93+F103</f>
        <v/>
      </c>
      <c r="G113" s="75">
        <f>G93+G103</f>
        <v/>
      </c>
    </row>
    <row r="114">
      <c r="A114" s="41" t="inlineStr">
        <is>
          <t>Current operating liabilities (AP + accruals) - year 5</t>
        </is>
      </c>
      <c r="E114" s="75">
        <f>E94+E104</f>
        <v/>
      </c>
      <c r="F114" s="75">
        <f>F94+F104</f>
        <v/>
      </c>
      <c r="G114" s="75">
        <f>G94+G104</f>
        <v/>
      </c>
    </row>
    <row r="115">
      <c r="A115" s="41" t="inlineStr">
        <is>
          <t>Net working capital - year 1</t>
        </is>
      </c>
      <c r="E115" s="75">
        <f>E105-E110</f>
        <v/>
      </c>
      <c r="F115" s="75">
        <f>F105-F110</f>
        <v/>
      </c>
      <c r="G115" s="75">
        <f>G105-G110</f>
        <v/>
      </c>
    </row>
    <row r="116">
      <c r="A116" s="41" t="inlineStr">
        <is>
          <t>Net working capital - year 2</t>
        </is>
      </c>
      <c r="E116" s="75">
        <f>E106-E111</f>
        <v/>
      </c>
      <c r="F116" s="75">
        <f>F106-F111</f>
        <v/>
      </c>
      <c r="G116" s="75">
        <f>G106-G111</f>
        <v/>
      </c>
    </row>
    <row r="117">
      <c r="A117" s="41" t="inlineStr">
        <is>
          <t>Net working capital - year 3</t>
        </is>
      </c>
      <c r="E117" s="75">
        <f>E107-E112</f>
        <v/>
      </c>
      <c r="F117" s="75">
        <f>F107-F112</f>
        <v/>
      </c>
      <c r="G117" s="75">
        <f>G107-G112</f>
        <v/>
      </c>
    </row>
    <row r="118">
      <c r="A118" s="41" t="inlineStr">
        <is>
          <t>Net working capital - year 4</t>
        </is>
      </c>
      <c r="E118" s="75">
        <f>E108-E113</f>
        <v/>
      </c>
      <c r="F118" s="75">
        <f>F108-F113</f>
        <v/>
      </c>
      <c r="G118" s="75">
        <f>G108-G113</f>
        <v/>
      </c>
    </row>
    <row r="119">
      <c r="A119" s="41" t="inlineStr">
        <is>
          <t>Net working capital - year 5</t>
        </is>
      </c>
      <c r="E119" s="75">
        <f>E109-E114</f>
        <v/>
      </c>
      <c r="F119" s="75">
        <f>F109-F114</f>
        <v/>
      </c>
      <c r="G119" s="75">
        <f>G109-G114</f>
        <v/>
      </c>
    </row>
    <row r="120">
      <c r="A120" s="41" t="inlineStr">
        <is>
          <t>Delta NWC (prior yr - current yr) - year 1</t>
        </is>
      </c>
      <c r="E120" s="75">
        <f>1461096-E115</f>
        <v/>
      </c>
      <c r="F120" s="75">
        <f>1461096-F115</f>
        <v/>
      </c>
      <c r="G120" s="75">
        <f>1461096-G115</f>
        <v/>
      </c>
    </row>
    <row r="121">
      <c r="A121" s="41" t="inlineStr">
        <is>
          <t>Delta NWC (prior yr - current yr) - year 2</t>
        </is>
      </c>
      <c r="E121" s="75">
        <f>E115-E116</f>
        <v/>
      </c>
      <c r="F121" s="75">
        <f>F115-F116</f>
        <v/>
      </c>
      <c r="G121" s="75">
        <f>G115-G116</f>
        <v/>
      </c>
    </row>
    <row r="122">
      <c r="A122" s="41" t="inlineStr">
        <is>
          <t>Delta NWC (prior yr - current yr) - year 3</t>
        </is>
      </c>
      <c r="E122" s="75">
        <f>E116-E117</f>
        <v/>
      </c>
      <c r="F122" s="75">
        <f>F116-F117</f>
        <v/>
      </c>
      <c r="G122" s="75">
        <f>G116-G117</f>
        <v/>
      </c>
    </row>
    <row r="123">
      <c r="A123" s="41" t="inlineStr">
        <is>
          <t>Delta NWC (prior yr - current yr) - year 4</t>
        </is>
      </c>
      <c r="E123" s="75">
        <f>E117-E118</f>
        <v/>
      </c>
      <c r="F123" s="75">
        <f>F117-F118</f>
        <v/>
      </c>
      <c r="G123" s="75">
        <f>G117-G118</f>
        <v/>
      </c>
    </row>
    <row r="124">
      <c r="A124" s="41" t="inlineStr">
        <is>
          <t>Delta NWC (prior yr - current yr) - year 5</t>
        </is>
      </c>
      <c r="E124" s="75">
        <f>E118-E119</f>
        <v/>
      </c>
      <c r="F124" s="75">
        <f>F118-F119</f>
        <v/>
      </c>
      <c r="G124" s="75">
        <f>G118-G119</f>
        <v/>
      </c>
    </row>
    <row r="125">
      <c r="A125" s="41" t="inlineStr">
        <is>
          <t>Unlevered FCF - year 1</t>
        </is>
      </c>
      <c r="E125" s="75">
        <f>E50+E55-E60+E120</f>
        <v/>
      </c>
      <c r="F125" s="75">
        <f>F50+F55-F60+F120</f>
        <v/>
      </c>
      <c r="G125" s="75">
        <f>G50+G55-G60+G120</f>
        <v/>
      </c>
    </row>
    <row r="126">
      <c r="A126" s="41" t="inlineStr">
        <is>
          <t>Unlevered FCF - year 2</t>
        </is>
      </c>
      <c r="E126" s="75">
        <f>E51+E56-E61+E121</f>
        <v/>
      </c>
      <c r="F126" s="75">
        <f>F51+F56-F61+F121</f>
        <v/>
      </c>
      <c r="G126" s="75">
        <f>G51+G56-G61+G121</f>
        <v/>
      </c>
    </row>
    <row r="127">
      <c r="A127" s="41" t="inlineStr">
        <is>
          <t>Unlevered FCF - year 3</t>
        </is>
      </c>
      <c r="E127" s="75">
        <f>E52+E57-E62+E122</f>
        <v/>
      </c>
      <c r="F127" s="75">
        <f>F52+F57-F62+F122</f>
        <v/>
      </c>
      <c r="G127" s="75">
        <f>G52+G57-G62+G122</f>
        <v/>
      </c>
    </row>
    <row r="128">
      <c r="A128" s="41" t="inlineStr">
        <is>
          <t>Unlevered FCF - year 4</t>
        </is>
      </c>
      <c r="E128" s="75">
        <f>E53+E58-E63+E123</f>
        <v/>
      </c>
      <c r="F128" s="75">
        <f>F53+F58-F63+F123</f>
        <v/>
      </c>
      <c r="G128" s="75">
        <f>G53+G58-G63+G123</f>
        <v/>
      </c>
    </row>
    <row r="129">
      <c r="A129" s="41" t="inlineStr">
        <is>
          <t>Unlevered FCF - year 5</t>
        </is>
      </c>
      <c r="E129" s="75">
        <f>E54+E59-E64+E124</f>
        <v/>
      </c>
      <c r="F129" s="75">
        <f>F54+F59-F64+F124</f>
        <v/>
      </c>
      <c r="G129" s="75">
        <f>G54+G59-G64+G124</f>
        <v/>
      </c>
    </row>
    <row r="131">
      <c r="A131" s="23" t="inlineStr">
        <is>
          <t>Enterprise value (DCF)</t>
        </is>
      </c>
      <c r="E131" s="130">
        <f>NPV(E9,E125,E126,E127,E128,E129)+(E129*(1+E10)/(E9-E10))/(1+E9)^5</f>
        <v/>
      </c>
      <c r="F131" s="130">
        <f>NPV(F9,F125,F126,F127,F128,F129)+(F129*(1+F10)/(F9-F10))/(1+F9)^5</f>
        <v/>
      </c>
      <c r="G131" s="130">
        <f>NPV(G9,G125,G126,G127,G128,G129)+(G129*(1+G10)/(G9-G10))/(1+G9)^5</f>
        <v/>
      </c>
    </row>
    <row r="132">
      <c r="A132" s="45" t="inlineStr">
        <is>
          <t>Implied share price</t>
        </is>
      </c>
      <c r="E132" s="139">
        <f>(E131+1807202-1798441)/111380</f>
        <v/>
      </c>
      <c r="F132" s="139">
        <f>(F131+1807202-1798441)/111380</f>
        <v/>
      </c>
      <c r="G132" s="139">
        <f>(G131+1807202-1798441)/111380</f>
        <v/>
      </c>
    </row>
    <row r="133">
      <c r="A133" s="23" t="inlineStr">
        <is>
          <t>Upside / (downside) vs current</t>
        </is>
      </c>
      <c r="E133" s="32">
        <f>E132/100.0-1</f>
        <v/>
      </c>
      <c r="F133" s="32">
        <f>F132/100.0-1</f>
        <v/>
      </c>
      <c r="G133" s="32">
        <f>G132/100.0-1</f>
        <v/>
      </c>
    </row>
    <row r="135">
      <c r="A135" s="26" t="n"/>
    </row>
    <row r="137">
      <c r="A137" s="14" t="inlineStr">
        <is>
          <t>Pitch deck bridge (IS / CFS / BS)</t>
        </is>
      </c>
    </row>
    <row r="138">
      <c r="A138" s="41" t="inlineStr">
        <is>
          <t>Other income - year 1</t>
        </is>
      </c>
      <c r="E138" s="158" t="n">
        <v>45000</v>
      </c>
      <c r="F138" s="158" t="n">
        <v>45000</v>
      </c>
      <c r="G138" s="158" t="n">
        <v>45000</v>
      </c>
    </row>
    <row r="139">
      <c r="A139" s="41" t="inlineStr">
        <is>
          <t>Other income - year 2</t>
        </is>
      </c>
      <c r="E139" s="158" t="n">
        <v>40000</v>
      </c>
      <c r="F139" s="158" t="n">
        <v>40000</v>
      </c>
      <c r="G139" s="158" t="n">
        <v>40000</v>
      </c>
    </row>
    <row r="140">
      <c r="A140" s="41" t="inlineStr">
        <is>
          <t>Other income - year 3</t>
        </is>
      </c>
      <c r="E140" s="158" t="n">
        <v>35000</v>
      </c>
      <c r="F140" s="158" t="n">
        <v>35000</v>
      </c>
      <c r="G140" s="158" t="n">
        <v>35000</v>
      </c>
    </row>
    <row r="141">
      <c r="A141" s="41" t="inlineStr">
        <is>
          <t>Other income - year 4</t>
        </is>
      </c>
      <c r="E141" s="158" t="n">
        <v>30000</v>
      </c>
      <c r="F141" s="158" t="n">
        <v>30000</v>
      </c>
      <c r="G141" s="158" t="n">
        <v>30000</v>
      </c>
    </row>
    <row r="142">
      <c r="A142" s="41" t="inlineStr">
        <is>
          <t>Other income - year 5</t>
        </is>
      </c>
      <c r="E142" s="158" t="n">
        <v>25000</v>
      </c>
      <c r="F142" s="158" t="n">
        <v>25000</v>
      </c>
      <c r="G142" s="158" t="n">
        <v>25000</v>
      </c>
    </row>
    <row r="143">
      <c r="A143" s="41" t="inlineStr">
        <is>
          <t>Net income - year 1</t>
        </is>
      </c>
      <c r="E143" s="75">
        <f>(E45+E138)*(1-E11)</f>
        <v/>
      </c>
      <c r="F143" s="75">
        <f>(F45+F138)*(1-F11)</f>
        <v/>
      </c>
      <c r="G143" s="75">
        <f>(G45+G138)*(1-G11)</f>
        <v/>
      </c>
    </row>
    <row r="144">
      <c r="A144" s="41" t="inlineStr">
        <is>
          <t>Net income - year 2</t>
        </is>
      </c>
      <c r="E144" s="75">
        <f>(E46+E139)*(1-E11)</f>
        <v/>
      </c>
      <c r="F144" s="75">
        <f>(F46+F139)*(1-F11)</f>
        <v/>
      </c>
      <c r="G144" s="75">
        <f>(G46+G139)*(1-G11)</f>
        <v/>
      </c>
    </row>
    <row r="145">
      <c r="A145" s="41" t="inlineStr">
        <is>
          <t>Net income - year 3</t>
        </is>
      </c>
      <c r="E145" s="75">
        <f>(E47+E140)*(1-E11)</f>
        <v/>
      </c>
      <c r="F145" s="75">
        <f>(F47+F140)*(1-F11)</f>
        <v/>
      </c>
      <c r="G145" s="75">
        <f>(G47+G140)*(1-G11)</f>
        <v/>
      </c>
    </row>
    <row r="146">
      <c r="A146" s="41" t="inlineStr">
        <is>
          <t>Net income - year 4</t>
        </is>
      </c>
      <c r="E146" s="75">
        <f>(E48+E141)*(1-E11)</f>
        <v/>
      </c>
      <c r="F146" s="75">
        <f>(F48+F141)*(1-F11)</f>
        <v/>
      </c>
      <c r="G146" s="75">
        <f>(G48+G141)*(1-G11)</f>
        <v/>
      </c>
    </row>
    <row r="147">
      <c r="A147" s="41" t="inlineStr">
        <is>
          <t>Net income - year 5</t>
        </is>
      </c>
      <c r="E147" s="75">
        <f>(E49+E142)*(1-E11)</f>
        <v/>
      </c>
      <c r="F147" s="75">
        <f>(F49+F142)*(1-F11)</f>
        <v/>
      </c>
      <c r="G147" s="75">
        <f>(G49+G142)*(1-G11)</f>
        <v/>
      </c>
    </row>
    <row r="148">
      <c r="A148" s="41" t="inlineStr">
        <is>
          <t>Cash from operations - year 1</t>
        </is>
      </c>
      <c r="E148" s="75">
        <f>E143+E55+E120</f>
        <v/>
      </c>
      <c r="F148" s="75">
        <f>F143+F55+F120</f>
        <v/>
      </c>
      <c r="G148" s="75">
        <f>G143+G55+G120</f>
        <v/>
      </c>
    </row>
    <row r="149">
      <c r="A149" s="41" t="inlineStr">
        <is>
          <t>Cash from operations - year 2</t>
        </is>
      </c>
      <c r="E149" s="75">
        <f>E144+E56+E121</f>
        <v/>
      </c>
      <c r="F149" s="75">
        <f>F144+F56+F121</f>
        <v/>
      </c>
      <c r="G149" s="75">
        <f>G144+G56+G121</f>
        <v/>
      </c>
    </row>
    <row r="150">
      <c r="A150" s="41" t="inlineStr">
        <is>
          <t>Cash from operations - year 3</t>
        </is>
      </c>
      <c r="E150" s="75">
        <f>E145+E57+E122</f>
        <v/>
      </c>
      <c r="F150" s="75">
        <f>F145+F57+F122</f>
        <v/>
      </c>
      <c r="G150" s="75">
        <f>G145+G57+G122</f>
        <v/>
      </c>
    </row>
    <row r="151">
      <c r="A151" s="41" t="inlineStr">
        <is>
          <t>Cash from operations - year 4</t>
        </is>
      </c>
      <c r="E151" s="75">
        <f>E146+E58+E123</f>
        <v/>
      </c>
      <c r="F151" s="75">
        <f>F146+F58+F123</f>
        <v/>
      </c>
      <c r="G151" s="75">
        <f>G146+G58+G123</f>
        <v/>
      </c>
    </row>
    <row r="152">
      <c r="A152" s="41" t="inlineStr">
        <is>
          <t>Cash from operations - year 5</t>
        </is>
      </c>
      <c r="E152" s="75">
        <f>E147+E59+E124</f>
        <v/>
      </c>
      <c r="F152" s="75">
        <f>F147+F59+F124</f>
        <v/>
      </c>
      <c r="G152" s="75">
        <f>G147+G59+G124</f>
        <v/>
      </c>
    </row>
    <row r="153">
      <c r="A153" s="41" t="inlineStr">
        <is>
          <t>Free cash flow (CFS) - year 1</t>
        </is>
      </c>
      <c r="E153" s="75">
        <f>E148-E60</f>
        <v/>
      </c>
      <c r="F153" s="75">
        <f>F148-F60</f>
        <v/>
      </c>
      <c r="G153" s="75">
        <f>G148-G60</f>
        <v/>
      </c>
    </row>
    <row r="154">
      <c r="A154" s="41" t="inlineStr">
        <is>
          <t>Free cash flow (CFS) - year 2</t>
        </is>
      </c>
      <c r="E154" s="75">
        <f>E149-E61</f>
        <v/>
      </c>
      <c r="F154" s="75">
        <f>F149-F61</f>
        <v/>
      </c>
      <c r="G154" s="75">
        <f>G149-G61</f>
        <v/>
      </c>
    </row>
    <row r="155">
      <c r="A155" s="41" t="inlineStr">
        <is>
          <t>Free cash flow (CFS) - year 3</t>
        </is>
      </c>
      <c r="E155" s="75">
        <f>E150-E62</f>
        <v/>
      </c>
      <c r="F155" s="75">
        <f>F150-F62</f>
        <v/>
      </c>
      <c r="G155" s="75">
        <f>G150-G62</f>
        <v/>
      </c>
    </row>
    <row r="156">
      <c r="A156" s="41" t="inlineStr">
        <is>
          <t>Free cash flow (CFS) - year 4</t>
        </is>
      </c>
      <c r="E156" s="75">
        <f>E151-E63</f>
        <v/>
      </c>
      <c r="F156" s="75">
        <f>F151-F63</f>
        <v/>
      </c>
      <c r="G156" s="75">
        <f>G151-G63</f>
        <v/>
      </c>
    </row>
    <row r="157">
      <c r="A157" s="41" t="inlineStr">
        <is>
          <t>Free cash flow (CFS) - year 5</t>
        </is>
      </c>
      <c r="E157" s="75">
        <f>E152-E64</f>
        <v/>
      </c>
      <c r="F157" s="75">
        <f>F152-F64</f>
        <v/>
      </c>
      <c r="G157" s="75">
        <f>G152-G64</f>
        <v/>
      </c>
    </row>
    <row r="158">
      <c r="A158" s="41" t="inlineStr">
        <is>
          <t>Share repurchases - year 1</t>
        </is>
      </c>
      <c r="E158" s="75">
        <f>-E21</f>
        <v/>
      </c>
      <c r="F158" s="75">
        <f>-F21</f>
        <v/>
      </c>
      <c r="G158" s="75">
        <f>-ROUND(G22*G153,0)</f>
        <v/>
      </c>
    </row>
    <row r="159">
      <c r="A159" s="41" t="inlineStr">
        <is>
          <t>Share repurchases - year 2</t>
        </is>
      </c>
      <c r="E159" s="75">
        <f>-E21</f>
        <v/>
      </c>
      <c r="F159" s="75">
        <f>-F21</f>
        <v/>
      </c>
      <c r="G159" s="75">
        <f>-ROUND(G22*G154,0)</f>
        <v/>
      </c>
    </row>
    <row r="160">
      <c r="A160" s="41" t="inlineStr">
        <is>
          <t>Share repurchases - year 3</t>
        </is>
      </c>
      <c r="E160" s="75">
        <f>-E21</f>
        <v/>
      </c>
      <c r="F160" s="75">
        <f>-F21</f>
        <v/>
      </c>
      <c r="G160" s="75">
        <f>-ROUND(G22*G155,0)</f>
        <v/>
      </c>
    </row>
    <row r="161">
      <c r="A161" s="41" t="inlineStr">
        <is>
          <t>Share repurchases - year 4</t>
        </is>
      </c>
      <c r="E161" s="75">
        <f>-E21</f>
        <v/>
      </c>
      <c r="F161" s="75">
        <f>-F21</f>
        <v/>
      </c>
      <c r="G161" s="75">
        <f>-ROUND(G22*G156,0)</f>
        <v/>
      </c>
    </row>
    <row r="162">
      <c r="A162" s="41" t="inlineStr">
        <is>
          <t>Share repurchases - year 5</t>
        </is>
      </c>
      <c r="E162" s="75">
        <f>-E21</f>
        <v/>
      </c>
      <c r="F162" s="75">
        <f>-F21</f>
        <v/>
      </c>
      <c r="G162" s="75">
        <f>-ROUND(G22*G157,0)</f>
        <v/>
      </c>
    </row>
    <row r="163">
      <c r="A163" s="41" t="inlineStr">
        <is>
          <t>Cash &amp; equivalents - year 1</t>
        </is>
      </c>
      <c r="E163" s="75">
        <f>1807202+E153+E158</f>
        <v/>
      </c>
      <c r="F163" s="75">
        <f>1807202+F153+F158</f>
        <v/>
      </c>
      <c r="G163" s="75">
        <f>1807202+G153+G158</f>
        <v/>
      </c>
    </row>
    <row r="164">
      <c r="A164" s="41" t="inlineStr">
        <is>
          <t>Cash &amp; equivalents - year 2</t>
        </is>
      </c>
      <c r="E164" s="75">
        <f>E163+E154+E159</f>
        <v/>
      </c>
      <c r="F164" s="75">
        <f>F163+F154+F159</f>
        <v/>
      </c>
      <c r="G164" s="75">
        <f>G163+G154+G159</f>
        <v/>
      </c>
    </row>
    <row r="165">
      <c r="A165" s="41" t="inlineStr">
        <is>
          <t>Cash &amp; equivalents - year 3</t>
        </is>
      </c>
      <c r="E165" s="75">
        <f>E164+E155+E160</f>
        <v/>
      </c>
      <c r="F165" s="75">
        <f>F164+F155+F160</f>
        <v/>
      </c>
      <c r="G165" s="75">
        <f>G164+G155+G160</f>
        <v/>
      </c>
    </row>
    <row r="166">
      <c r="A166" s="41" t="inlineStr">
        <is>
          <t>Cash &amp; equivalents - year 4</t>
        </is>
      </c>
      <c r="E166" s="75">
        <f>E165+E156+E161</f>
        <v/>
      </c>
      <c r="F166" s="75">
        <f>F165+F156+F161</f>
        <v/>
      </c>
      <c r="G166" s="75">
        <f>G165+G156+G161</f>
        <v/>
      </c>
    </row>
    <row r="167">
      <c r="A167" s="41" t="inlineStr">
        <is>
          <t>Cash &amp; equivalents - year 5</t>
        </is>
      </c>
      <c r="E167" s="75">
        <f>E166+E157+E162</f>
        <v/>
      </c>
      <c r="F167" s="75">
        <f>F166+F157+F162</f>
        <v/>
      </c>
      <c r="G167" s="75">
        <f>G166+G157+G162</f>
        <v/>
      </c>
    </row>
    <row r="168">
      <c r="A168" s="41" t="inlineStr">
        <is>
          <t>Total assets - year 1</t>
        </is>
      </c>
      <c r="E168" s="75">
        <f>8456743*E25/11102600</f>
        <v/>
      </c>
      <c r="F168" s="75">
        <f>8456743*F25/11102600</f>
        <v/>
      </c>
      <c r="G168" s="75">
        <f>8456743*G25/11102600</f>
        <v/>
      </c>
    </row>
    <row r="169">
      <c r="A169" s="41" t="inlineStr">
        <is>
          <t>Total assets - year 2</t>
        </is>
      </c>
      <c r="E169" s="75">
        <f>8456743*E26/11102600</f>
        <v/>
      </c>
      <c r="F169" s="75">
        <f>8456743*F26/11102600</f>
        <v/>
      </c>
      <c r="G169" s="75">
        <f>8456743*G26/11102600</f>
        <v/>
      </c>
    </row>
    <row r="170">
      <c r="A170" s="41" t="inlineStr">
        <is>
          <t>Total assets - year 3</t>
        </is>
      </c>
      <c r="E170" s="75">
        <f>8456743*E27/11102600</f>
        <v/>
      </c>
      <c r="F170" s="75">
        <f>8456743*F27/11102600</f>
        <v/>
      </c>
      <c r="G170" s="75">
        <f>8456743*G27/11102600</f>
        <v/>
      </c>
    </row>
    <row r="171">
      <c r="A171" s="41" t="inlineStr">
        <is>
          <t>Total assets - year 4</t>
        </is>
      </c>
      <c r="E171" s="75">
        <f>8456743*E28/11102600</f>
        <v/>
      </c>
      <c r="F171" s="75">
        <f>8456743*F28/11102600</f>
        <v/>
      </c>
      <c r="G171" s="75">
        <f>8456743*G28/11102600</f>
        <v/>
      </c>
    </row>
    <row r="172">
      <c r="A172" s="41" t="inlineStr">
        <is>
          <t>Total assets - year 5</t>
        </is>
      </c>
      <c r="E172" s="75">
        <f>8456743*E29/11102600</f>
        <v/>
      </c>
      <c r="F172" s="75">
        <f>8456743*F29/11102600</f>
        <v/>
      </c>
      <c r="G172" s="75">
        <f>8456743*G29/11102600</f>
        <v/>
      </c>
    </row>
    <row r="173">
      <c r="A173" s="41" t="inlineStr">
        <is>
          <t>Total liabilities - year 1</t>
        </is>
      </c>
      <c r="E173" s="75">
        <f>3494903*E25/11102600</f>
        <v/>
      </c>
      <c r="F173" s="75">
        <f>3494903*F25/11102600</f>
        <v/>
      </c>
      <c r="G173" s="75">
        <f>3494903*G25/11102600</f>
        <v/>
      </c>
    </row>
    <row r="174">
      <c r="A174" s="41" t="inlineStr">
        <is>
          <t>Total liabilities - year 2</t>
        </is>
      </c>
      <c r="E174" s="75">
        <f>3494903*E26/11102600</f>
        <v/>
      </c>
      <c r="F174" s="75">
        <f>3494903*F26/11102600</f>
        <v/>
      </c>
      <c r="G174" s="75">
        <f>3494903*G26/11102600</f>
        <v/>
      </c>
    </row>
    <row r="175">
      <c r="A175" s="41" t="inlineStr">
        <is>
          <t>Total liabilities - year 3</t>
        </is>
      </c>
      <c r="E175" s="75">
        <f>3494903*E27/11102600</f>
        <v/>
      </c>
      <c r="F175" s="75">
        <f>3494903*F27/11102600</f>
        <v/>
      </c>
      <c r="G175" s="75">
        <f>3494903*G27/11102600</f>
        <v/>
      </c>
    </row>
    <row r="176">
      <c r="A176" s="41" t="inlineStr">
        <is>
          <t>Total liabilities - year 4</t>
        </is>
      </c>
      <c r="E176" s="75">
        <f>3494903*E28/11102600</f>
        <v/>
      </c>
      <c r="F176" s="75">
        <f>3494903*F28/11102600</f>
        <v/>
      </c>
      <c r="G176" s="75">
        <f>3494903*G28/11102600</f>
        <v/>
      </c>
    </row>
    <row r="177">
      <c r="A177" s="41" t="inlineStr">
        <is>
          <t>Total liabilities - year 5</t>
        </is>
      </c>
      <c r="E177" s="75">
        <f>3494903*E29/11102600</f>
        <v/>
      </c>
      <c r="F177" s="75">
        <f>3494903*F29/11102600</f>
        <v/>
      </c>
      <c r="G177" s="75">
        <f>3494903*G29/11102600</f>
        <v/>
      </c>
    </row>
    <row r="178">
      <c r="A178" s="41" t="inlineStr">
        <is>
          <t>Total equity - year 1</t>
        </is>
      </c>
      <c r="E178" s="75">
        <f>4961840*E25/11102600</f>
        <v/>
      </c>
      <c r="F178" s="75">
        <f>4961840*F25/11102600</f>
        <v/>
      </c>
      <c r="G178" s="75">
        <f>4961840*G25/11102600</f>
        <v/>
      </c>
    </row>
    <row r="179">
      <c r="A179" s="41" t="inlineStr">
        <is>
          <t>Total equity - year 2</t>
        </is>
      </c>
      <c r="E179" s="75">
        <f>4961840*E26/11102600</f>
        <v/>
      </c>
      <c r="F179" s="75">
        <f>4961840*F26/11102600</f>
        <v/>
      </c>
      <c r="G179" s="75">
        <f>4961840*G26/11102600</f>
        <v/>
      </c>
    </row>
    <row r="180">
      <c r="A180" s="41" t="inlineStr">
        <is>
          <t>Total equity - year 3</t>
        </is>
      </c>
      <c r="E180" s="75">
        <f>4961840*E27/11102600</f>
        <v/>
      </c>
      <c r="F180" s="75">
        <f>4961840*F27/11102600</f>
        <v/>
      </c>
      <c r="G180" s="75">
        <f>4961840*G27/11102600</f>
        <v/>
      </c>
    </row>
    <row r="181">
      <c r="A181" s="41" t="inlineStr">
        <is>
          <t>Total equity - year 4</t>
        </is>
      </c>
      <c r="E181" s="75">
        <f>4961840*E28/11102600</f>
        <v/>
      </c>
      <c r="F181" s="75">
        <f>4961840*F28/11102600</f>
        <v/>
      </c>
      <c r="G181" s="75">
        <f>4961840*G28/11102600</f>
        <v/>
      </c>
    </row>
    <row r="182">
      <c r="A182" s="41" t="inlineStr">
        <is>
          <t>Total equity - year 5</t>
        </is>
      </c>
      <c r="E182" s="75">
        <f>4961840*E29/11102600</f>
        <v/>
      </c>
      <c r="F182" s="75">
        <f>4961840*F29/11102600</f>
        <v/>
      </c>
      <c r="G182" s="75">
        <f>4961840*G29/11102600</f>
        <v/>
      </c>
    </row>
    <row r="183">
      <c r="A183" s="41" t="inlineStr">
        <is>
          <t>Diluted shares (000) - year 1</t>
        </is>
      </c>
      <c r="E183" s="75">
        <f>119068-E21/100</f>
        <v/>
      </c>
      <c r="F183" s="75">
        <f>119068-F21/100</f>
        <v/>
      </c>
      <c r="G183" s="75">
        <f>119068-ROUND(G22*G153,0)/100</f>
        <v/>
      </c>
    </row>
    <row r="184">
      <c r="A184" s="41" t="inlineStr">
        <is>
          <t>Diluted shares (000) - year 2</t>
        </is>
      </c>
      <c r="E184" s="75">
        <f>E183-E21/108</f>
        <v/>
      </c>
      <c r="F184" s="75">
        <f>F183-F21/108</f>
        <v/>
      </c>
      <c r="G184" s="75">
        <f>G183-ROUND(G22*G154,0)/108</f>
        <v/>
      </c>
    </row>
    <row r="185">
      <c r="A185" s="41" t="inlineStr">
        <is>
          <t>Diluted shares (000) - year 3</t>
        </is>
      </c>
      <c r="E185" s="75">
        <f>E184-E21/115</f>
        <v/>
      </c>
      <c r="F185" s="75">
        <f>F184-F21/115</f>
        <v/>
      </c>
      <c r="G185" s="75">
        <f>G184-ROUND(G22*G155,0)/115</f>
        <v/>
      </c>
    </row>
    <row r="186">
      <c r="A186" s="41" t="inlineStr">
        <is>
          <t>Diluted shares (000) - year 4</t>
        </is>
      </c>
      <c r="E186" s="75">
        <f>E185-E21/122</f>
        <v/>
      </c>
      <c r="F186" s="75">
        <f>F185-F21/122</f>
        <v/>
      </c>
      <c r="G186" s="75">
        <f>G185-ROUND(G22*G156,0)/122</f>
        <v/>
      </c>
    </row>
    <row r="187">
      <c r="A187" s="41" t="inlineStr">
        <is>
          <t>Diluted shares (000) - year 5</t>
        </is>
      </c>
      <c r="E187" s="75">
        <f>E186-E21/130</f>
        <v/>
      </c>
      <c r="F187" s="75">
        <f>F186-F21/130</f>
        <v/>
      </c>
      <c r="G187" s="75">
        <f>G186-ROUND(G22*G157,0)/130</f>
        <v/>
      </c>
    </row>
    <row r="188">
      <c r="A188" s="41" t="inlineStr">
        <is>
          <t>Diluted EPS ($) - year 1</t>
        </is>
      </c>
      <c r="E188" s="99">
        <f>E143/E183</f>
        <v/>
      </c>
      <c r="F188" s="99">
        <f>F143/F183</f>
        <v/>
      </c>
      <c r="G188" s="99">
        <f>G143/G183</f>
        <v/>
      </c>
    </row>
    <row r="189">
      <c r="A189" s="41" t="inlineStr">
        <is>
          <t>Diluted EPS ($) - year 2</t>
        </is>
      </c>
      <c r="E189" s="99">
        <f>E144/E184</f>
        <v/>
      </c>
      <c r="F189" s="99">
        <f>F144/F184</f>
        <v/>
      </c>
      <c r="G189" s="99">
        <f>G144/G184</f>
        <v/>
      </c>
    </row>
    <row r="190">
      <c r="A190" s="41" t="inlineStr">
        <is>
          <t>Diluted EPS ($) - year 3</t>
        </is>
      </c>
      <c r="E190" s="99">
        <f>E145/E185</f>
        <v/>
      </c>
      <c r="F190" s="99">
        <f>F145/F185</f>
        <v/>
      </c>
      <c r="G190" s="99">
        <f>G145/G185</f>
        <v/>
      </c>
    </row>
    <row r="191">
      <c r="A191" s="41" t="inlineStr">
        <is>
          <t>Diluted EPS ($) - year 4</t>
        </is>
      </c>
      <c r="E191" s="99">
        <f>E146/E186</f>
        <v/>
      </c>
      <c r="F191" s="99">
        <f>F146/F186</f>
        <v/>
      </c>
      <c r="G191" s="99">
        <f>G146/G186</f>
        <v/>
      </c>
    </row>
    <row r="192">
      <c r="A192" s="41" t="inlineStr">
        <is>
          <t>Diluted EPS ($) - year 5</t>
        </is>
      </c>
      <c r="E192" s="99">
        <f>E147/E187</f>
        <v/>
      </c>
      <c r="F192" s="99">
        <f>F147/F187</f>
        <v/>
      </c>
      <c r="G192" s="99">
        <f>G147/G187</f>
        <v/>
      </c>
    </row>
    <row r="193">
      <c r="A193" s="26" t="n"/>
    </row>
  </sheetData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ref="C9" location="'WACC'!D36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applyStyles="1" summaryBelow="1" summaryRight="1" showOutlineSymbols="0"/>
    <pageSetUpPr/>
  </sheetPr>
  <dimension ref="A1:J59"/>
  <sheetViews>
    <sheetView showGridLines="0" showOutlineSymbols="0" workbookViewId="0">
      <pane xSplit="8" ySplit="4" topLeftCell="I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40" customWidth="1" min="9" max="9"/>
    <col width="28" customWidth="1" min="10" max="10"/>
    <col width="16" customWidth="1" min="11" max="11"/>
    <col width="36" customWidth="1" min="12" max="12"/>
  </cols>
  <sheetData>
    <row r="1">
      <c r="A1" s="50" t="inlineStr">
        <is>
          <t>BOTTOM-UP REVENUE DRIVER SCHEDULE (FY2026E-FY2030E)</t>
        </is>
      </c>
      <c r="B1" s="13" t="n"/>
      <c r="C1" s="13" t="n"/>
      <c r="D1" s="13" t="n"/>
      <c r="E1" s="13" t="n"/>
      <c r="F1" s="13" t="n"/>
      <c r="G1" s="13" t="n"/>
      <c r="H1" s="13" t="n"/>
    </row>
    <row r="2">
      <c r="A2" s="26" t="n"/>
    </row>
    <row r="4">
      <c r="A4" s="52" t="inlineStr">
        <is>
          <t>I. STORE FLEET &amp; SQUARE FOOTAGE (company-operated)</t>
        </is>
      </c>
    </row>
    <row r="5">
      <c r="A5" s="53" t="inlineStr">
        <is>
          <t>Driver</t>
        </is>
      </c>
      <c r="B5" s="135" t="inlineStr">
        <is>
          <t>FY2025A</t>
        </is>
      </c>
      <c r="C5" s="133" t="inlineStr">
        <is>
          <t>FY2026E</t>
        </is>
      </c>
      <c r="D5" s="135" t="inlineStr">
        <is>
          <t>FY2027E</t>
        </is>
      </c>
      <c r="E5" s="135" t="inlineStr">
        <is>
          <t>FY2028E</t>
        </is>
      </c>
      <c r="F5" s="135" t="inlineStr">
        <is>
          <t>FY2029E</t>
        </is>
      </c>
      <c r="G5" s="135" t="inlineStr">
        <is>
          <t>FY2030E</t>
        </is>
      </c>
      <c r="H5" s="135" t="inlineStr">
        <is>
          <t>Units</t>
        </is>
      </c>
      <c r="I5" t="inlineStr">
        <is>
          <t>Notes</t>
        </is>
      </c>
      <c r="J5" t="inlineStr">
        <is>
          <t>Source</t>
        </is>
      </c>
    </row>
    <row r="6" ht="28" customHeight="1">
      <c r="A6" s="41" t="inlineStr">
        <is>
          <t>Americas - beginning stores</t>
        </is>
      </c>
      <c r="B6" s="22" t="n">
        <v>462</v>
      </c>
      <c r="C6" s="75">
        <f>B9</f>
        <v/>
      </c>
      <c r="D6" s="75">
        <f>C9</f>
        <v/>
      </c>
      <c r="E6" s="75">
        <f>D9</f>
        <v/>
      </c>
      <c r="F6" s="75">
        <f>E9</f>
        <v/>
      </c>
      <c r="G6" s="75">
        <f>F9</f>
        <v/>
      </c>
      <c r="H6" s="140" t="inlineStr">
        <is>
          <t>stores</t>
        </is>
      </c>
      <c r="I6" s="9" t="inlineStr">
        <is>
          <t>Beginning stores = last year's ending count. Same.</t>
        </is>
      </c>
      <c r="J6" s="168" t="inlineStr">
        <is>
          <t>Revenue Drivers: beginning-stores formula</t>
        </is>
      </c>
    </row>
    <row r="7" ht="28" customHeight="1">
      <c r="A7" s="41" t="inlineStr">
        <is>
          <t>Americas - openings</t>
        </is>
      </c>
      <c r="C7" s="22" t="n">
        <v>8</v>
      </c>
      <c r="D7" s="22" t="n">
        <v>7</v>
      </c>
      <c r="E7" s="22" t="n">
        <v>6</v>
      </c>
      <c r="F7" s="22" t="n">
        <v>5</v>
      </c>
      <c r="G7" s="22" t="n">
        <v>4</v>
      </c>
      <c r="H7" s="140" t="inlineStr">
        <is>
          <t>stores</t>
        </is>
      </c>
      <c r="I7" s="9" t="inlineStr">
        <is>
          <t>Store openings skew to China (+20 FY26) vs.</t>
        </is>
      </c>
      <c r="J7" s="167" t="inlineStr">
        <is>
          <t>FY2025 10-K: store count &amp; expansion</t>
        </is>
      </c>
    </row>
    <row r="8" ht="28" customHeight="1">
      <c r="A8" s="41" t="inlineStr">
        <is>
          <t>Americas - closures</t>
        </is>
      </c>
      <c r="C8" s="22" t="n">
        <v>3</v>
      </c>
      <c r="D8" s="22" t="n">
        <v>3</v>
      </c>
      <c r="E8" s="22" t="n">
        <v>2</v>
      </c>
      <c r="F8" s="22" t="n">
        <v>2</v>
      </c>
      <c r="G8" s="22" t="n">
        <v>2</v>
      </c>
      <c r="H8" s="140" t="inlineStr">
        <is>
          <t>stores</t>
        </is>
      </c>
      <c r="I8" s="9" t="inlineStr">
        <is>
          <t>Closures assume 2–3 per mature region annually as.</t>
        </is>
      </c>
      <c r="J8" s="167" t="inlineStr">
        <is>
          <t>FY2025 10-K: lease renewal / fleet</t>
        </is>
      </c>
    </row>
    <row r="9" ht="28" customHeight="1">
      <c r="A9" s="61" t="inlineStr">
        <is>
          <t>Americas - ending stores</t>
        </is>
      </c>
      <c r="B9" s="22" t="n">
        <v>476</v>
      </c>
      <c r="C9" s="75">
        <f>C6+C7-C8</f>
        <v/>
      </c>
      <c r="D9" s="75">
        <f>D6+D7-D8</f>
        <v/>
      </c>
      <c r="E9" s="75">
        <f>E6+E7-E8</f>
        <v/>
      </c>
      <c r="F9" s="75">
        <f>F6+F7-F8</f>
        <v/>
      </c>
      <c r="G9" s="75">
        <f>G6+G7-G8</f>
        <v/>
      </c>
      <c r="H9" s="140" t="inlineStr">
        <is>
          <t>stores</t>
        </is>
      </c>
      <c r="I9" s="9" t="inlineStr">
        <is>
          <t>Simple roll-forward: where you started, plus openings, minus.</t>
        </is>
      </c>
      <c r="J9" s="168" t="inlineStr">
        <is>
          <t>Revenue Drivers: ending-stores formula</t>
        </is>
      </c>
    </row>
    <row r="10" ht="28" customHeight="1">
      <c r="A10" s="41" t="inlineStr">
        <is>
          <t>China Mainland - beginning stores</t>
        </is>
      </c>
      <c r="B10" s="22" t="n">
        <v>151</v>
      </c>
      <c r="C10" s="75">
        <f>B13</f>
        <v/>
      </c>
      <c r="D10" s="75">
        <f>C13</f>
        <v/>
      </c>
      <c r="E10" s="75">
        <f>D13</f>
        <v/>
      </c>
      <c r="F10" s="75">
        <f>E13</f>
        <v/>
      </c>
      <c r="G10" s="75">
        <f>F13</f>
        <v/>
      </c>
      <c r="H10" s="140" t="inlineStr">
        <is>
          <t>stores</t>
        </is>
      </c>
      <c r="I10" s="9" t="inlineStr">
        <is>
          <t>Beginning stores = last year's ending count. Same.</t>
        </is>
      </c>
      <c r="J10" s="168" t="inlineStr">
        <is>
          <t>Revenue Drivers: beginning-stores formula</t>
        </is>
      </c>
    </row>
    <row r="11" ht="28" customHeight="1">
      <c r="A11" s="41" t="inlineStr">
        <is>
          <t>China Mainland - openings</t>
        </is>
      </c>
      <c r="C11" s="22" t="n">
        <v>20</v>
      </c>
      <c r="D11" s="22" t="n">
        <v>18</v>
      </c>
      <c r="E11" s="22" t="n">
        <v>16</v>
      </c>
      <c r="F11" s="22" t="n">
        <v>14</v>
      </c>
      <c r="G11" s="22" t="n">
        <v>12</v>
      </c>
      <c r="H11" s="140" t="inlineStr">
        <is>
          <t>stores</t>
        </is>
      </c>
      <c r="I11" s="9" t="inlineStr">
        <is>
          <t>Store openings skew to China (+20 FY26) vs.</t>
        </is>
      </c>
      <c r="J11" s="167" t="inlineStr">
        <is>
          <t>FY2025 10-K: store count &amp; expansion</t>
        </is>
      </c>
    </row>
    <row r="12" ht="28" customHeight="1">
      <c r="A12" s="41" t="inlineStr">
        <is>
          <t>China Mainland - closures</t>
        </is>
      </c>
      <c r="C12" s="22" t="n">
        <v>1</v>
      </c>
      <c r="D12" s="22" t="n">
        <v>1</v>
      </c>
      <c r="E12" s="22" t="n">
        <v>1</v>
      </c>
      <c r="F12" s="22" t="n">
        <v>1</v>
      </c>
      <c r="G12" s="22" t="n">
        <v>1</v>
      </c>
      <c r="H12" s="140" t="inlineStr">
        <is>
          <t>stores</t>
        </is>
      </c>
      <c r="I12" s="9" t="inlineStr">
        <is>
          <t>Closures assume 2–3 per mature region annually as.</t>
        </is>
      </c>
      <c r="J12" s="167" t="inlineStr">
        <is>
          <t>FY2025 10-K: lease renewal / fleet</t>
        </is>
      </c>
    </row>
    <row r="13" ht="28" customHeight="1">
      <c r="A13" s="61" t="inlineStr">
        <is>
          <t>China Mainland - ending stores</t>
        </is>
      </c>
      <c r="B13" s="22" t="n">
        <v>172</v>
      </c>
      <c r="C13" s="75">
        <f>C10+C11-C12</f>
        <v/>
      </c>
      <c r="D13" s="75">
        <f>D10+D11-D12</f>
        <v/>
      </c>
      <c r="E13" s="75">
        <f>E10+E11-E12</f>
        <v/>
      </c>
      <c r="F13" s="75">
        <f>F10+F11-F12</f>
        <v/>
      </c>
      <c r="G13" s="75">
        <f>G10+G11-G12</f>
        <v/>
      </c>
      <c r="H13" s="140" t="inlineStr">
        <is>
          <t>stores</t>
        </is>
      </c>
      <c r="I13" s="9" t="inlineStr">
        <is>
          <t>Simple roll-forward: where you started, plus openings, minus.</t>
        </is>
      </c>
      <c r="J13" s="168" t="inlineStr">
        <is>
          <t>Revenue Drivers: ending-stores formula</t>
        </is>
      </c>
    </row>
    <row r="14" ht="28" customHeight="1">
      <c r="A14" s="41" t="inlineStr">
        <is>
          <t>Rest of World - beginning stores</t>
        </is>
      </c>
      <c r="B14" s="22" t="n">
        <v>154</v>
      </c>
      <c r="C14" s="75">
        <f>B17</f>
        <v/>
      </c>
      <c r="D14" s="75">
        <f>C17</f>
        <v/>
      </c>
      <c r="E14" s="75">
        <f>D17</f>
        <v/>
      </c>
      <c r="F14" s="75">
        <f>E17</f>
        <v/>
      </c>
      <c r="G14" s="75">
        <f>F17</f>
        <v/>
      </c>
      <c r="H14" s="140" t="inlineStr">
        <is>
          <t>stores</t>
        </is>
      </c>
      <c r="I14" s="9" t="inlineStr">
        <is>
          <t>Beginning stores = last year's ending count. Same.</t>
        </is>
      </c>
      <c r="J14" s="168" t="inlineStr">
        <is>
          <t>Revenue Drivers: beginning-stores formula</t>
        </is>
      </c>
    </row>
    <row r="15" ht="28" customHeight="1">
      <c r="A15" s="41" t="inlineStr">
        <is>
          <t>Rest of World - openings</t>
        </is>
      </c>
      <c r="C15" s="22" t="n">
        <v>7</v>
      </c>
      <c r="D15" s="22" t="n">
        <v>6</v>
      </c>
      <c r="E15" s="22" t="n">
        <v>5</v>
      </c>
      <c r="F15" s="22" t="n">
        <v>5</v>
      </c>
      <c r="G15" s="22" t="n">
        <v>4</v>
      </c>
      <c r="H15" s="140" t="inlineStr">
        <is>
          <t>stores</t>
        </is>
      </c>
      <c r="I15" s="9" t="inlineStr">
        <is>
          <t>Store openings skew to China (+20 FY26) vs.</t>
        </is>
      </c>
      <c r="J15" s="167" t="inlineStr">
        <is>
          <t>FY2025 10-K: store count &amp; expansion</t>
        </is>
      </c>
    </row>
    <row r="16" ht="28" customHeight="1">
      <c r="A16" s="41" t="inlineStr">
        <is>
          <t>Rest of World - closures</t>
        </is>
      </c>
      <c r="C16" s="22" t="n">
        <v>2</v>
      </c>
      <c r="D16" s="22" t="n">
        <v>2</v>
      </c>
      <c r="E16" s="22" t="n">
        <v>2</v>
      </c>
      <c r="F16" s="22" t="n">
        <v>2</v>
      </c>
      <c r="G16" s="22" t="n">
        <v>2</v>
      </c>
      <c r="H16" s="140" t="inlineStr">
        <is>
          <t>stores</t>
        </is>
      </c>
      <c r="I16" s="9" t="inlineStr">
        <is>
          <t>Closures assume 2–3 per mature region annually as.</t>
        </is>
      </c>
      <c r="J16" s="167" t="inlineStr">
        <is>
          <t>FY2025 10-K: lease renewal / fleet</t>
        </is>
      </c>
    </row>
    <row r="17" ht="28" customHeight="1">
      <c r="A17" s="61" t="inlineStr">
        <is>
          <t>Rest of World - ending stores</t>
        </is>
      </c>
      <c r="B17" s="22" t="n">
        <v>163</v>
      </c>
      <c r="C17" s="75">
        <f>C14+C15-C16</f>
        <v/>
      </c>
      <c r="D17" s="75">
        <f>D14+D15-D16</f>
        <v/>
      </c>
      <c r="E17" s="75">
        <f>E14+E15-E16</f>
        <v/>
      </c>
      <c r="F17" s="75">
        <f>F14+F15-F16</f>
        <v/>
      </c>
      <c r="G17" s="75">
        <f>G14+G15-G16</f>
        <v/>
      </c>
      <c r="H17" s="140" t="inlineStr">
        <is>
          <t>stores</t>
        </is>
      </c>
      <c r="I17" s="9" t="inlineStr">
        <is>
          <t>Simple roll-forward: where you started, plus openings, minus.</t>
        </is>
      </c>
      <c r="J17" s="168" t="inlineStr">
        <is>
          <t>Revenue Drivers: ending-stores formula</t>
        </is>
      </c>
    </row>
    <row r="18" ht="28" customHeight="1">
      <c r="A18" s="61" t="inlineStr">
        <is>
          <t>Total ending stores</t>
        </is>
      </c>
      <c r="B18" s="22" t="n">
        <v>811</v>
      </c>
      <c r="C18" s="75">
        <f>C9+C13+C17</f>
        <v/>
      </c>
      <c r="D18" s="75">
        <f>D9+D13+D17</f>
        <v/>
      </c>
      <c r="E18" s="75">
        <f>E9+E13+E17</f>
        <v/>
      </c>
      <c r="F18" s="75">
        <f>F9+F13+F17</f>
        <v/>
      </c>
      <c r="G18" s="75">
        <f>G9+G13+G17</f>
        <v/>
      </c>
      <c r="I18" s="9" t="inlineStr">
        <is>
          <t>Add up Americas + China + RoW ending.</t>
        </is>
      </c>
      <c r="J18" s="168" t="inlineStr">
        <is>
          <t>Revenue Drivers: total-stores formula</t>
        </is>
      </c>
    </row>
    <row r="19" ht="28" customHeight="1">
      <c r="A19" s="41" t="inlineStr">
        <is>
          <t>Avg square feet per store</t>
        </is>
      </c>
      <c r="B19" s="158" t="n">
        <v>4366</v>
      </c>
      <c r="C19" s="158" t="n">
        <v>4400</v>
      </c>
      <c r="D19" s="158" t="n">
        <v>4425</v>
      </c>
      <c r="E19" s="158" t="n">
        <v>4450</v>
      </c>
      <c r="F19" s="158" t="n">
        <v>4475</v>
      </c>
      <c r="G19" s="158" t="n">
        <v>4500</v>
      </c>
      <c r="H19" s="140" t="inlineStr">
        <is>
          <t>sq ft</t>
        </is>
      </c>
      <c r="I19" s="9" t="inlineStr">
        <is>
          <t>4,367 avg sq ft/store = implied FY25 total.</t>
        </is>
      </c>
      <c r="J19" s="167" t="inlineStr">
        <is>
          <t>FY2025 10-K: sales per square foot</t>
        </is>
      </c>
    </row>
    <row r="20" ht="28" customHeight="1">
      <c r="A20" s="41" t="inlineStr">
        <is>
          <t>Total square footage (end stores x avg sq ft)</t>
        </is>
      </c>
      <c r="B20" s="75">
        <f>B18*B19</f>
        <v/>
      </c>
      <c r="C20" s="75">
        <f>C18*C19</f>
        <v/>
      </c>
      <c r="D20" s="75">
        <f>D18*D19</f>
        <v/>
      </c>
      <c r="E20" s="75">
        <f>E18*E19</f>
        <v/>
      </c>
      <c r="F20" s="75">
        <f>F18*F19</f>
        <v/>
      </c>
      <c r="G20" s="75">
        <f>G18*G19</f>
        <v/>
      </c>
      <c r="H20" s="140" t="inlineStr">
        <is>
          <t>sq ft</t>
        </is>
      </c>
      <c r="I20" s="9" t="inlineStr">
        <is>
          <t>Ending stores times avg sq ft per box..</t>
        </is>
      </c>
      <c r="J20" s="168" t="inlineStr">
        <is>
          <t>Revenue Drivers: total-sqft formula</t>
        </is>
      </c>
    </row>
    <row r="22">
      <c r="A22" s="52" t="inlineStr">
        <is>
          <t>II. STORE PRODUCTIVITY (brick &amp; mortar channel)</t>
        </is>
      </c>
    </row>
    <row r="23">
      <c r="A23" s="53" t="inlineStr">
        <is>
          <t>Driver</t>
        </is>
      </c>
      <c r="B23" s="135" t="inlineStr">
        <is>
          <t>FY2025A</t>
        </is>
      </c>
      <c r="C23" s="133" t="inlineStr">
        <is>
          <t>FY2026E</t>
        </is>
      </c>
      <c r="D23" s="135" t="inlineStr">
        <is>
          <t>FY2027E</t>
        </is>
      </c>
      <c r="E23" s="135" t="inlineStr">
        <is>
          <t>FY2028E</t>
        </is>
      </c>
      <c r="F23" s="135" t="inlineStr">
        <is>
          <t>FY2029E</t>
        </is>
      </c>
      <c r="G23" s="135" t="inlineStr">
        <is>
          <t>FY2030E</t>
        </is>
      </c>
      <c r="H23" s="135" t="inlineStr">
        <is>
          <t>Units</t>
        </is>
      </c>
      <c r="I23" s="127" t="inlineStr">
        <is>
          <t>Notes</t>
        </is>
      </c>
      <c r="J23" s="126" t="inlineStr">
        <is>
          <t>Source</t>
        </is>
      </c>
    </row>
    <row r="24" ht="28" customHeight="1">
      <c r="A24" s="41" t="inlineStr">
        <is>
          <t>Sales per square foot ($)</t>
        </is>
      </c>
      <c r="B24" s="158" t="n">
        <v>1426</v>
      </c>
      <c r="C24" s="158" t="n">
        <v>1360</v>
      </c>
      <c r="D24" s="158" t="n">
        <v>1380</v>
      </c>
      <c r="E24" s="158" t="n">
        <v>1400</v>
      </c>
      <c r="F24" s="158" t="n">
        <v>1420</v>
      </c>
      <c r="G24" s="158" t="n">
        <v>1440</v>
      </c>
      <c r="H24" s="140" t="inlineStr">
        <is>
          <t>$/sq ft</t>
        </is>
      </c>
      <c r="I24" s="9" t="inlineStr">
        <is>
          <t>FY26 SPSF $1,380 reflects Americas traffic/conversion pressure; recovers.</t>
        </is>
      </c>
      <c r="J24" s="167" t="inlineStr">
        <is>
          <t>FY2025 10-K: comparable sales &amp; SPSF</t>
        </is>
      </c>
    </row>
    <row r="25" ht="28" customHeight="1">
      <c r="A25" s="41" t="inlineStr">
        <is>
          <t>Americas - comparable sales growth</t>
        </is>
      </c>
      <c r="B25" s="129" t="n">
        <v>-0.03</v>
      </c>
      <c r="C25" s="129" t="n">
        <v>-0.04</v>
      </c>
      <c r="D25" s="129" t="n">
        <v>0</v>
      </c>
      <c r="E25" s="129" t="n">
        <v>0.01</v>
      </c>
      <c r="F25" s="129" t="n">
        <v>0.02</v>
      </c>
      <c r="G25" s="129" t="n">
        <v>0.02</v>
      </c>
      <c r="H25" s="140" t="inlineStr">
        <is>
          <t>%</t>
        </is>
      </c>
      <c r="I25" s="9" t="inlineStr">
        <is>
          <t>FY25 Americas comp −3% per 10-K (traffic, conversion,.</t>
        </is>
      </c>
      <c r="J25" s="167" t="inlineStr">
        <is>
          <t>FY2025 10-K: Americas comparable sales</t>
        </is>
      </c>
    </row>
    <row r="26" ht="28" customHeight="1">
      <c r="A26" s="41" t="inlineStr">
        <is>
          <t>China Mainland - comparable sales growth</t>
        </is>
      </c>
      <c r="B26" s="129" t="n">
        <v>0.2</v>
      </c>
      <c r="C26" s="129" t="n">
        <v>0.14</v>
      </c>
      <c r="D26" s="129" t="n">
        <v>0.12</v>
      </c>
      <c r="E26" s="129" t="n">
        <v>0.1</v>
      </c>
      <c r="F26" s="129" t="n">
        <v>0.08</v>
      </c>
      <c r="G26" s="129" t="n">
        <v>0.07000000000000001</v>
      </c>
      <c r="H26" s="140" t="inlineStr">
        <is>
          <t>%</t>
        </is>
      </c>
      <c r="I26" s="9" t="inlineStr">
        <is>
          <t>FY25 China comp +20% (+19% CCY) per 10-K..</t>
        </is>
      </c>
      <c r="J26" s="167" t="inlineStr">
        <is>
          <t>FY2025 10-K: China Mainland comparable sales</t>
        </is>
      </c>
    </row>
    <row r="27" ht="28" customHeight="1">
      <c r="A27" s="41" t="inlineStr">
        <is>
          <t>Rest of World - comparable sales growth</t>
        </is>
      </c>
      <c r="B27" s="129" t="n">
        <v>0.09</v>
      </c>
      <c r="C27" s="129" t="n">
        <v>0.07000000000000001</v>
      </c>
      <c r="D27" s="129" t="n">
        <v>0.06</v>
      </c>
      <c r="E27" s="129" t="n">
        <v>0.05</v>
      </c>
      <c r="F27" s="129" t="n">
        <v>0.04</v>
      </c>
      <c r="G27" s="129" t="n">
        <v>0.04</v>
      </c>
      <c r="H27" s="140" t="inlineStr">
        <is>
          <t>%</t>
        </is>
      </c>
      <c r="I27" s="9" t="inlineStr">
        <is>
          <t>FY25 RoW comp +9% (+7% CCY) per 10-K..</t>
        </is>
      </c>
      <c r="J27" s="167" t="inlineStr">
        <is>
          <t>FY2025 10-K: Rest of World comparable sales</t>
        </is>
      </c>
    </row>
    <row r="28" ht="28" customHeight="1">
      <c r="A28" s="41" t="inlineStr">
        <is>
          <t>Prior-year store channel revenue ($000)</t>
        </is>
      </c>
      <c r="B28" s="158" t="n">
        <v>5049744</v>
      </c>
      <c r="C28" s="75">
        <f>B31</f>
        <v/>
      </c>
      <c r="D28" s="75">
        <f>C31</f>
        <v/>
      </c>
      <c r="E28" s="75">
        <f>D31</f>
        <v/>
      </c>
      <c r="F28" s="75">
        <f>E31</f>
        <v/>
      </c>
      <c r="G28" s="75">
        <f>F31</f>
        <v/>
      </c>
      <c r="H28" s="140" t="inlineStr">
        <is>
          <t>$000</t>
        </is>
      </c>
      <c r="I28" s="9" t="inlineStr">
        <is>
          <t>Last year's total store-channel revenue; the base you're.</t>
        </is>
      </c>
      <c r="J28" s="168" t="inlineStr">
        <is>
          <t>Revenue Drivers: prior store-rev formula</t>
        </is>
      </c>
    </row>
    <row r="29" ht="28" customHeight="1">
      <c r="A29" s="41" t="inlineStr">
        <is>
          <t>Comparable store revenue ($000)</t>
        </is>
      </c>
      <c r="B29" s="158" t="n">
        <v>5049744</v>
      </c>
      <c r="C29" s="75">
        <f>B28*0.71*(1+C25)+B28*0.16*(1+C26)+B28*0.13*(1+C27)</f>
        <v/>
      </c>
      <c r="D29" s="75">
        <f>C28*0.71*(1+D25)+C28*0.16*(1+D26)+C28*0.13*(1+D27)</f>
        <v/>
      </c>
      <c r="E29" s="75">
        <f>D28*0.71*(1+E25)+D28*0.16*(1+E26)+D28*0.13*(1+E27)</f>
        <v/>
      </c>
      <c r="F29" s="75">
        <f>E28*0.71*(1+F25)+E28*0.16*(1+F26)+E28*0.13*(1+F27)</f>
        <v/>
      </c>
      <c r="G29" s="75">
        <f>F28*0.71*(1+G25)+F28*0.16*(1+G26)+F28*0.13*(1+G27)</f>
        <v/>
      </c>
      <c r="I29" s="9" t="inlineStr">
        <is>
          <t>Existing-store sales only; prior store rev grown by.</t>
        </is>
      </c>
      <c r="J29" s="168" t="inlineStr">
        <is>
          <t>Revenue Drivers: comp-store formula</t>
        </is>
      </c>
    </row>
    <row r="30" ht="28" customHeight="1">
      <c r="A30" s="41" t="inlineStr">
        <is>
          <t>Net new store revenue contribution ($000)</t>
        </is>
      </c>
      <c r="B30" s="22" t="n">
        <v>0</v>
      </c>
      <c r="C30" s="75">
        <f>(C7-C8+C11-C12+C15-C16)*C19*C24/1000*0.55</f>
        <v/>
      </c>
      <c r="D30" s="75">
        <f>(D7-D8+D11-D12+D15-D16)*D19*D24/1000*0.55</f>
        <v/>
      </c>
      <c r="E30" s="75">
        <f>(E7-E8+E11-E12+E15-E16)*E19*E24/1000*0.55</f>
        <v/>
      </c>
      <c r="F30" s="75">
        <f>(F7-F8+F11-F12+F15-F16)*F19*F24/1000*0.55</f>
        <v/>
      </c>
      <c r="G30" s="75">
        <f>(G7-G8+G11-G12+G15-G16)*G19*G24/1000*0.55</f>
        <v/>
      </c>
      <c r="I30" s="9" t="inlineStr">
        <is>
          <t>Net new doors × sq ft × $/sq.</t>
        </is>
      </c>
      <c r="J30" s="168" t="inlineStr">
        <is>
          <t>Revenue Drivers: net-new-store formula</t>
        </is>
      </c>
    </row>
    <row r="31" ht="28" customHeight="1">
      <c r="A31" s="61" t="inlineStr">
        <is>
          <t>Store channel revenue ($000)</t>
        </is>
      </c>
      <c r="B31" s="158" t="n">
        <v>5049744</v>
      </c>
      <c r="C31" s="75">
        <f>C29+C30</f>
        <v/>
      </c>
      <c r="D31" s="75">
        <f>D29+D30</f>
        <v/>
      </c>
      <c r="E31" s="75">
        <f>E29+E30</f>
        <v/>
      </c>
      <c r="F31" s="75">
        <f>F29+F30</f>
        <v/>
      </c>
      <c r="G31" s="75">
        <f>G29+G30</f>
        <v/>
      </c>
      <c r="I31" s="9" t="inlineStr">
        <is>
          <t>Brick-and-mortar channel = comp store sales plus whatever.</t>
        </is>
      </c>
      <c r="J31" s="168" t="inlineStr">
        <is>
          <t>Revenue Drivers: store-channel formula</t>
        </is>
      </c>
    </row>
    <row r="32" ht="28" customHeight="1">
      <c r="A32" s="41" t="inlineStr">
        <is>
          <t>fleet traffic (millions of visits)</t>
        </is>
      </c>
      <c r="B32" s="141" t="n">
        <v>42.5</v>
      </c>
      <c r="C32" s="141" t="n">
        <v>40</v>
      </c>
      <c r="D32" s="141" t="n">
        <v>41</v>
      </c>
      <c r="E32" s="141" t="n">
        <v>42</v>
      </c>
      <c r="F32" s="141" t="n">
        <v>43</v>
      </c>
      <c r="G32" s="141" t="n">
        <v>44</v>
      </c>
      <c r="H32" s="140" t="inlineStr">
        <is>
          <t>M visits</t>
        </is>
      </c>
      <c r="I32" s="9" t="inlineStr">
        <is>
          <t>Fleet traffic memo line; not a separate FCF.</t>
        </is>
      </c>
      <c r="J32" s="167" t="inlineStr">
        <is>
          <t>FY2025 10-K: store traffic commentary</t>
        </is>
      </c>
    </row>
    <row r="33" ht="28" customHeight="1">
      <c r="A33" s="41" t="inlineStr">
        <is>
          <t>in-store conversion rate</t>
        </is>
      </c>
      <c r="B33" s="129" t="n">
        <v>0.28</v>
      </c>
      <c r="C33" s="129" t="n">
        <v>0.27</v>
      </c>
      <c r="D33" s="129" t="n">
        <v>0.275</v>
      </c>
      <c r="E33" s="129" t="n">
        <v>0.28</v>
      </c>
      <c r="F33" s="129" t="n">
        <v>0.285</v>
      </c>
      <c r="G33" s="129" t="n">
        <v>0.29</v>
      </c>
      <c r="I33" s="9" t="inlineStr">
        <is>
          <t>In-store conversion memo; 10-K cites lower conversion in.</t>
        </is>
      </c>
      <c r="J33" s="167" t="inlineStr">
        <is>
          <t>FY2025 10-K: conversion rate commentary</t>
        </is>
      </c>
    </row>
    <row r="34" ht="28" customHeight="1">
      <c r="A34" s="41" t="inlineStr">
        <is>
          <t>in-store average transaction ($)</t>
        </is>
      </c>
      <c r="B34" s="21" t="n">
        <v>118</v>
      </c>
      <c r="C34" s="21" t="n">
        <v>115</v>
      </c>
      <c r="D34" s="21" t="n">
        <v>116</v>
      </c>
      <c r="E34" s="21" t="n">
        <v>118</v>
      </c>
      <c r="F34" s="21" t="n">
        <v>120</v>
      </c>
      <c r="G34" s="21" t="n">
        <v>122</v>
      </c>
      <c r="I34" s="9" t="inlineStr">
        <is>
          <t>In-store average transaction $115–$122; supports SPSF and comp-sales.</t>
        </is>
      </c>
      <c r="J34" s="167" t="inlineStr">
        <is>
          <t>FY2025 10-K: average order value commentary</t>
        </is>
      </c>
    </row>
    <row r="36">
      <c r="A36" s="52" t="inlineStr">
        <is>
          <t>III. DIRECT-TO-CONSUMER (e-commerce / digital)</t>
        </is>
      </c>
    </row>
    <row r="37">
      <c r="A37" s="53" t="inlineStr">
        <is>
          <t>Driver</t>
        </is>
      </c>
      <c r="B37" s="135" t="inlineStr">
        <is>
          <t>FY2025A</t>
        </is>
      </c>
      <c r="C37" s="133" t="inlineStr">
        <is>
          <t>FY2026E</t>
        </is>
      </c>
      <c r="D37" s="135" t="inlineStr">
        <is>
          <t>FY2027E</t>
        </is>
      </c>
      <c r="E37" s="135" t="inlineStr">
        <is>
          <t>FY2028E</t>
        </is>
      </c>
      <c r="F37" s="135" t="inlineStr">
        <is>
          <t>FY2029E</t>
        </is>
      </c>
      <c r="G37" s="135" t="inlineStr">
        <is>
          <t>FY2030E</t>
        </is>
      </c>
      <c r="H37" s="135" t="inlineStr">
        <is>
          <t>Units</t>
        </is>
      </c>
      <c r="I37" s="127" t="inlineStr">
        <is>
          <t>Notes</t>
        </is>
      </c>
      <c r="J37" s="126" t="inlineStr">
        <is>
          <t>Source</t>
        </is>
      </c>
    </row>
    <row r="38" ht="28" customHeight="1">
      <c r="A38" s="41" t="inlineStr">
        <is>
          <t>Unique digital sessions (millions)</t>
        </is>
      </c>
      <c r="B38" s="22" t="n">
        <v>485</v>
      </c>
      <c r="C38" s="22" t="n">
        <v>485</v>
      </c>
      <c r="D38" s="22" t="n">
        <v>505</v>
      </c>
      <c r="E38" s="22" t="n">
        <v>525</v>
      </c>
      <c r="F38" s="22" t="n">
        <v>545</v>
      </c>
      <c r="G38" s="22" t="n">
        <v>560</v>
      </c>
      <c r="H38" s="140" t="inlineStr">
        <is>
          <t>M</t>
        </is>
      </c>
      <c r="I38" s="9" t="inlineStr">
        <is>
          <t>485M FY25 sessions implied from reported e-comm revenue.</t>
        </is>
      </c>
      <c r="J38" s="167" t="inlineStr">
        <is>
          <t>FY2025 10-K: e-commerce revenue</t>
        </is>
      </c>
    </row>
    <row r="39" ht="28" customHeight="1">
      <c r="A39" s="41" t="inlineStr">
        <is>
          <t>Digital conversion rate</t>
        </is>
      </c>
      <c r="B39" s="129" t="n">
        <v>0.033</v>
      </c>
      <c r="C39" s="129" t="n">
        <v>0.033</v>
      </c>
      <c r="D39" s="129" t="n">
        <v>0.034</v>
      </c>
      <c r="E39" s="129" t="n">
        <v>0.035</v>
      </c>
      <c r="F39" s="129" t="n">
        <v>0.035</v>
      </c>
      <c r="G39" s="129" t="n">
        <v>0.036</v>
      </c>
      <c r="I39" s="9" t="inlineStr">
        <is>
          <t>3.3% FY26 digital conversion vs 3.5% pressure cited.</t>
        </is>
      </c>
      <c r="J39" s="167" t="inlineStr">
        <is>
          <t>FY2025 10-K: digital / traffic commentary</t>
        </is>
      </c>
    </row>
    <row r="40" ht="28" customHeight="1">
      <c r="A40" s="41" t="inlineStr">
        <is>
          <t>Digital average order value ($)</t>
        </is>
      </c>
      <c r="B40" s="21" t="n">
        <v>307</v>
      </c>
      <c r="C40" s="21" t="n">
        <v>305</v>
      </c>
      <c r="D40" s="21" t="n">
        <v>308</v>
      </c>
      <c r="E40" s="21" t="n">
        <v>310</v>
      </c>
      <c r="F40" s="21" t="n">
        <v>312</v>
      </c>
      <c r="G40" s="21" t="n">
        <v>315</v>
      </c>
      <c r="I40" s="9" t="inlineStr">
        <is>
          <t>AOV $305 FY26 on promo intensity; steps to.</t>
        </is>
      </c>
      <c r="J40" s="167" t="inlineStr">
        <is>
          <t>FY2025 10-K: e-commerce revenue</t>
        </is>
      </c>
    </row>
    <row r="41" ht="28" customHeight="1">
      <c r="A41" s="61" t="inlineStr">
        <is>
          <t>E-commerce revenue ($000)</t>
        </is>
      </c>
      <c r="B41" s="158" t="n">
        <v>4918697</v>
      </c>
      <c r="C41" s="75">
        <f>C38*1000000*C39*C40/1000</f>
        <v/>
      </c>
      <c r="D41" s="75">
        <f>D38*1000000*D39*D40/1000</f>
        <v/>
      </c>
      <c r="E41" s="75">
        <f>E38*1000000*E39*E40/1000</f>
        <v/>
      </c>
      <c r="F41" s="75">
        <f>F38*1000000*F39*F40/1000</f>
        <v/>
      </c>
      <c r="G41" s="75">
        <f>G38*1000000*G39*G40/1000</f>
        <v/>
      </c>
      <c r="I41" s="9" t="inlineStr">
        <is>
          <t>Traffic × conversion × AOV is dollars. ×1M.</t>
        </is>
      </c>
      <c r="J41" s="168" t="inlineStr">
        <is>
          <t>Revenue Drivers: e-comm formula</t>
        </is>
      </c>
    </row>
    <row r="43">
      <c r="A43" s="52" t="inlineStr">
        <is>
          <t>IV. OTHER CHANNELS, GEOGRAPHY &amp; PRODUCT MIX</t>
        </is>
      </c>
    </row>
    <row r="44">
      <c r="A44" s="53" t="inlineStr">
        <is>
          <t>Driver</t>
        </is>
      </c>
      <c r="B44" s="135" t="inlineStr">
        <is>
          <t>FY2025A</t>
        </is>
      </c>
      <c r="C44" s="133" t="inlineStr">
        <is>
          <t>FY2026E</t>
        </is>
      </c>
      <c r="D44" s="135" t="inlineStr">
        <is>
          <t>FY2027E</t>
        </is>
      </c>
      <c r="E44" s="135" t="inlineStr">
        <is>
          <t>FY2028E</t>
        </is>
      </c>
      <c r="F44" s="135" t="inlineStr">
        <is>
          <t>FY2029E</t>
        </is>
      </c>
      <c r="G44" s="135" t="inlineStr">
        <is>
          <t>FY2030E</t>
        </is>
      </c>
      <c r="H44" s="135" t="inlineStr">
        <is>
          <t>Units</t>
        </is>
      </c>
      <c r="I44" s="127" t="inlineStr">
        <is>
          <t>Notes</t>
        </is>
      </c>
      <c r="J44" s="126" t="inlineStr">
        <is>
          <t>Source</t>
        </is>
      </c>
    </row>
    <row r="45" ht="28" customHeight="1">
      <c r="A45" s="41" t="inlineStr">
        <is>
          <t>Other channels (wholesale / license / outlets) ($000)</t>
        </is>
      </c>
      <c r="B45" s="158" t="n">
        <v>1134159</v>
      </c>
      <c r="C45" s="75">
        <f>B45*(1+-0.02)</f>
        <v/>
      </c>
      <c r="D45" s="75">
        <f>C45*(1+0.0)</f>
        <v/>
      </c>
      <c r="E45" s="75">
        <f>D45*(1+0.02)</f>
        <v/>
      </c>
      <c r="F45" s="75">
        <f>E45*(1+0.02)</f>
        <v/>
      </c>
      <c r="G45" s="75">
        <f>F45*(1+0.02)</f>
        <v/>
      </c>
      <c r="H45" s="140" t="inlineStr">
        <is>
          <t>$000</t>
        </is>
      </c>
      <c r="I45" s="9" t="inlineStr">
        <is>
          <t>Other channels (wholesale/license/outlets) held at FY25 $1.13B base;.</t>
        </is>
      </c>
      <c r="J45" s="167" t="inlineStr">
        <is>
          <t>FY2025 10-K: channel revenue table</t>
        </is>
      </c>
    </row>
    <row r="46" ht="15" customHeight="1">
      <c r="A46" s="41" t="inlineStr">
        <is>
          <t>Americas net revenue ($000)</t>
        </is>
      </c>
      <c r="B46" s="158" t="n">
        <v>7847044</v>
      </c>
      <c r="C46" s="75">
        <f>B46*(C31+C41+C45)/(B31+B41+B45)</f>
        <v/>
      </c>
      <c r="D46" s="75">
        <f>B46*(D31+D41+D45)/(B31+B41+B45)</f>
        <v/>
      </c>
      <c r="E46" s="75">
        <f>B46*(E31+E41+E45)/(B31+B41+B45)</f>
        <v/>
      </c>
      <c r="F46" s="75">
        <f>B46*(F31+F41+F45)/(B31+B41+B45)</f>
        <v/>
      </c>
      <c r="G46" s="75">
        <f>B46*(G31+G41+G45)/(B31+B41+B45)</f>
        <v/>
      </c>
      <c r="H46" s="140" t="inlineStr">
        <is>
          <t>$000</t>
        </is>
      </c>
      <c r="I46" s="9" t="inlineStr">
        <is>
          <t>Geographic split scales with consolidated growth; FY25 Americas.</t>
        </is>
      </c>
      <c r="J46" s="167" t="inlineStr">
        <is>
          <t>FY2025 10-K: segmented net revenue</t>
        </is>
      </c>
    </row>
    <row r="47" ht="15" customHeight="1">
      <c r="A47" s="41" t="inlineStr">
        <is>
          <t>China Mainland net revenue ($000)</t>
        </is>
      </c>
      <c r="B47" s="158" t="n">
        <v>1754799</v>
      </c>
      <c r="C47" s="75">
        <f>B47*(C31+C41+C45)/(B31+B41+B45)</f>
        <v/>
      </c>
      <c r="D47" s="75">
        <f>B47*(D31+D41+D45)/(B31+B41+B45)</f>
        <v/>
      </c>
      <c r="E47" s="75">
        <f>B47*(E31+E41+E45)/(B31+B41+B45)</f>
        <v/>
      </c>
      <c r="F47" s="75">
        <f>B47*(F31+F41+F45)/(B31+B41+B45)</f>
        <v/>
      </c>
      <c r="G47" s="75">
        <f>B47*(G31+G41+G45)/(B31+B41+B45)</f>
        <v/>
      </c>
      <c r="H47" s="140" t="inlineStr">
        <is>
          <t>$000</t>
        </is>
      </c>
      <c r="I47" s="9" t="inlineStr">
        <is>
          <t>China 15.8% of FY25 revenue; fastest comp and.</t>
        </is>
      </c>
      <c r="J47" s="167" t="inlineStr">
        <is>
          <t>FY2025 10-K: segmented net revenue</t>
        </is>
      </c>
    </row>
    <row r="48" ht="15" customHeight="1">
      <c r="A48" s="41" t="inlineStr">
        <is>
          <t>Rest of World net revenue ($000)</t>
        </is>
      </c>
      <c r="B48" s="158" t="n">
        <v>1500757</v>
      </c>
      <c r="C48" s="75">
        <f>B48*(C31+C41+C45)/(B31+B41+B45)</f>
        <v/>
      </c>
      <c r="D48" s="75">
        <f>B48*(D31+D41+D45)/(B31+B41+B45)</f>
        <v/>
      </c>
      <c r="E48" s="75">
        <f>B48*(E31+E41+E45)/(B31+B41+B45)</f>
        <v/>
      </c>
      <c r="F48" s="75">
        <f>B48*(F31+F41+F45)/(B31+B41+B45)</f>
        <v/>
      </c>
      <c r="G48" s="75">
        <f>B48*(G31+G41+G45)/(B31+B41+B45)</f>
        <v/>
      </c>
      <c r="H48" s="140" t="inlineStr">
        <is>
          <t>$000</t>
        </is>
      </c>
      <c r="I48" s="9" t="inlineStr">
        <is>
          <t>Rest of World 13.5% of FY25 revenue; mid-single-digit.</t>
        </is>
      </c>
      <c r="J48" s="167" t="inlineStr">
        <is>
          <t>FY2025 10-K: segmented net revenue</t>
        </is>
      </c>
    </row>
    <row r="49" ht="28" customHeight="1">
      <c r="A49" s="41" t="inlineStr">
        <is>
          <t>Women's % of revenue</t>
        </is>
      </c>
      <c r="B49" s="129" t="n">
        <v>0.63</v>
      </c>
      <c r="C49" s="129" t="n">
        <v>0.62</v>
      </c>
      <c r="D49" s="129" t="n">
        <v>0.615</v>
      </c>
      <c r="E49" s="129" t="n">
        <v>0.61</v>
      </c>
      <c r="F49" s="129" t="n">
        <v>0.605</v>
      </c>
      <c r="G49" s="129" t="n">
        <v>0.6</v>
      </c>
      <c r="I49" s="9" t="inlineStr">
        <is>
          <t>Women's mix fades 62.5% to 60% as men's penetrates; FY25.</t>
        </is>
      </c>
      <c r="J49" s="167" t="inlineStr">
        <is>
          <t>FY2025 10-K: product category mix</t>
        </is>
      </c>
    </row>
    <row r="50" ht="28" customHeight="1">
      <c r="A50" s="41" t="inlineStr">
        <is>
          <t>Men's % of revenue</t>
        </is>
      </c>
      <c r="B50" s="129" t="n">
        <v>0.24</v>
      </c>
      <c r="C50" s="129" t="n">
        <v>0.25</v>
      </c>
      <c r="D50" s="129" t="n">
        <v>0.255</v>
      </c>
      <c r="E50" s="129" t="n">
        <v>0.26</v>
      </c>
      <c r="F50" s="129" t="n">
        <v>0.265</v>
      </c>
      <c r="G50" s="129" t="n">
        <v>0.27</v>
      </c>
      <c r="I50" s="9" t="inlineStr">
        <is>
          <t>Men's mix rises 24.5% to 27%; FY25 men's grew 4%.</t>
        </is>
      </c>
      <c r="J50" s="167" t="inlineStr">
        <is>
          <t>FY2025 10-K: product category mix</t>
        </is>
      </c>
    </row>
    <row r="51" ht="28" customHeight="1">
      <c r="A51" s="41" t="inlineStr">
        <is>
          <t>Accessories &amp; other % of revenue</t>
        </is>
      </c>
      <c r="B51" s="129" t="n">
        <v>0.13</v>
      </c>
      <c r="C51" s="129" t="n">
        <v>0.13</v>
      </c>
      <c r="D51" s="129" t="n">
        <v>0.13</v>
      </c>
      <c r="E51" s="129" t="n">
        <v>0.13</v>
      </c>
      <c r="F51" s="129" t="n">
        <v>0.13</v>
      </c>
      <c r="G51" s="129" t="n">
        <v>0.13</v>
      </c>
      <c r="I51" s="9" t="inlineStr">
        <is>
          <t>Accessories steady at 13% of revenue; FY25 accessories.</t>
        </is>
      </c>
      <c r="J51" s="167" t="inlineStr">
        <is>
          <t>FY2025 10-K: product category mix</t>
        </is>
      </c>
    </row>
    <row r="53">
      <c r="A53" s="52" t="inlineStr">
        <is>
          <t>V. CONSOLIDATED REVENUE &amp; RECONCILIATION</t>
        </is>
      </c>
    </row>
    <row r="54">
      <c r="A54" s="53" t="inlineStr">
        <is>
          <t>Driver</t>
        </is>
      </c>
      <c r="B54" s="135" t="inlineStr">
        <is>
          <t>FY2025A</t>
        </is>
      </c>
      <c r="C54" s="133" t="inlineStr">
        <is>
          <t>FY2026E</t>
        </is>
      </c>
      <c r="D54" s="135" t="inlineStr">
        <is>
          <t>FY2027E</t>
        </is>
      </c>
      <c r="E54" s="135" t="inlineStr">
        <is>
          <t>FY2028E</t>
        </is>
      </c>
      <c r="F54" s="135" t="inlineStr">
        <is>
          <t>FY2029E</t>
        </is>
      </c>
      <c r="G54" s="135" t="inlineStr">
        <is>
          <t>FY2030E</t>
        </is>
      </c>
      <c r="H54" s="135" t="inlineStr">
        <is>
          <t>Units</t>
        </is>
      </c>
      <c r="I54" s="127" t="inlineStr">
        <is>
          <t>Notes</t>
        </is>
      </c>
      <c r="J54" s="126" t="inlineStr">
        <is>
          <t>Source</t>
        </is>
      </c>
    </row>
    <row r="55" ht="28" customHeight="1">
      <c r="A55" s="68" t="inlineStr">
        <is>
          <t>Bottom-up total revenue ($000)</t>
        </is>
      </c>
      <c r="B55" s="158" t="n">
        <v>11102600</v>
      </c>
      <c r="C55" s="75">
        <f>C31+C41+C45</f>
        <v/>
      </c>
      <c r="D55" s="75">
        <f>D31+D41+D45</f>
        <v/>
      </c>
      <c r="E55" s="75">
        <f>E31+E41+E45</f>
        <v/>
      </c>
      <c r="F55" s="75">
        <f>F31+F41+F45</f>
        <v/>
      </c>
      <c r="G55" s="75">
        <f>G31+G41+G45</f>
        <v/>
      </c>
      <c r="I55" s="9" t="inlineStr">
        <is>
          <t>Bottom-up total = store channel + e-comm +.</t>
        </is>
      </c>
      <c r="J55" s="168" t="inlineStr">
        <is>
          <t>Revenue Drivers: total-rev formula</t>
        </is>
      </c>
    </row>
    <row r="56" ht="28" customHeight="1">
      <c r="A56" s="41" t="inlineStr">
        <is>
          <t>Scenarios base-case revenue ($000)</t>
        </is>
      </c>
      <c r="B56" s="158" t="n">
        <v>11102600</v>
      </c>
      <c r="C56" s="138">
        <f>Scenarios!F25</f>
        <v/>
      </c>
      <c r="D56" s="138">
        <f>Scenarios!F26</f>
        <v/>
      </c>
      <c r="E56" s="138">
        <f>Scenarios!F27</f>
        <v/>
      </c>
      <c r="F56" s="138">
        <f>Scenarios!F28</f>
        <v/>
      </c>
      <c r="G56" s="138">
        <f>Scenarios!F29</f>
        <v/>
      </c>
      <c r="I56" s="9" t="inlineStr">
        <is>
          <t>Pulls the Scenarios base-case revenue path; that's still.</t>
        </is>
      </c>
      <c r="J56" s="167" t="inlineStr">
        <is>
          <t>Scenarios tab: base revenue</t>
        </is>
      </c>
    </row>
    <row r="57" ht="28" customHeight="1">
      <c r="A57" s="41" t="inlineStr">
        <is>
          <t>Variance (bottom-up - scenarios) ($000)</t>
        </is>
      </c>
      <c r="B57" s="75">
        <f>B55-B56</f>
        <v/>
      </c>
      <c r="C57" s="75">
        <f>C55-C56</f>
        <v/>
      </c>
      <c r="D57" s="75">
        <f>D55-D56</f>
        <v/>
      </c>
      <c r="E57" s="75">
        <f>E55-E56</f>
        <v/>
      </c>
      <c r="F57" s="75">
        <f>F55-F56</f>
        <v/>
      </c>
      <c r="G57" s="75">
        <f>G55-G56</f>
        <v/>
      </c>
      <c r="I57" s="9" t="inlineStr">
        <is>
          <t>Driver-built revenue minus Scenarios revenue. Shows you how.</t>
        </is>
      </c>
      <c r="J57" s="168" t="inlineStr">
        <is>
          <t>Revenue Drivers: variance formula</t>
        </is>
      </c>
    </row>
    <row r="58" ht="28" customHeight="1">
      <c r="A58" s="41" t="inlineStr">
        <is>
          <t>Variance (%)</t>
        </is>
      </c>
      <c r="B58" s="32">
        <f>IF(B56=0,"",B57/B56)</f>
        <v/>
      </c>
      <c r="C58" s="32">
        <f>IF(C56=0,"",C57/C56)</f>
        <v/>
      </c>
      <c r="D58" s="32">
        <f>IF(D56=0,"",D57/D56)</f>
        <v/>
      </c>
      <c r="E58" s="32">
        <f>IF(E56=0,"",E57/E56)</f>
        <v/>
      </c>
      <c r="F58" s="32">
        <f>IF(F56=0,"",F57/F56)</f>
        <v/>
      </c>
      <c r="G58" s="32">
        <f>IF(G56=0,"",G57/G56)</f>
        <v/>
      </c>
      <c r="I58" s="9" t="inlineStr">
        <is>
          <t>Variance as a percent of Scenarios revenue. Easy.</t>
        </is>
      </c>
      <c r="J58" s="168" t="inlineStr">
        <is>
          <t>Revenue Drivers: variance % formula</t>
        </is>
      </c>
    </row>
    <row r="59">
      <c r="A59" s="26" t="n"/>
    </row>
  </sheetData>
  <hyperlinks>
    <hyperlink xmlns:r="http://schemas.openxmlformats.org/officeDocument/2006/relationships" ref="J7" r:id="rId1"/>
    <hyperlink xmlns:r="http://schemas.openxmlformats.org/officeDocument/2006/relationships" ref="J8" r:id="rId2"/>
    <hyperlink xmlns:r="http://schemas.openxmlformats.org/officeDocument/2006/relationships" ref="J11" r:id="rId3"/>
    <hyperlink xmlns:r="http://schemas.openxmlformats.org/officeDocument/2006/relationships" ref="J12" r:id="rId4"/>
    <hyperlink xmlns:r="http://schemas.openxmlformats.org/officeDocument/2006/relationships" ref="J15" r:id="rId5"/>
    <hyperlink xmlns:r="http://schemas.openxmlformats.org/officeDocument/2006/relationships" ref="J16" r:id="rId6"/>
    <hyperlink xmlns:r="http://schemas.openxmlformats.org/officeDocument/2006/relationships" ref="B18" r:id="rId7"/>
    <hyperlink xmlns:r="http://schemas.openxmlformats.org/officeDocument/2006/relationships" ref="J19" r:id="rId8"/>
    <hyperlink xmlns:r="http://schemas.openxmlformats.org/officeDocument/2006/relationships" ref="J24" r:id="rId9"/>
    <hyperlink xmlns:r="http://schemas.openxmlformats.org/officeDocument/2006/relationships" ref="J25" r:id="rId10"/>
    <hyperlink xmlns:r="http://schemas.openxmlformats.org/officeDocument/2006/relationships" ref="J26" r:id="rId11"/>
    <hyperlink xmlns:r="http://schemas.openxmlformats.org/officeDocument/2006/relationships" ref="J27" r:id="rId12"/>
    <hyperlink xmlns:r="http://schemas.openxmlformats.org/officeDocument/2006/relationships" ref="B28" r:id="rId13"/>
    <hyperlink xmlns:r="http://schemas.openxmlformats.org/officeDocument/2006/relationships" ref="B31" r:id="rId14"/>
    <hyperlink xmlns:r="http://schemas.openxmlformats.org/officeDocument/2006/relationships" ref="J32" r:id="rId15"/>
    <hyperlink xmlns:r="http://schemas.openxmlformats.org/officeDocument/2006/relationships" ref="J33" r:id="rId16"/>
    <hyperlink xmlns:r="http://schemas.openxmlformats.org/officeDocument/2006/relationships" ref="J34" r:id="rId17"/>
    <hyperlink xmlns:r="http://schemas.openxmlformats.org/officeDocument/2006/relationships" ref="J38" r:id="rId18"/>
    <hyperlink xmlns:r="http://schemas.openxmlformats.org/officeDocument/2006/relationships" ref="J39" r:id="rId19"/>
    <hyperlink xmlns:r="http://schemas.openxmlformats.org/officeDocument/2006/relationships" ref="J40" r:id="rId20"/>
    <hyperlink xmlns:r="http://schemas.openxmlformats.org/officeDocument/2006/relationships" ref="B41" r:id="rId21"/>
    <hyperlink xmlns:r="http://schemas.openxmlformats.org/officeDocument/2006/relationships" ref="B45" r:id="rId22"/>
    <hyperlink xmlns:r="http://schemas.openxmlformats.org/officeDocument/2006/relationships" ref="J45" r:id="rId23"/>
    <hyperlink xmlns:r="http://schemas.openxmlformats.org/officeDocument/2006/relationships" ref="B46" r:id="rId24"/>
    <hyperlink xmlns:r="http://schemas.openxmlformats.org/officeDocument/2006/relationships" ref="J46" r:id="rId25"/>
    <hyperlink xmlns:r="http://schemas.openxmlformats.org/officeDocument/2006/relationships" ref="B47" r:id="rId26"/>
    <hyperlink xmlns:r="http://schemas.openxmlformats.org/officeDocument/2006/relationships" ref="J47" r:id="rId27"/>
    <hyperlink xmlns:r="http://schemas.openxmlformats.org/officeDocument/2006/relationships" ref="B48" r:id="rId28"/>
    <hyperlink xmlns:r="http://schemas.openxmlformats.org/officeDocument/2006/relationships" ref="J48" r:id="rId29"/>
    <hyperlink xmlns:r="http://schemas.openxmlformats.org/officeDocument/2006/relationships" ref="J49" r:id="rId30"/>
    <hyperlink xmlns:r="http://schemas.openxmlformats.org/officeDocument/2006/relationships" ref="J50" r:id="rId31"/>
    <hyperlink xmlns:r="http://schemas.openxmlformats.org/officeDocument/2006/relationships" ref="J51" r:id="rId32"/>
    <hyperlink xmlns:r="http://schemas.openxmlformats.org/officeDocument/2006/relationships" ref="B55" r:id="rId33"/>
    <hyperlink xmlns:r="http://schemas.openxmlformats.org/officeDocument/2006/relationships" ref="B56" r:id="rId34"/>
    <hyperlink ref="J56" location="'Scenarios'!F2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applyStyles="1" summaryBelow="1" summaryRight="1" showOutlineSymbols="0"/>
    <pageSetUpPr/>
  </sheetPr>
  <dimension ref="A1:I52"/>
  <sheetViews>
    <sheetView showGridLines="0" showOutlineSymbols="0" workbookViewId="0">
      <pane xSplit="6" ySplit="2" topLeftCell="G3" activePane="bottomRight" state="frozen"/>
      <selection pane="topRight" activeCell="A1" sqref="A1"/>
      <selection pane="bottomLeft" activeCell="A1" sqref="A1"/>
      <selection pane="bottomRight" activeCell="B3" sqref="B3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width="22" customWidth="1" min="2" max="2"/>
    <col width="28" customWidth="1" min="3" max="3"/>
    <col width="28" customWidth="1" min="4" max="4"/>
    <col width="12" customWidth="1" min="5" max="5"/>
    <col width="14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2" t="inlineStr">
        <is>
          <t>NOPAT RECONCILIATION (BASE CASE)</t>
        </is>
      </c>
      <c r="D1" s="13" t="n"/>
      <c r="E1" s="13" t="n"/>
      <c r="F1" s="13" t="n"/>
      <c r="G1" s="13" t="n"/>
      <c r="H1" s="13" t="n"/>
      <c r="I1" s="13" t="n"/>
    </row>
    <row r="2">
      <c r="B2" t="inlineStr">
        <is>
          <t>Notes</t>
        </is>
      </c>
      <c r="C2" t="inlineStr">
        <is>
          <t>Source</t>
        </is>
      </c>
      <c r="D2" s="140" t="inlineStr">
        <is>
          <t>FY2025A</t>
        </is>
      </c>
      <c r="E2" s="133" t="inlineStr">
        <is>
          <t>FY2026E</t>
        </is>
      </c>
      <c r="F2" s="133" t="inlineStr">
        <is>
          <t>FY2027E</t>
        </is>
      </c>
      <c r="G2" s="133" t="inlineStr">
        <is>
          <t>FY2028E</t>
        </is>
      </c>
      <c r="H2" s="133" t="inlineStr">
        <is>
          <t>FY2029E</t>
        </is>
      </c>
      <c r="I2" s="133" t="inlineStr">
        <is>
          <t>FY2030E</t>
        </is>
      </c>
    </row>
    <row r="3">
      <c r="A3" s="52" t="inlineStr">
        <is>
          <t>Reported EBIT to Normalized NOPAT</t>
        </is>
      </c>
    </row>
    <row r="4">
      <c r="A4" s="26" t="n"/>
    </row>
    <row r="6">
      <c r="A6" s="52" t="inlineStr">
        <is>
          <t>Driver assumptions</t>
        </is>
      </c>
    </row>
    <row r="7" ht="15" customHeight="1">
      <c r="A7" s="16" t="inlineStr">
        <is>
          <t>SBC add-back flag (0 = expensed)</t>
        </is>
      </c>
      <c r="D7" s="137" t="n">
        <v>0</v>
      </c>
      <c r="E7" s="137" t="n">
        <v>0</v>
      </c>
      <c r="F7" s="137" t="n">
        <v>0</v>
      </c>
      <c r="G7" s="137" t="n">
        <v>0</v>
      </c>
      <c r="H7" s="137" t="n">
        <v>0</v>
      </c>
      <c r="I7" s="137" t="n">
        <v>0</v>
      </c>
    </row>
    <row r="8">
      <c r="A8" s="26" t="n"/>
    </row>
    <row r="9" ht="15" customHeight="1">
      <c r="A9" s="16" t="inlineStr">
        <is>
          <t>Store-channel EBIT margin %</t>
        </is>
      </c>
      <c r="B9" s="9" t="inlineStr">
        <is>
          <t>Not % of consolidated revenue; EBIT as %.</t>
        </is>
      </c>
      <c r="C9" s="167" t="inlineStr">
        <is>
          <t>FY2025 10-K: company-operated stores net revenue</t>
        </is>
      </c>
      <c r="D9" s="129" t="n">
        <v>0.186</v>
      </c>
      <c r="E9" s="129" t="n">
        <v>0.186</v>
      </c>
      <c r="F9" s="129" t="n">
        <v>0.186</v>
      </c>
      <c r="G9" s="129" t="n">
        <v>0.186</v>
      </c>
      <c r="H9" s="129" t="n">
        <v>0.186</v>
      </c>
      <c r="I9" s="129" t="n">
        <v>0.186</v>
      </c>
    </row>
    <row r="10" ht="15" customHeight="1">
      <c r="A10" s="16" t="inlineStr">
        <is>
          <t>E-commerce EBIT margin %</t>
        </is>
      </c>
      <c r="B10" s="9" t="inlineStr">
        <is>
          <t>Not % of consolidated revenue; EBIT as %.</t>
        </is>
      </c>
      <c r="C10" s="167" t="inlineStr">
        <is>
          <t>FY2025 10-K: e-commerce net revenue</t>
        </is>
      </c>
      <c r="D10" s="129" t="n">
        <v>0.236</v>
      </c>
      <c r="E10" s="129" t="n">
        <v>0.236</v>
      </c>
      <c r="F10" s="129" t="n">
        <v>0.236</v>
      </c>
      <c r="G10" s="129" t="n">
        <v>0.236</v>
      </c>
      <c r="H10" s="129" t="n">
        <v>0.236</v>
      </c>
      <c r="I10" s="129" t="n">
        <v>0.236</v>
      </c>
    </row>
    <row r="11" ht="15" customHeight="1">
      <c r="A11" s="16" t="inlineStr">
        <is>
          <t>Other-channels EBIT margin %</t>
        </is>
      </c>
      <c r="B11" s="9" t="inlineStr">
        <is>
          <t>Not % of consolidated revenue; EBIT as %.</t>
        </is>
      </c>
      <c r="C11" s="167" t="inlineStr">
        <is>
          <t>FY2025 10-K: other channels (residual)</t>
        </is>
      </c>
      <c r="D11" s="129" t="n">
        <v>0.091</v>
      </c>
      <c r="E11" s="129" t="n">
        <v>0.091</v>
      </c>
      <c r="F11" s="129" t="n">
        <v>0.091</v>
      </c>
      <c r="G11" s="129" t="n">
        <v>0.091</v>
      </c>
      <c r="H11" s="129" t="n">
        <v>0.091</v>
      </c>
      <c r="I11" s="129" t="n">
        <v>0.091</v>
      </c>
    </row>
    <row r="12" ht="28" customHeight="1">
      <c r="A12" s="16" t="inlineStr">
        <is>
          <t>Terminal marginal tax rate</t>
        </is>
      </c>
      <c r="B12" s="9" t="inlineStr">
        <is>
          <t>30% statutory marginal rate. t_operating transitions here over.</t>
        </is>
      </c>
      <c r="C12" s="167" t="inlineStr">
        <is>
          <t>Q2 FY2026 outlook: tax rate ≈ 30%</t>
        </is>
      </c>
      <c r="D12" s="129" t="n">
        <v>0.3</v>
      </c>
      <c r="E12" s="129" t="n">
        <v>0.3</v>
      </c>
      <c r="F12" s="129" t="n">
        <v>0.3</v>
      </c>
      <c r="G12" s="129" t="n">
        <v>0.3</v>
      </c>
      <c r="H12" s="129" t="n">
        <v>0.3</v>
      </c>
      <c r="I12" s="129" t="n">
        <v>0.3</v>
      </c>
    </row>
    <row r="13" ht="28" customHeight="1">
      <c r="A13" s="16" t="inlineStr">
        <is>
          <t>R&amp;D / software amortization period (years)</t>
        </is>
      </c>
      <c r="B13" s="9" t="inlineStr">
        <is>
          <t>Not % of revenue; amortization period (years) if.</t>
        </is>
      </c>
      <c r="C13" s="168" t="inlineStr">
        <is>
          <t>NOPAT Bridge: capitalization convention</t>
        </is>
      </c>
      <c r="D13" s="137" t="n">
        <v>4</v>
      </c>
      <c r="E13" s="137" t="n">
        <v>4</v>
      </c>
      <c r="F13" s="137" t="n">
        <v>4</v>
      </c>
      <c r="G13" s="137" t="n">
        <v>4</v>
      </c>
      <c r="H13" s="137" t="n">
        <v>4</v>
      </c>
      <c r="I13" s="137" t="n">
        <v>4</v>
      </c>
    </row>
    <row r="15">
      <c r="A15" s="73" t="inlineStr">
        <is>
          <t>EBIT adjustments</t>
        </is>
      </c>
    </row>
    <row r="16" ht="28" customHeight="1">
      <c r="A16" s="16" t="inlineStr">
        <is>
          <t>Reported operating income (EBIT)</t>
        </is>
      </c>
      <c r="B16" s="9" t="inlineStr">
        <is>
          <t>10-K EBIT / Scenarios forecast.</t>
        </is>
      </c>
      <c r="C16" s="167" t="inlineStr">
        <is>
          <t>LULU FY2025 10-K: Income from operations</t>
        </is>
      </c>
      <c r="D16" s="158" t="n">
        <v>2210615</v>
      </c>
      <c r="E16" s="138">
        <f>Scenarios!F45</f>
        <v/>
      </c>
      <c r="F16" s="138">
        <f>Scenarios!F46</f>
        <v/>
      </c>
      <c r="G16" s="138">
        <f>Scenarios!F47</f>
        <v/>
      </c>
      <c r="H16" s="138">
        <f>Scenarios!F48</f>
        <v/>
      </c>
      <c r="I16" s="138">
        <f>Scenarios!F49</f>
        <v/>
      </c>
    </row>
    <row r="17" ht="28" customHeight="1">
      <c r="A17" s="16" t="inlineStr">
        <is>
          <t>+ Impairment / intangible amortization (add-back)</t>
        </is>
      </c>
      <c r="B17" s="9" t="inlineStr">
        <is>
          <t>Run-rate intangible amort add-back.</t>
        </is>
      </c>
      <c r="C17" s="167" t="inlineStr">
        <is>
          <t>LULU FY2025 10-K: amortization of intangible assets</t>
        </is>
      </c>
      <c r="D17" s="158" t="n">
        <v>6961</v>
      </c>
      <c r="E17" s="22" t="n">
        <v>0</v>
      </c>
      <c r="F17" s="22" t="n">
        <v>0</v>
      </c>
      <c r="G17" s="22" t="n">
        <v>0</v>
      </c>
      <c r="H17" s="22" t="n">
        <v>0</v>
      </c>
      <c r="I17" s="22" t="n">
        <v>0</v>
      </c>
    </row>
    <row r="18" ht="28" customHeight="1">
      <c r="A18" s="16" t="inlineStr">
        <is>
          <t>+ Restructuring costs (add-back)</t>
        </is>
      </c>
      <c r="B18" s="9" t="inlineStr">
        <is>
          <t>Non-recurring restructuring add-back.</t>
        </is>
      </c>
      <c r="C18" s="167" t="inlineStr">
        <is>
          <t>LULU FY2025 10-K: restructuring charges</t>
        </is>
      </c>
      <c r="D18" s="22" t="n">
        <v>0</v>
      </c>
      <c r="E18" s="22" t="n">
        <v>0</v>
      </c>
      <c r="F18" s="22" t="n">
        <v>0</v>
      </c>
      <c r="G18" s="22" t="n">
        <v>0</v>
      </c>
      <c r="H18" s="22" t="n">
        <v>0</v>
      </c>
      <c r="I18" s="22" t="n">
        <v>0</v>
      </c>
    </row>
    <row r="19" ht="28" customHeight="1">
      <c r="A19" s="16" t="inlineStr">
        <is>
          <t>+ Legal / M&amp;A one-offs (add-back)</t>
        </is>
      </c>
      <c r="B19" s="9" t="inlineStr">
        <is>
          <t>One-off legal / M&amp;A strip.</t>
        </is>
      </c>
      <c r="C19" s="167" t="inlineStr">
        <is>
          <t>LULU FY2025 10-K: SG&amp;A one-offs</t>
        </is>
      </c>
      <c r="D19" s="22" t="n">
        <v>0</v>
      </c>
      <c r="E19" s="22" t="n">
        <v>0</v>
      </c>
      <c r="F19" s="22" t="n">
        <v>0</v>
      </c>
      <c r="G19" s="22" t="n">
        <v>0</v>
      </c>
      <c r="H19" s="22" t="n">
        <v>0</v>
      </c>
      <c r="I19" s="22" t="n">
        <v>0</v>
      </c>
    </row>
    <row r="20" ht="15" customHeight="1">
      <c r="A20" s="16" t="inlineStr">
        <is>
          <t>+ Stock-based compensation (add-back only if flag = 1)</t>
        </is>
      </c>
      <c r="B20" s="9" t="inlineStr">
        <is>
          <t>SBC add-back (if flag = 1).</t>
        </is>
      </c>
      <c r="C20" s="167" t="inlineStr">
        <is>
          <t>LULU CF statement (10-K): stock-based compensation</t>
        </is>
      </c>
      <c r="D20" s="75">
        <f>62203*$D$7</f>
        <v/>
      </c>
      <c r="E20" s="138">
        <f>Scenarios!F25/11102600*62203*$D$7</f>
        <v/>
      </c>
      <c r="F20" s="138">
        <f>Scenarios!F26/11102600*62203*$D$7</f>
        <v/>
      </c>
      <c r="G20" s="138">
        <f>Scenarios!F27/11102600*62203*$D$7</f>
        <v/>
      </c>
      <c r="H20" s="138">
        <f>Scenarios!F28/11102600*62203*$D$7</f>
        <v/>
      </c>
      <c r="I20" s="138">
        <f>Scenarios!F29/11102600*62203*$D$7</f>
        <v/>
      </c>
    </row>
    <row r="21" ht="28" customHeight="1">
      <c r="A21" s="23">
        <f> Adjusted EBIT (Phase 1)</f>
        <v/>
      </c>
      <c r="B21" s="9" t="inlineStr">
        <is>
          <t>Reported EBIT plus all listed non-recurring add-backs above.</t>
        </is>
      </c>
      <c r="C21" s="168" t="inlineStr">
        <is>
          <t>Sum of reported EBIT and add-backs above.</t>
        </is>
      </c>
      <c r="E21" s="130">
        <f>E16+E17+E18+E19+E20</f>
        <v/>
      </c>
      <c r="F21" s="130">
        <f>F16+F17+F18+F19+F20</f>
        <v/>
      </c>
      <c r="G21" s="130">
        <f>G16+G17+G18+G19+G20</f>
        <v/>
      </c>
      <c r="H21" s="130">
        <f>H16+H17+H18+H19+H20</f>
        <v/>
      </c>
      <c r="I21" s="130">
        <f>I16+I17+I18+I19+I20</f>
        <v/>
      </c>
    </row>
    <row r="22">
      <c r="A22" s="73" t="inlineStr">
        <is>
          <t>Lease &amp; capitalization</t>
        </is>
      </c>
    </row>
    <row r="23" ht="15" customHeight="1">
      <c r="A23" s="16" t="inlineStr">
        <is>
          <t>+ Implied lease interest expense (reclass from rent)</t>
        </is>
      </c>
      <c r="B23" s="9" t="inlineStr">
        <is>
          <t>Lease interest reclass (memo).</t>
        </is>
      </c>
      <c r="C23" s="167" t="inlineStr">
        <is>
          <t>LULU FY2025 10-K: interest on lease liabilities (supplemental)</t>
        </is>
      </c>
      <c r="D23" s="158" t="n">
        <v>1028</v>
      </c>
      <c r="E23" s="138">
        <f>1028*(Scenarios!F25/11102600)</f>
        <v/>
      </c>
      <c r="F23" s="138">
        <f>1028*(Scenarios!F26/11102600)</f>
        <v/>
      </c>
      <c r="G23" s="138">
        <f>1028*(Scenarios!F27/11102600)</f>
        <v/>
      </c>
      <c r="H23" s="138">
        <f>1028*(Scenarios!F28/11102600)</f>
        <v/>
      </c>
      <c r="I23" s="138">
        <f>1028*(Scenarios!F29/11102600)</f>
        <v/>
      </c>
    </row>
    <row r="24" ht="28" customHeight="1">
      <c r="A24" s="16" t="inlineStr">
        <is>
          <t>+ Capitalize R&amp;D / software (current-year expense)</t>
        </is>
      </c>
      <c r="B24" s="9" t="inlineStr">
        <is>
          <t>R&amp;D cap immaterial this yr.</t>
        </is>
      </c>
      <c r="C24" s="167" t="inlineStr">
        <is>
          <t>LULU FY2025 10-K: R&amp;D / software expense</t>
        </is>
      </c>
      <c r="D24" s="22" t="n">
        <v>0</v>
      </c>
      <c r="E24" s="22" t="n">
        <v>0</v>
      </c>
      <c r="F24" s="22" t="n">
        <v>0</v>
      </c>
      <c r="G24" s="22" t="n">
        <v>0</v>
      </c>
      <c r="H24" s="22" t="n">
        <v>0</v>
      </c>
      <c r="I24" s="22" t="n">
        <v>0</v>
      </c>
    </row>
    <row r="25" ht="28" customHeight="1">
      <c r="A25" s="16" t="inlineStr">
        <is>
          <t>Amortization of prior capitalized intangibles</t>
        </is>
      </c>
      <c r="B25" s="9" t="inlineStr">
        <is>
          <t>Amortization of prior capitalized intangibles. LULU: flows through.</t>
        </is>
      </c>
      <c r="C25" s="167" t="inlineStr">
        <is>
          <t>LULU FY2025 10-K: intangible amortization</t>
        </is>
      </c>
      <c r="D25" s="158" t="n">
        <v>6961</v>
      </c>
      <c r="E25" s="22" t="n">
        <v>0</v>
      </c>
      <c r="F25" s="22" t="n">
        <v>0</v>
      </c>
      <c r="G25" s="22" t="n">
        <v>0</v>
      </c>
      <c r="H25" s="22" t="n">
        <v>0</v>
      </c>
      <c r="I25" s="22" t="n">
        <v>0</v>
      </c>
    </row>
    <row r="26" ht="28" customHeight="1">
      <c r="A26" s="23">
        <f> EBIT after lease &amp; capitalization (Phase 2)</f>
        <v/>
      </c>
      <c r="B26" s="9" t="inlineStr">
        <is>
          <t>Reported EBIT plus lease interest and R&amp;D adjustments.</t>
        </is>
      </c>
      <c r="C26" s="168" t="inlineStr">
        <is>
          <t>Sum after lease and R&amp;D adjustments above.</t>
        </is>
      </c>
      <c r="E26" s="130">
        <f>E21+E23+E24-E25</f>
        <v/>
      </c>
      <c r="F26" s="130">
        <f>F21+F23+F24-F25</f>
        <v/>
      </c>
      <c r="G26" s="130">
        <f>G21+G23+G24-G25</f>
        <v/>
      </c>
      <c r="H26" s="130">
        <f>H21+H23+H24-H25</f>
        <v/>
      </c>
      <c r="I26" s="130">
        <f>I21+I23+I24-I25</f>
        <v/>
      </c>
    </row>
    <row r="27">
      <c r="A27" s="73" t="inlineStr">
        <is>
          <t>Segment EBIT bridge</t>
        </is>
      </c>
    </row>
    <row r="28" ht="28" customHeight="1">
      <c r="A28" s="16" t="inlineStr">
        <is>
          <t>Store-channel revenue</t>
        </is>
      </c>
      <c r="B28" s="9" t="inlineStr">
        <is>
          <t>Store rev from Revenue Drivers.</t>
        </is>
      </c>
      <c r="C28" s="167" t="inlineStr">
        <is>
          <t>Revenue Drivers tab: store-channel revenue</t>
        </is>
      </c>
      <c r="D28" s="158" t="n">
        <v>5049744</v>
      </c>
      <c r="E28" s="138">
        <f>'Revenue Drivers'!F31</f>
        <v/>
      </c>
      <c r="F28" s="138">
        <f>'Revenue Drivers'!G31</f>
        <v/>
      </c>
      <c r="G28" s="138">
        <f>'Revenue Drivers'!H31</f>
        <v/>
      </c>
      <c r="H28" s="138">
        <f>'Revenue Drivers'!I31</f>
        <v/>
      </c>
      <c r="I28" s="138">
        <f>'Revenue Drivers'!J31</f>
        <v/>
      </c>
    </row>
    <row r="29" ht="28" customHeight="1">
      <c r="A29" s="16" t="inlineStr">
        <is>
          <t>E-commerce revenue</t>
        </is>
      </c>
      <c r="B29" s="9" t="inlineStr">
        <is>
          <t>E-comm rev from Revenue Drivers.</t>
        </is>
      </c>
      <c r="C29" s="167" t="inlineStr">
        <is>
          <t>Revenue Drivers tab: e-commerce revenue</t>
        </is>
      </c>
      <c r="D29" s="158" t="n">
        <v>4918697</v>
      </c>
      <c r="E29" s="138">
        <f>'Revenue Drivers'!F41</f>
        <v/>
      </c>
      <c r="F29" s="138">
        <f>'Revenue Drivers'!G41</f>
        <v/>
      </c>
      <c r="G29" s="138">
        <f>'Revenue Drivers'!H41</f>
        <v/>
      </c>
      <c r="H29" s="138">
        <f>'Revenue Drivers'!I41</f>
        <v/>
      </c>
      <c r="I29" s="138">
        <f>'Revenue Drivers'!J41</f>
        <v/>
      </c>
    </row>
    <row r="30" ht="28" customHeight="1">
      <c r="A30" s="16" t="inlineStr">
        <is>
          <t>Other channels revenue</t>
        </is>
      </c>
      <c r="B30" s="9" t="inlineStr">
        <is>
          <t>Other rev from Revenue Drivers.</t>
        </is>
      </c>
      <c r="C30" s="167" t="inlineStr">
        <is>
          <t>Revenue Drivers tab: other channels revenue</t>
        </is>
      </c>
      <c r="D30" s="158" t="n">
        <v>1134159</v>
      </c>
      <c r="E30" s="138">
        <f>'Revenue Drivers'!F45</f>
        <v/>
      </c>
      <c r="F30" s="138">
        <f>'Revenue Drivers'!G45</f>
        <v/>
      </c>
      <c r="G30" s="138">
        <f>'Revenue Drivers'!H45</f>
        <v/>
      </c>
      <c r="H30" s="138">
        <f>'Revenue Drivers'!I45</f>
        <v/>
      </c>
      <c r="I30" s="138">
        <f>'Revenue Drivers'!J45</f>
        <v/>
      </c>
    </row>
    <row r="31" ht="15" customHeight="1">
      <c r="A31" s="16" t="inlineStr">
        <is>
          <t>Store-channel EBIT (= Rev x store margin)</t>
        </is>
      </c>
      <c r="B31" s="9" t="inlineStr">
        <is>
          <t>Not % of consolidated revenue; store EBIT ÷.</t>
        </is>
      </c>
      <c r="C31" s="167" t="inlineStr">
        <is>
          <t>FY2025 10-K: company-operated stores net revenue</t>
        </is>
      </c>
      <c r="D31" s="22" t="n">
        <v>939252.384</v>
      </c>
      <c r="E31" s="75">
        <f>E28*D$9</f>
        <v/>
      </c>
      <c r="F31" s="75">
        <f>F28*D$9</f>
        <v/>
      </c>
      <c r="G31" s="75">
        <f>G28*D$9</f>
        <v/>
      </c>
      <c r="H31" s="75">
        <f>H28*D$9</f>
        <v/>
      </c>
      <c r="I31" s="75">
        <f>I28*D$9</f>
        <v/>
      </c>
    </row>
    <row r="32" ht="15" customHeight="1">
      <c r="A32" s="16" t="inlineStr">
        <is>
          <t>E-commerce EBIT (= Rev x e-comm margin)</t>
        </is>
      </c>
      <c r="B32" s="9" t="inlineStr">
        <is>
          <t>Not % of consolidated revenue; e-commerce EBIT ÷.</t>
        </is>
      </c>
      <c r="C32" s="167" t="inlineStr">
        <is>
          <t>FY2025 10-K: e-commerce net revenue</t>
        </is>
      </c>
      <c r="D32" s="22" t="n">
        <v>1160812.492</v>
      </c>
      <c r="E32" s="75">
        <f>E29*D$10</f>
        <v/>
      </c>
      <c r="F32" s="75">
        <f>F29*D$10</f>
        <v/>
      </c>
      <c r="G32" s="75">
        <f>G29*D$10</f>
        <v/>
      </c>
      <c r="H32" s="75">
        <f>H29*D$10</f>
        <v/>
      </c>
      <c r="I32" s="75">
        <f>I29*D$10</f>
        <v/>
      </c>
    </row>
    <row r="33" ht="15" customHeight="1">
      <c r="A33" s="16" t="inlineStr">
        <is>
          <t>Other-channels EBIT (= Rev x other margin)</t>
        </is>
      </c>
      <c r="B33" s="9" t="inlineStr">
        <is>
          <t>Not % of consolidated revenue; other-channel EBIT ÷.</t>
        </is>
      </c>
      <c r="C33" s="167" t="inlineStr">
        <is>
          <t>FY2025 10-K: other channels (residual)</t>
        </is>
      </c>
      <c r="D33" s="22" t="n">
        <v>103208.469</v>
      </c>
      <c r="E33" s="75">
        <f>E30*D$11</f>
        <v/>
      </c>
      <c r="F33" s="75">
        <f>F30*D$11</f>
        <v/>
      </c>
      <c r="G33" s="75">
        <f>G30*D$11</f>
        <v/>
      </c>
      <c r="H33" s="75">
        <f>H30*D$11</f>
        <v/>
      </c>
      <c r="I33" s="75">
        <f>I30*D$11</f>
        <v/>
      </c>
    </row>
    <row r="34" ht="28" customHeight="1">
      <c r="A34" s="23" t="inlineStr">
        <is>
          <t>Channel EBIT (sum of sector EBIT)</t>
        </is>
      </c>
      <c r="B34" s="9" t="inlineStr">
        <is>
          <t>Sum of store, e-comm, and other channel EBIT lines.</t>
        </is>
      </c>
      <c r="C34" s="168" t="inlineStr">
        <is>
          <t>Sum of channel EBIT lines above.</t>
        </is>
      </c>
      <c r="E34" s="138">
        <f>E31+E32+E33+Scenarios!F7</f>
        <v/>
      </c>
      <c r="F34" s="75">
        <f>F31+F32+F33</f>
        <v/>
      </c>
      <c r="G34" s="75">
        <f>G31+G32+G33</f>
        <v/>
      </c>
      <c r="H34" s="75">
        <f>H31+H32+H33</f>
        <v/>
      </c>
      <c r="I34" s="75">
        <f>I31+I32+I33</f>
        <v/>
      </c>
    </row>
    <row r="35" ht="28" customHeight="1">
      <c r="A35" s="23">
        <f> EBIT after channel mix (Phase 3)</f>
        <v/>
      </c>
      <c r="B35" s="9" t="inlineStr">
        <is>
          <t>Channel-mix EBIT output line before tax normalization step.</t>
        </is>
      </c>
      <c r="C35" s="168" t="inlineStr">
        <is>
          <t>Sum of channel EBIT lines above.</t>
        </is>
      </c>
      <c r="D35" s="160" t="n">
        <v>2203273.345</v>
      </c>
      <c r="E35" s="130">
        <f>E34</f>
        <v/>
      </c>
      <c r="F35" s="130">
        <f>F34</f>
        <v/>
      </c>
      <c r="G35" s="130">
        <f>G34</f>
        <v/>
      </c>
      <c r="H35" s="130">
        <f>H34</f>
        <v/>
      </c>
      <c r="I35" s="130">
        <f>I34</f>
        <v/>
      </c>
    </row>
    <row r="36" ht="28" customHeight="1">
      <c r="A36" s="23">
        <f> Normalized EBIT (tax base for NOPAT)</f>
        <v/>
      </c>
      <c r="B36" s="9" t="inlineStr">
        <is>
          <t>FY25 walk-through Phases 1–2.</t>
        </is>
      </c>
      <c r="C36" s="168" t="inlineStr">
        <is>
          <t>Scenarios tab: base-case EBIT (forecast)</t>
        </is>
      </c>
      <c r="D36" s="130">
        <f>D21+D23+D24-D25</f>
        <v/>
      </c>
      <c r="E36" s="143">
        <f>Scenarios!F45</f>
        <v/>
      </c>
      <c r="F36" s="143">
        <f>Scenarios!F46</f>
        <v/>
      </c>
      <c r="G36" s="143">
        <f>Scenarios!F47</f>
        <v/>
      </c>
      <c r="H36" s="143">
        <f>Scenarios!F48</f>
        <v/>
      </c>
      <c r="I36" s="143">
        <f>Scenarios!F49</f>
        <v/>
      </c>
    </row>
    <row r="37">
      <c r="A37" s="16" t="inlineStr">
        <is>
          <t>EBIT variance vs Scenarios ($000)</t>
        </is>
      </c>
      <c r="E37" s="138">
        <f>E36-Scenarios!F45</f>
        <v/>
      </c>
      <c r="F37" s="138">
        <f>F36-Scenarios!F46</f>
        <v/>
      </c>
      <c r="G37" s="138">
        <f>G36-Scenarios!F47</f>
        <v/>
      </c>
      <c r="H37" s="138">
        <f>H36-Scenarios!F48</f>
        <v/>
      </c>
      <c r="I37" s="138">
        <f>I36-Scenarios!F49</f>
        <v/>
      </c>
    </row>
    <row r="38">
      <c r="A38" s="73" t="inlineStr">
        <is>
          <t>Tax normalization</t>
        </is>
      </c>
    </row>
    <row r="39" ht="15" customHeight="1">
      <c r="A39" s="16" t="inlineStr">
        <is>
          <t>Operating effective tax rate (t_operating)</t>
        </is>
      </c>
      <c r="B39" s="9" t="inlineStr">
        <is>
          <t>Operating ETR with interest shield.</t>
        </is>
      </c>
      <c r="C39" s="167" t="inlineStr">
        <is>
          <t>LULU FY2025 10-K: income tax &amp; interest expense</t>
        </is>
      </c>
      <c r="D39" s="129" t="n">
        <v>0.2946847649213503</v>
      </c>
      <c r="E39" s="32">
        <f>0.29468476492135026+(E$12-0.29468476492135026)*1/5</f>
        <v/>
      </c>
      <c r="F39" s="32">
        <f>0.29468476492135026+(F$12-0.29468476492135026)*2/5</f>
        <v/>
      </c>
      <c r="G39" s="32">
        <f>0.29468476492135026+(G$12-0.29468476492135026)*3/5</f>
        <v/>
      </c>
      <c r="H39" s="32">
        <f>0.29468476492135026+(H$12-0.29468476492135026)*4/5</f>
        <v/>
      </c>
      <c r="I39" s="32">
        <f>0.29468476492135026+(I$12-0.29468476492135026)*5/5</f>
        <v/>
      </c>
    </row>
    <row r="40" ht="28" customHeight="1">
      <c r="A40" s="16" t="inlineStr">
        <is>
          <t>Unlevered tax on normalized EBIT</t>
        </is>
      </c>
      <c r="B40" s="9" t="inlineStr">
        <is>
          <t>Normalized EBIT × t_operating.</t>
        </is>
      </c>
      <c r="C40" s="168" t="inlineStr">
        <is>
          <t>NOPAT Bridge tab: unlevered tax expense</t>
        </is>
      </c>
      <c r="E40" s="75">
        <f>E36*E39</f>
        <v/>
      </c>
      <c r="F40" s="75">
        <f>F36*F39</f>
        <v/>
      </c>
      <c r="G40" s="75">
        <f>G36*G39</f>
        <v/>
      </c>
      <c r="H40" s="75">
        <f>H36*H39</f>
        <v/>
      </c>
      <c r="I40" s="75">
        <f>I36*I39</f>
        <v/>
      </c>
    </row>
    <row r="41" ht="28" customHeight="1">
      <c r="A41" s="23" t="inlineStr">
        <is>
          <t>NORMALIZED NOPAT</t>
        </is>
      </c>
      <c r="B41" s="9" t="inlineStr">
        <is>
          <t>EBIT_norm × (1 − t_operating).</t>
        </is>
      </c>
      <c r="C41" s="168" t="inlineStr">
        <is>
          <t>NOPAT Bridge tab: normalized NOPAT</t>
        </is>
      </c>
      <c r="E41" s="130">
        <f>E36-E40</f>
        <v/>
      </c>
      <c r="F41" s="130">
        <f>F36-F40</f>
        <v/>
      </c>
      <c r="G41" s="130">
        <f>G36-G40</f>
        <v/>
      </c>
      <c r="H41" s="130">
        <f>H36-H40</f>
        <v/>
      </c>
      <c r="I41" s="130">
        <f>I36-I40</f>
        <v/>
      </c>
    </row>
    <row r="43">
      <c r="A43" s="73" t="inlineStr">
        <is>
          <t>Reconciliation (execution steps)</t>
        </is>
      </c>
    </row>
    <row r="44">
      <c r="E44" s="144" t="inlineStr">
        <is>
          <t>Output</t>
        </is>
      </c>
    </row>
    <row r="45">
      <c r="A45" s="61" t="inlineStr">
        <is>
          <t>1. Clean base</t>
        </is>
      </c>
      <c r="B45" s="9" t="inlineStr">
        <is>
          <t>SEC 10-K income statement</t>
        </is>
      </c>
      <c r="C45" s="126" t="inlineStr">
        <is>
          <t>EBIT = 13.2% × rev + tariff; SBC stays expensed (flag = 0).</t>
        </is>
      </c>
      <c r="E45" s="144" t="inlineStr">
        <is>
          <t>Adjusted EBIT</t>
        </is>
      </c>
    </row>
    <row r="46">
      <c r="A46" s="61" t="inlineStr">
        <is>
          <t>2. Capitalize R&amp;D</t>
        </is>
      </c>
      <c r="B46" s="9" t="inlineStr">
        <is>
          <t>SG&amp;A footnotes</t>
        </is>
      </c>
      <c r="C46" s="126" t="inlineStr">
        <is>
          <t>R&amp;D/software expensed in full each year ($0 for LULU).</t>
        </is>
      </c>
      <c r="E46" s="144" t="inlineStr">
        <is>
          <t>EBIT_capitalized</t>
        </is>
      </c>
    </row>
    <row r="47">
      <c r="A47" s="61" t="inlineStr">
        <is>
          <t>3. Lease shift</t>
        </is>
      </c>
      <c r="B47" s="9" t="inlineStr">
        <is>
          <t>ASC 842 lease footnote</t>
        </is>
      </c>
      <c r="C47" s="126" t="inlineStr">
        <is>
          <t>Rent in opex; no implied lease-interest add-back.</t>
        </is>
      </c>
      <c r="E47" s="144" t="inlineStr">
        <is>
          <t>EBIT_lease-adj</t>
        </is>
      </c>
    </row>
    <row r="48">
      <c r="A48" s="61" t="inlineStr">
        <is>
          <t>4. Segment mix</t>
        </is>
      </c>
      <c r="B48" s="9" t="inlineStr">
        <is>
          <t>Revenue Drivers tab</t>
        </is>
      </c>
      <c r="C48" s="126" t="inlineStr">
        <is>
          <t>DCF uses consolidated 13.2% on total revenue (+ tariff).</t>
        </is>
      </c>
      <c r="E48" s="144" t="inlineStr">
        <is>
          <t>Forecast EBIT</t>
        </is>
      </c>
    </row>
    <row r="49">
      <c r="A49" s="61" t="inlineStr">
        <is>
          <t>5. NOPAT bridge</t>
        </is>
      </c>
      <c r="B49" s="9" t="inlineStr">
        <is>
          <t>Normalized EBIT &amp; t_operating</t>
        </is>
      </c>
      <c r="C49" s="126" t="inlineStr">
        <is>
          <t>NOPAT = EBIT × (1 − 30%) flat sc_tax.</t>
        </is>
      </c>
      <c r="E49" s="144" t="inlineStr">
        <is>
          <t>Normalized NOPAT</t>
        </is>
      </c>
    </row>
    <row r="50">
      <c r="A50" s="61" t="inlineStr">
        <is>
          <t>6. Tariff refund (Scenarios)</t>
        </is>
      </c>
      <c r="B50" s="9" t="inlineStr">
        <is>
          <t>Q2 FY2026 earnings release</t>
        </is>
      </c>
      <c r="C50" s="126" t="inlineStr">
        <is>
          <t>EBIT = Rev × 13.2% only (no refund).</t>
        </is>
      </c>
      <c r="E50" s="144" t="inlineStr">
        <is>
          <t>Scenarios EBIT (FY26)</t>
        </is>
      </c>
    </row>
    <row r="51">
      <c r="A51" s="26" t="n"/>
    </row>
    <row r="52">
      <c r="A52" s="26" t="n"/>
    </row>
  </sheetData>
  <hyperlinks>
    <hyperlink xmlns:r="http://schemas.openxmlformats.org/officeDocument/2006/relationships" ref="C9" r:id="rId1"/>
    <hyperlink xmlns:r="http://schemas.openxmlformats.org/officeDocument/2006/relationships" ref="C10" r:id="rId2"/>
    <hyperlink xmlns:r="http://schemas.openxmlformats.org/officeDocument/2006/relationships" ref="C11" r:id="rId3"/>
    <hyperlink xmlns:r="http://schemas.openxmlformats.org/officeDocument/2006/relationships" ref="C12" r:id="rId4"/>
    <hyperlink xmlns:r="http://schemas.openxmlformats.org/officeDocument/2006/relationships" ref="C16" r:id="rId5"/>
    <hyperlink xmlns:r="http://schemas.openxmlformats.org/officeDocument/2006/relationships" ref="E16" r:id="rId6"/>
    <hyperlink xmlns:r="http://schemas.openxmlformats.org/officeDocument/2006/relationships" ref="C17" r:id="rId7"/>
    <hyperlink xmlns:r="http://schemas.openxmlformats.org/officeDocument/2006/relationships" ref="E17" r:id="rId8"/>
    <hyperlink xmlns:r="http://schemas.openxmlformats.org/officeDocument/2006/relationships" ref="C18" r:id="rId9"/>
    <hyperlink xmlns:r="http://schemas.openxmlformats.org/officeDocument/2006/relationships" ref="E18" r:id="rId10"/>
    <hyperlink xmlns:r="http://schemas.openxmlformats.org/officeDocument/2006/relationships" ref="C19" r:id="rId11"/>
    <hyperlink xmlns:r="http://schemas.openxmlformats.org/officeDocument/2006/relationships" ref="E19" r:id="rId12"/>
    <hyperlink xmlns:r="http://schemas.openxmlformats.org/officeDocument/2006/relationships" ref="C20" r:id="rId13"/>
    <hyperlink xmlns:r="http://schemas.openxmlformats.org/officeDocument/2006/relationships" ref="C23" r:id="rId14"/>
    <hyperlink xmlns:r="http://schemas.openxmlformats.org/officeDocument/2006/relationships" ref="E23" r:id="rId15"/>
    <hyperlink xmlns:r="http://schemas.openxmlformats.org/officeDocument/2006/relationships" ref="C24" r:id="rId16"/>
    <hyperlink xmlns:r="http://schemas.openxmlformats.org/officeDocument/2006/relationships" ref="E24" r:id="rId17"/>
    <hyperlink xmlns:r="http://schemas.openxmlformats.org/officeDocument/2006/relationships" ref="C25" r:id="rId18"/>
    <hyperlink xmlns:r="http://schemas.openxmlformats.org/officeDocument/2006/relationships" ref="E25" r:id="rId19"/>
    <hyperlink ref="C28" location="'Revenue Drivers'!B31"/>
    <hyperlink xmlns:r="http://schemas.openxmlformats.org/officeDocument/2006/relationships" ref="E28" r:id="rId20"/>
    <hyperlink ref="C29" location="'Revenue Drivers'!B41"/>
    <hyperlink xmlns:r="http://schemas.openxmlformats.org/officeDocument/2006/relationships" ref="E29" r:id="rId21"/>
    <hyperlink ref="C30" location="'Revenue Drivers'!B45"/>
    <hyperlink xmlns:r="http://schemas.openxmlformats.org/officeDocument/2006/relationships" ref="E30" r:id="rId22"/>
    <hyperlink xmlns:r="http://schemas.openxmlformats.org/officeDocument/2006/relationships" ref="C31" r:id="rId23"/>
    <hyperlink xmlns:r="http://schemas.openxmlformats.org/officeDocument/2006/relationships" ref="C32" r:id="rId24"/>
    <hyperlink xmlns:r="http://schemas.openxmlformats.org/officeDocument/2006/relationships" ref="C33" r:id="rId25"/>
    <hyperlink xmlns:r="http://schemas.openxmlformats.org/officeDocument/2006/relationships" ref="E35" r:id="rId26"/>
    <hyperlink xmlns:r="http://schemas.openxmlformats.org/officeDocument/2006/relationships" ref="C39" r:id="rId27"/>
    <hyperlink xmlns:r="http://schemas.openxmlformats.org/officeDocument/2006/relationships" ref="E39" r:id="rId2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applyStyles="1" summaryBelow="1" summaryRight="1" showOutlineSymbols="0"/>
    <pageSetUpPr/>
  </sheetPr>
  <dimension ref="A1:I103"/>
  <sheetViews>
    <sheetView showGridLines="0" showOutlineSymbols="0" workbookViewId="0">
      <pane xSplit="6" ySplit="2" topLeftCell="G3" activePane="bottomRight" state="frozen"/>
      <selection pane="topRight" activeCell="A1" sqref="A1"/>
      <selection pane="bottomLeft" activeCell="A1" sqref="A1"/>
      <selection pane="bottomRight" activeCell="B3" sqref="B3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width="26" customWidth="1" min="2" max="2"/>
    <col width="16" customWidth="1" min="3" max="3"/>
    <col width="36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8" customWidth="1" min="11" max="11"/>
    <col width="16" customWidth="1" min="12" max="12"/>
    <col width="36" customWidth="1" min="13" max="13"/>
  </cols>
  <sheetData>
    <row r="1" ht="16" customHeight="1">
      <c r="A1" s="12" t="inlineStr">
        <is>
          <t>DISCOUNTED CASH FLOW - BASE CASE (US$ thousands)</t>
        </is>
      </c>
      <c r="D1" s="13" t="n"/>
      <c r="E1" s="13" t="n"/>
      <c r="F1" s="13" t="n"/>
      <c r="G1" s="13" t="n"/>
      <c r="H1" s="13" t="n"/>
      <c r="I1" s="13" t="n"/>
    </row>
    <row r="2">
      <c r="B2" t="inlineStr">
        <is>
          <t>Notes</t>
        </is>
      </c>
      <c r="C2" t="inlineStr">
        <is>
          <t>Source</t>
        </is>
      </c>
      <c r="D2" s="140" t="inlineStr">
        <is>
          <t>FY2025A</t>
        </is>
      </c>
      <c r="E2" s="133" t="inlineStr">
        <is>
          <t>FY2026E</t>
        </is>
      </c>
      <c r="F2" s="133" t="inlineStr">
        <is>
          <t>FY2027E</t>
        </is>
      </c>
      <c r="G2" s="133" t="inlineStr">
        <is>
          <t>FY2028E</t>
        </is>
      </c>
      <c r="H2" s="133" t="inlineStr">
        <is>
          <t>FY2029E</t>
        </is>
      </c>
      <c r="I2" s="133" t="inlineStr">
        <is>
          <t>FY2030E</t>
        </is>
      </c>
    </row>
    <row r="3" ht="28" customHeight="1">
      <c r="A3" s="82" t="n"/>
      <c r="D3" s="83" t="n"/>
    </row>
    <row r="4" ht="15" customHeight="1">
      <c r="A4" s="38" t="n"/>
    </row>
    <row r="5">
      <c r="A5" s="16" t="inlineStr">
        <is>
          <t>Net revenue</t>
        </is>
      </c>
      <c r="D5" s="158" t="n">
        <v>11102600</v>
      </c>
      <c r="E5" s="138">
        <f>Scenarios!F25</f>
        <v/>
      </c>
      <c r="F5" s="138">
        <f>Scenarios!F26</f>
        <v/>
      </c>
      <c r="G5" s="138">
        <f>Scenarios!F27</f>
        <v/>
      </c>
      <c r="H5" s="138">
        <f>Scenarios!F28</f>
        <v/>
      </c>
      <c r="I5" s="138">
        <f>Scenarios!F29</f>
        <v/>
      </c>
    </row>
    <row r="6" ht="15" customHeight="1">
      <c r="A6" s="16" t="inlineStr">
        <is>
          <t>Revenue growth %</t>
        </is>
      </c>
      <c r="B6" t="inlineStr">
        <is>
          <t>Minus 6.1% FY26 revenue per company guidance midpoint.</t>
        </is>
      </c>
      <c r="C6" s="167" t="inlineStr">
        <is>
          <t>LULU Q2 FY2026 earnings release Also: StockAnalysis: LULU 3Y revenue forecast</t>
        </is>
      </c>
      <c r="E6" s="32">
        <f>E5/D5-1</f>
        <v/>
      </c>
      <c r="F6" s="32">
        <f>F5/E5-1</f>
        <v/>
      </c>
      <c r="G6" s="32">
        <f>G5/F5-1</f>
        <v/>
      </c>
      <c r="H6" s="32">
        <f>H5/G5-1</f>
        <v/>
      </c>
      <c r="I6" s="32">
        <f>I5/H5-1</f>
        <v/>
      </c>
    </row>
    <row r="7" ht="15" customHeight="1">
      <c r="A7" s="16" t="inlineStr">
        <is>
          <t>Gross margin %</t>
        </is>
      </c>
      <c r="B7" t="inlineStr">
        <is>
          <t>56.6% FY25 gross margin held flat in forecast.</t>
        </is>
      </c>
      <c r="C7" s="167" t="inlineStr">
        <is>
          <t>LULU FY2025 10-K: Gross profit &amp; COGS</t>
        </is>
      </c>
      <c r="D7" s="129" t="n">
        <v>0.566005440167168</v>
      </c>
      <c r="E7" s="136">
        <f>Scenarios!$F$14</f>
        <v/>
      </c>
      <c r="F7" s="136">
        <f>Scenarios!$F$14</f>
        <v/>
      </c>
      <c r="G7" s="136">
        <f>Scenarios!$F$14</f>
        <v/>
      </c>
      <c r="H7" s="136">
        <f>Scenarios!$F$14</f>
        <v/>
      </c>
      <c r="I7" s="136">
        <f>Scenarios!$F$14</f>
        <v/>
      </c>
    </row>
    <row r="8">
      <c r="A8" s="16" t="inlineStr">
        <is>
          <t>Cost of goods sold (COGS)</t>
        </is>
      </c>
      <c r="D8" s="158" t="n">
        <v>4818468</v>
      </c>
      <c r="E8" s="138">
        <f>Scenarios!F35</f>
        <v/>
      </c>
      <c r="F8" s="138">
        <f>Scenarios!F36</f>
        <v/>
      </c>
      <c r="G8" s="138">
        <f>Scenarios!F37</f>
        <v/>
      </c>
      <c r="H8" s="138">
        <f>Scenarios!F38</f>
        <v/>
      </c>
      <c r="I8" s="138">
        <f>Scenarios!F39</f>
        <v/>
      </c>
    </row>
    <row r="9" ht="15" customHeight="1">
      <c r="A9" s="16" t="inlineStr">
        <is>
          <t>Clean / run-rate EBIT margin %</t>
        </is>
      </c>
      <c r="B9" t="inlineStr">
        <is>
          <t>13.2% clean OM from Q2 run-rate ex tariff.</t>
        </is>
      </c>
      <c r="C9" s="167" t="inlineStr">
        <is>
          <t>Q2 FY2026 release: 18.8% OM minus 560bps tariffs Also: FY2025 10-K: Operating margin 19.9% (one hit)</t>
        </is>
      </c>
      <c r="E9" s="136">
        <f>Scenarios!F40</f>
        <v/>
      </c>
      <c r="F9" s="136">
        <f>Scenarios!F41</f>
        <v/>
      </c>
      <c r="G9" s="136">
        <f>Scenarios!F42</f>
        <v/>
      </c>
      <c r="H9" s="136">
        <f>Scenarios!F43</f>
        <v/>
      </c>
      <c r="I9" s="136">
        <f>Scenarios!F44</f>
        <v/>
      </c>
    </row>
    <row r="10" ht="28" customHeight="1">
      <c r="A10" s="16" t="inlineStr">
        <is>
          <t>Plus: FY26 IEEPA tariff refunds (one-time)</t>
        </is>
      </c>
      <c r="B10" t="inlineStr">
        <is>
          <t>Add back 134.5M tariff refund in FY26 only.</t>
        </is>
      </c>
      <c r="C10" s="167" t="inlineStr">
        <is>
          <t>Q2 FY2026 release: $134.5M IEEPA tariff refunds</t>
        </is>
      </c>
      <c r="D10" s="22" t="n">
        <v>0</v>
      </c>
      <c r="E10" s="138">
        <f>Scenarios!$F$7</f>
        <v/>
      </c>
      <c r="F10" s="22" t="n">
        <v>0</v>
      </c>
      <c r="G10" s="22" t="n">
        <v>0</v>
      </c>
      <c r="H10" s="22" t="n">
        <v>0</v>
      </c>
      <c r="I10" s="22" t="n">
        <v>0</v>
      </c>
    </row>
    <row r="11">
      <c r="A11" s="23" t="inlineStr">
        <is>
          <t>EBIT (incl. FY26 refund)</t>
        </is>
      </c>
      <c r="D11" s="160" t="n">
        <v>2210615</v>
      </c>
      <c r="E11" s="143">
        <f>Scenarios!F45</f>
        <v/>
      </c>
      <c r="F11" s="143">
        <f>Scenarios!F46</f>
        <v/>
      </c>
      <c r="G11" s="143">
        <f>Scenarios!F47</f>
        <v/>
      </c>
      <c r="H11" s="143">
        <f>Scenarios!F48</f>
        <v/>
      </c>
      <c r="I11" s="143">
        <f>Scenarios!F49</f>
        <v/>
      </c>
    </row>
    <row r="12">
      <c r="A12" s="16" t="inlineStr">
        <is>
          <t>Reported EBIT margin % (incl. FY26 refund)</t>
        </is>
      </c>
      <c r="D12" s="129" t="n">
        <v>0.1991078666258354</v>
      </c>
      <c r="E12" s="32">
        <f>E11/E5</f>
        <v/>
      </c>
      <c r="F12" s="32">
        <f>F11/F5</f>
        <v/>
      </c>
      <c r="G12" s="32">
        <f>G11/G5</f>
        <v/>
      </c>
      <c r="H12" s="32">
        <f>H11/H5</f>
        <v/>
      </c>
      <c r="I12" s="32">
        <f>I11/I5</f>
        <v/>
      </c>
    </row>
    <row r="13">
      <c r="A13" s="16" t="inlineStr">
        <is>
          <t>Less: unlevered tax (t_operating from NOPAT Bridge)</t>
        </is>
      </c>
      <c r="E13" s="138">
        <f>-'NOPAT Bridge'!E40</f>
        <v/>
      </c>
      <c r="F13" s="138">
        <f>-'NOPAT Bridge'!F40</f>
        <v/>
      </c>
      <c r="G13" s="138">
        <f>-'NOPAT Bridge'!G40</f>
        <v/>
      </c>
      <c r="H13" s="138">
        <f>-'NOPAT Bridge'!H40</f>
        <v/>
      </c>
      <c r="I13" s="138">
        <f>-'NOPAT Bridge'!I40</f>
        <v/>
      </c>
    </row>
    <row r="14">
      <c r="A14" s="23" t="inlineStr">
        <is>
          <t>NOPAT</t>
        </is>
      </c>
      <c r="E14" s="143">
        <f>Scenarios!F50</f>
        <v/>
      </c>
      <c r="F14" s="143">
        <f>Scenarios!F51</f>
        <v/>
      </c>
      <c r="G14" s="143">
        <f>Scenarios!F52</f>
        <v/>
      </c>
      <c r="H14" s="143">
        <f>Scenarios!F53</f>
        <v/>
      </c>
      <c r="I14" s="143">
        <f>Scenarios!F54</f>
        <v/>
      </c>
    </row>
    <row r="15" ht="28" customHeight="1">
      <c r="A15" s="16" t="inlineStr">
        <is>
          <t>D&amp;A % of revenue</t>
        </is>
      </c>
      <c r="B15" t="inlineStr">
        <is>
          <t>4.5% of sales from FY25 D&amp;A over revenue.</t>
        </is>
      </c>
      <c r="C15" s="167" t="inlineStr">
        <is>
          <t>LULU CF statement (10-K)</t>
        </is>
      </c>
      <c r="E15" s="136">
        <f>Scenarios!$F$12</f>
        <v/>
      </c>
      <c r="F15" s="136">
        <f>Scenarios!$F$12</f>
        <v/>
      </c>
      <c r="G15" s="136">
        <f>Scenarios!$F$12</f>
        <v/>
      </c>
      <c r="H15" s="136">
        <f>Scenarios!$F$12</f>
        <v/>
      </c>
      <c r="I15" s="136">
        <f>Scenarios!$F$12</f>
        <v/>
      </c>
    </row>
    <row r="16">
      <c r="A16" s="16" t="inlineStr">
        <is>
          <t>Plus: depreciation &amp; amortization</t>
        </is>
      </c>
      <c r="E16" s="138">
        <f>Scenarios!F55</f>
        <v/>
      </c>
      <c r="F16" s="138">
        <f>Scenarios!F56</f>
        <v/>
      </c>
      <c r="G16" s="138">
        <f>Scenarios!F57</f>
        <v/>
      </c>
      <c r="H16" s="138">
        <f>Scenarios!F58</f>
        <v/>
      </c>
      <c r="I16" s="138">
        <f>Scenarios!F59</f>
        <v/>
      </c>
    </row>
    <row r="17" ht="15" customHeight="1">
      <c r="A17" s="16" t="inlineStr">
        <is>
          <t>Capex % of revenue</t>
        </is>
      </c>
      <c r="B17" t="inlineStr">
        <is>
          <t>5.5% model rate; FY26 7% capex guide fades down.</t>
        </is>
      </c>
      <c r="C17" s="167" t="inlineStr">
        <is>
          <t>LULU 10-K: 2026 capex guide $725–745M Also: Q2 FY2026 outlook: $10.350B–$10.500B sales</t>
        </is>
      </c>
      <c r="E17" s="136">
        <f>Scenarios!$F$13</f>
        <v/>
      </c>
      <c r="F17" s="136">
        <f>Scenarios!$F$13</f>
        <v/>
      </c>
      <c r="G17" s="136">
        <f>Scenarios!$F$13</f>
        <v/>
      </c>
      <c r="H17" s="136">
        <f>Scenarios!$F$13</f>
        <v/>
      </c>
      <c r="I17" s="136">
        <f>Scenarios!$F$13</f>
        <v/>
      </c>
    </row>
    <row r="18">
      <c r="A18" s="16" t="inlineStr">
        <is>
          <t>Less: capital expenditures</t>
        </is>
      </c>
      <c r="E18" s="138">
        <f>-Scenarios!F60</f>
        <v/>
      </c>
      <c r="F18" s="138">
        <f>-Scenarios!F61</f>
        <v/>
      </c>
      <c r="G18" s="138">
        <f>-Scenarios!F62</f>
        <v/>
      </c>
      <c r="H18" s="138">
        <f>-Scenarios!F63</f>
        <v/>
      </c>
      <c r="I18" s="138">
        <f>-Scenarios!F64</f>
        <v/>
      </c>
    </row>
    <row r="19">
      <c r="A19" s="52" t="inlineStr">
        <is>
          <t>Working capital</t>
        </is>
      </c>
      <c r="B19" t="inlineStr">
        <is>
          <t>NWC schedule nets to 13.2% of FY25 sales.</t>
        </is>
      </c>
      <c r="C19" s="128" t="inlineStr">
        <is>
          <t>LULU FY2025 10-K: working-capital components</t>
        </is>
      </c>
    </row>
    <row r="20" ht="15" customHeight="1">
      <c r="A20" s="16" t="inlineStr">
        <is>
          <t>DSO (days) - flat vs FY25</t>
        </is>
      </c>
      <c r="B20" t="inlineStr">
        <is>
          <t>6.3 days DSO held flat vs FY25 actual.</t>
        </is>
      </c>
      <c r="C20" s="167" t="inlineStr">
        <is>
          <t>LULU FY2025 10-K: Accounts receivable, net</t>
        </is>
      </c>
      <c r="D20" s="159" t="n">
        <v>6.267883648875038</v>
      </c>
      <c r="E20" s="145">
        <f>Scenarios!F65</f>
        <v/>
      </c>
      <c r="F20" s="145">
        <f>Scenarios!F66</f>
        <v/>
      </c>
      <c r="G20" s="145">
        <f>Scenarios!F67</f>
        <v/>
      </c>
      <c r="H20" s="145">
        <f>Scenarios!F68</f>
        <v/>
      </c>
      <c r="I20" s="145">
        <f>Scenarios!F69</f>
        <v/>
      </c>
    </row>
    <row r="21" ht="15" customHeight="1">
      <c r="A21" s="16" t="inlineStr">
        <is>
          <t>Accounts receivable, net</t>
        </is>
      </c>
      <c r="B21" t="inlineStr">
        <is>
          <t>AR 1.7% of sales from FY25 balance sheet.</t>
        </is>
      </c>
      <c r="C21" s="167" t="inlineStr">
        <is>
          <t>LULU FY2025 10-K: Accounts receivable, net</t>
        </is>
      </c>
      <c r="D21" s="158" t="n">
        <v>190657</v>
      </c>
      <c r="E21" s="138">
        <f>Scenarios!F70</f>
        <v/>
      </c>
      <c r="F21" s="138">
        <f>Scenarios!F71</f>
        <v/>
      </c>
      <c r="G21" s="138">
        <f>Scenarios!F72</f>
        <v/>
      </c>
      <c r="H21" s="138">
        <f>Scenarios!F73</f>
        <v/>
      </c>
      <c r="I21" s="138">
        <f>Scenarios!F74</f>
        <v/>
      </c>
    </row>
    <row r="22" ht="15" customHeight="1">
      <c r="A22" s="16" t="inlineStr">
        <is>
          <t>DIO (days) - FY25 anchor, -1 day/yr</t>
        </is>
      </c>
      <c r="B22" t="inlineStr">
        <is>
          <t>128.8 day DIO anchor; minus 1 day per year.</t>
        </is>
      </c>
      <c r="C22" s="167" t="inlineStr">
        <is>
          <t>LULU FY2025 10-K: Inventories &amp; COGS Also: LULU FY2025 10-K: inventory &amp; markdown outlook</t>
        </is>
      </c>
      <c r="D22" s="159" t="n">
        <v>128.8324100108167</v>
      </c>
      <c r="E22" s="145">
        <f>Scenarios!F75</f>
        <v/>
      </c>
      <c r="F22" s="145">
        <f>Scenarios!F76</f>
        <v/>
      </c>
      <c r="G22" s="145">
        <f>Scenarios!F77</f>
        <v/>
      </c>
      <c r="H22" s="145">
        <f>Scenarios!F78</f>
        <v/>
      </c>
      <c r="I22" s="145">
        <f>Scenarios!F79</f>
        <v/>
      </c>
    </row>
    <row r="23" ht="15" customHeight="1">
      <c r="A23" s="16" t="inlineStr">
        <is>
          <t>Inventories</t>
        </is>
      </c>
      <c r="B23" t="inlineStr">
        <is>
          <t>Inventory dollar balance driven by DIO times COGS.</t>
        </is>
      </c>
      <c r="C23" s="167" t="inlineStr">
        <is>
          <t>LULU FY2025 10-K: Inventories</t>
        </is>
      </c>
      <c r="D23" s="158" t="n">
        <v>1700753</v>
      </c>
      <c r="E23" s="138">
        <f>Scenarios!F80</f>
        <v/>
      </c>
      <c r="F23" s="138">
        <f>Scenarios!F81</f>
        <v/>
      </c>
      <c r="G23" s="138">
        <f>Scenarios!F82</f>
        <v/>
      </c>
      <c r="H23" s="138">
        <f>Scenarios!F83</f>
        <v/>
      </c>
      <c r="I23" s="138">
        <f>Scenarios!F84</f>
        <v/>
      </c>
    </row>
    <row r="24" ht="15" customHeight="1">
      <c r="A24" s="16" t="inlineStr">
        <is>
          <t>DPO (days) - flat vs FY25</t>
        </is>
      </c>
      <c r="B24" t="inlineStr">
        <is>
          <t>25.1 days DPO held flat vs FY25 actual.</t>
        </is>
      </c>
      <c r="C24" s="167" t="inlineStr">
        <is>
          <t>LULU FY2025 10-K: Accounts payable &amp; COGS</t>
        </is>
      </c>
      <c r="D24" s="159" t="n">
        <v>25.10521290169407</v>
      </c>
      <c r="E24" s="145">
        <f>Scenarios!F85</f>
        <v/>
      </c>
      <c r="F24" s="145">
        <f>Scenarios!F86</f>
        <v/>
      </c>
      <c r="G24" s="145">
        <f>Scenarios!F87</f>
        <v/>
      </c>
      <c r="H24" s="145">
        <f>Scenarios!F88</f>
        <v/>
      </c>
      <c r="I24" s="145">
        <f>Scenarios!F89</f>
        <v/>
      </c>
    </row>
    <row r="25" ht="15" customHeight="1">
      <c r="A25" s="16" t="inlineStr">
        <is>
          <t>Accounts payable</t>
        </is>
      </c>
      <c r="B25" t="inlineStr">
        <is>
          <t>AP 3.0% of sales from FY25 payables balance.</t>
        </is>
      </c>
      <c r="C25" s="167" t="inlineStr">
        <is>
          <t>LULU FY2025 10-K: Accounts payable</t>
        </is>
      </c>
      <c r="D25" s="158" t="n">
        <v>331421</v>
      </c>
      <c r="E25" s="138">
        <f>Scenarios!F90</f>
        <v/>
      </c>
      <c r="F25" s="138">
        <f>Scenarios!F91</f>
        <v/>
      </c>
      <c r="G25" s="138">
        <f>Scenarios!F92</f>
        <v/>
      </c>
      <c r="H25" s="138">
        <f>Scenarios!F93</f>
        <v/>
      </c>
      <c r="I25" s="138">
        <f>Scenarios!F94</f>
        <v/>
      </c>
    </row>
    <row r="26" ht="15" customHeight="1">
      <c r="A26" s="16" t="inlineStr">
        <is>
          <t>Prepaid expenses (% of revenue)</t>
        </is>
      </c>
      <c r="B26" t="inlineStr">
        <is>
          <t>5.1% of revenue from FY25 other current assets.</t>
        </is>
      </c>
      <c r="C26" s="167" t="inlineStr">
        <is>
          <t>LULU FY2025 10-K: other current assets (residual)</t>
        </is>
      </c>
      <c r="D26" s="129" t="n">
        <v>0.05080692810692991</v>
      </c>
      <c r="E26" s="136">
        <f>Scenarios!$F$19</f>
        <v/>
      </c>
      <c r="F26" s="136">
        <f>Scenarios!$F$19</f>
        <v/>
      </c>
      <c r="G26" s="136">
        <f>Scenarios!$F$19</f>
        <v/>
      </c>
      <c r="H26" s="136">
        <f>Scenarios!$F$19</f>
        <v/>
      </c>
      <c r="I26" s="136">
        <f>Scenarios!$F$19</f>
        <v/>
      </c>
    </row>
    <row r="27" ht="15" customHeight="1">
      <c r="A27" s="16" t="inlineStr">
        <is>
          <t>Prepaid expenses (other current assets)</t>
        </is>
      </c>
      <c r="B27" t="inlineStr">
        <is>
          <t>5.1% of revenue from FY25 other current assets.</t>
        </is>
      </c>
      <c r="C27" s="167" t="inlineStr">
        <is>
          <t>LULU FY2025 10-K: other current assets (residual)</t>
        </is>
      </c>
      <c r="D27" s="158" t="n">
        <v>564089</v>
      </c>
      <c r="E27" s="138">
        <f>Scenarios!F95</f>
        <v/>
      </c>
      <c r="F27" s="138">
        <f>Scenarios!F96</f>
        <v/>
      </c>
      <c r="G27" s="138">
        <f>Scenarios!F97</f>
        <v/>
      </c>
      <c r="H27" s="138">
        <f>Scenarios!F98</f>
        <v/>
      </c>
      <c r="I27" s="138">
        <f>Scenarios!F99</f>
        <v/>
      </c>
    </row>
    <row r="28" ht="15" customHeight="1">
      <c r="A28" s="16" t="inlineStr">
        <is>
          <t>Accrued liabilities (% of revenue)</t>
        </is>
      </c>
      <c r="B28" t="inlineStr">
        <is>
          <t>6.0% of revenue from FY25 accrued liabilities balance.</t>
        </is>
      </c>
      <c r="C28" s="167" t="inlineStr">
        <is>
          <t>LULU FY2025 10-K: Accrued liabilities and other</t>
        </is>
      </c>
      <c r="D28" s="129" t="n">
        <v>0.05971412101669879</v>
      </c>
      <c r="E28" s="136">
        <f>Scenarios!$F$20</f>
        <v/>
      </c>
      <c r="F28" s="136">
        <f>Scenarios!$F$20</f>
        <v/>
      </c>
      <c r="G28" s="136">
        <f>Scenarios!$F$20</f>
        <v/>
      </c>
      <c r="H28" s="136">
        <f>Scenarios!$F$20</f>
        <v/>
      </c>
      <c r="I28" s="136">
        <f>Scenarios!$F$20</f>
        <v/>
      </c>
    </row>
    <row r="29" ht="15" customHeight="1">
      <c r="A29" s="16" t="inlineStr">
        <is>
          <t>Accrued liabilities and other</t>
        </is>
      </c>
      <c r="B29" t="inlineStr">
        <is>
          <t>6.0% of revenue from FY25 accrued liabilities balance.</t>
        </is>
      </c>
      <c r="C29" s="167" t="inlineStr">
        <is>
          <t>LULU FY2025 10-K: Accrued liabilities and other</t>
        </is>
      </c>
      <c r="D29" s="158" t="n">
        <v>662982</v>
      </c>
      <c r="E29" s="138">
        <f>Scenarios!F100</f>
        <v/>
      </c>
      <c r="F29" s="138">
        <f>Scenarios!F101</f>
        <v/>
      </c>
      <c r="G29" s="138">
        <f>Scenarios!F102</f>
        <v/>
      </c>
      <c r="H29" s="138">
        <f>Scenarios!F103</f>
        <v/>
      </c>
      <c r="I29" s="138">
        <f>Scenarios!F104</f>
        <v/>
      </c>
    </row>
    <row r="30" ht="15" customHeight="1">
      <c r="A30" s="16" t="inlineStr">
        <is>
          <t>Current operating assets (AR + inv + prepaids)</t>
        </is>
      </c>
      <c r="B30" t="inlineStr">
        <is>
          <t>Operating assets sum to 22.1% of FY25 sales.</t>
        </is>
      </c>
      <c r="C30" s="167" t="inlineStr">
        <is>
          <t>Scenarios tab: AR + inventory + prepaids</t>
        </is>
      </c>
      <c r="E30" s="138">
        <f>Scenarios!F105</f>
        <v/>
      </c>
      <c r="F30" s="138">
        <f>Scenarios!F106</f>
        <v/>
      </c>
      <c r="G30" s="138">
        <f>Scenarios!F107</f>
        <v/>
      </c>
      <c r="H30" s="138">
        <f>Scenarios!F108</f>
        <v/>
      </c>
      <c r="I30" s="138">
        <f>Scenarios!F109</f>
        <v/>
      </c>
    </row>
    <row r="31" ht="15" customHeight="1">
      <c r="A31" s="16" t="inlineStr">
        <is>
          <t>Current operating liabilities (AP + accruals)</t>
        </is>
      </c>
      <c r="B31" t="inlineStr">
        <is>
          <t>Operating liabilities sum to 9.0% of FY25 sales.</t>
        </is>
      </c>
      <c r="C31" s="167" t="inlineStr">
        <is>
          <t>Scenarios tab: AP + accrued liabilities</t>
        </is>
      </c>
      <c r="E31" s="138">
        <f>Scenarios!F110</f>
        <v/>
      </c>
      <c r="F31" s="138">
        <f>Scenarios!F111</f>
        <v/>
      </c>
      <c r="G31" s="138">
        <f>Scenarios!F112</f>
        <v/>
      </c>
      <c r="H31" s="138">
        <f>Scenarios!F113</f>
        <v/>
      </c>
      <c r="I31" s="138">
        <f>Scenarios!F114</f>
        <v/>
      </c>
    </row>
    <row r="32" ht="15" customHeight="1">
      <c r="A32" s="23" t="inlineStr">
        <is>
          <t>Net working capital</t>
        </is>
      </c>
      <c r="B32" t="inlineStr">
        <is>
          <t>Net working capital equals 13.2% of FY25 sales.</t>
        </is>
      </c>
      <c r="C32" s="167" t="inlineStr">
        <is>
          <t>LULU FY2025 10-K: working-capital components</t>
        </is>
      </c>
      <c r="D32" s="160" t="n">
        <v>1461096</v>
      </c>
      <c r="E32" s="143">
        <f>Scenarios!F115</f>
        <v/>
      </c>
      <c r="F32" s="143">
        <f>Scenarios!F116</f>
        <v/>
      </c>
      <c r="G32" s="143">
        <f>Scenarios!F117</f>
        <v/>
      </c>
      <c r="H32" s="143">
        <f>Scenarios!F118</f>
        <v/>
      </c>
      <c r="I32" s="143">
        <f>Scenarios!F119</f>
        <v/>
      </c>
    </row>
    <row r="33" ht="15" customHeight="1">
      <c r="A33" s="23" t="inlineStr">
        <is>
          <t>Delta NWC (prior yr - current yr)</t>
        </is>
      </c>
      <c r="B33" t="inlineStr">
        <is>
          <t>Year-over-year dollar change in net working capital schedule.</t>
        </is>
      </c>
      <c r="C33" s="167" t="inlineStr">
        <is>
          <t>Scenarios tab: NWC roll-forward (driver schedule)</t>
        </is>
      </c>
      <c r="E33" s="143">
        <f>Scenarios!F120</f>
        <v/>
      </c>
      <c r="F33" s="143">
        <f>Scenarios!F121</f>
        <v/>
      </c>
      <c r="G33" s="143">
        <f>Scenarios!F122</f>
        <v/>
      </c>
      <c r="H33" s="143">
        <f>Scenarios!F123</f>
        <v/>
      </c>
      <c r="I33" s="143">
        <f>Scenarios!F124</f>
        <v/>
      </c>
    </row>
    <row r="34">
      <c r="A34" s="26" t="n"/>
    </row>
    <row r="35">
      <c r="A35" s="23" t="inlineStr">
        <is>
          <t>Unlevered free cash flow</t>
        </is>
      </c>
      <c r="E35" s="146">
        <f>Scenarios!F125</f>
        <v/>
      </c>
      <c r="F35" s="146">
        <f>Scenarios!F126</f>
        <v/>
      </c>
      <c r="G35" s="146">
        <f>Scenarios!F127</f>
        <v/>
      </c>
      <c r="H35" s="146">
        <f>Scenarios!F128</f>
        <v/>
      </c>
      <c r="I35" s="146">
        <f>Scenarios!F129</f>
        <v/>
      </c>
    </row>
    <row r="36">
      <c r="A36" s="16" t="inlineStr">
        <is>
          <t>Discount period (years)</t>
        </is>
      </c>
      <c r="E36" s="137" t="n">
        <v>1</v>
      </c>
      <c r="F36" s="137" t="n">
        <v>2</v>
      </c>
      <c r="G36" s="137" t="n">
        <v>3</v>
      </c>
      <c r="H36" s="137" t="n">
        <v>4</v>
      </c>
      <c r="I36" s="137" t="n">
        <v>5</v>
      </c>
    </row>
    <row r="37">
      <c r="A37" s="16" t="inlineStr">
        <is>
          <t>Discount factor @ WACC</t>
        </is>
      </c>
      <c r="E37" s="147">
        <f>1/(1+Scenarios!$F$9)^E36</f>
        <v/>
      </c>
      <c r="F37" s="147">
        <f>1/(1+Scenarios!$F$9)^F36</f>
        <v/>
      </c>
      <c r="G37" s="147">
        <f>1/(1+Scenarios!$F$9)^G36</f>
        <v/>
      </c>
      <c r="H37" s="147">
        <f>1/(1+Scenarios!$F$9)^H36</f>
        <v/>
      </c>
      <c r="I37" s="147">
        <f>1/(1+Scenarios!$F$9)^I36</f>
        <v/>
      </c>
    </row>
    <row r="38">
      <c r="A38" s="23" t="inlineStr">
        <is>
          <t>PV of unlevered FCF</t>
        </is>
      </c>
      <c r="E38" s="130">
        <f>E35*E37</f>
        <v/>
      </c>
      <c r="F38" s="130">
        <f>F35*F37</f>
        <v/>
      </c>
      <c r="G38" s="130">
        <f>G35*G37</f>
        <v/>
      </c>
      <c r="H38" s="130">
        <f>H35*H37</f>
        <v/>
      </c>
      <c r="I38" s="130">
        <f>I35*I37</f>
        <v/>
      </c>
    </row>
    <row r="40">
      <c r="A40" s="15" t="inlineStr">
        <is>
          <t>Scenarios tie-out</t>
        </is>
      </c>
    </row>
    <row r="41">
      <c r="A41" s="93" t="inlineStr">
        <is>
          <t>VALUATION - GORDON GROWTH (PERPETUITY) METHOD</t>
        </is>
      </c>
    </row>
    <row r="42">
      <c r="A42" s="23" t="inlineStr">
        <is>
          <t>Sum of PV of explicit FCF (FY26-FY30)</t>
        </is>
      </c>
      <c r="D42" s="75">
        <f>SUM(E38:I38)</f>
        <v/>
      </c>
    </row>
    <row r="43" ht="28" customHeight="1">
      <c r="A43" s="16" t="inlineStr">
        <is>
          <t>Terminal growth rate (g)</t>
        </is>
      </c>
      <c r="B43" t="inlineStr">
        <is>
          <t>2.25% terminal g anchored to FRED GDPC1 macro series.</t>
        </is>
      </c>
      <c r="C43" s="167" t="inlineStr">
        <is>
          <t>FRED: Real GDP (GDPC1)</t>
        </is>
      </c>
      <c r="D43" s="136">
        <f>Scenarios!$F$10</f>
        <v/>
      </c>
    </row>
    <row r="44">
      <c r="A44" s="23" t="inlineStr">
        <is>
          <t>Terminal EBITDA (FY2030E EBIT + D&amp;A)</t>
        </is>
      </c>
      <c r="D44" s="130">
        <f>I11+I16</f>
        <v/>
      </c>
    </row>
    <row r="45">
      <c r="A45" s="16" t="inlineStr">
        <is>
          <t>Terminal value = FCF5x(1+g)/(WACC-g)</t>
        </is>
      </c>
      <c r="D45" s="138">
        <f>I35*(1+Scenarios!$F$10)/(Scenarios!$F$9-Scenarios!$F$10)</f>
        <v/>
      </c>
    </row>
    <row r="46">
      <c r="A46" s="16" t="inlineStr">
        <is>
          <t>Implied exit EV/EBITDA = Gordon TV / FY30 EBITDA</t>
        </is>
      </c>
      <c r="D46" s="94">
        <f>D45/D44</f>
        <v/>
      </c>
    </row>
    <row r="47">
      <c r="A47" s="16" t="inlineStr">
        <is>
          <t>(UFCF30 / EBITDA30) x (1+g) / (WACC-g)</t>
        </is>
      </c>
      <c r="D47" s="148">
        <f>I35/D44*(1+Scenarios!$F$10)/(Scenarios!$F$9-Scenarios!$F$10)</f>
        <v/>
      </c>
    </row>
    <row r="48">
      <c r="A48" s="23" t="inlineStr">
        <is>
          <t>PV of terminal value</t>
        </is>
      </c>
      <c r="D48" s="138">
        <f>D45/(1+Scenarios!$F$9)^I36</f>
        <v/>
      </c>
    </row>
    <row r="49">
      <c r="A49" s="23" t="inlineStr">
        <is>
          <t>Enterprise value</t>
        </is>
      </c>
      <c r="D49" s="130">
        <f>D42+D48</f>
        <v/>
      </c>
    </row>
    <row r="50" ht="28" customHeight="1">
      <c r="A50" s="16" t="inlineStr">
        <is>
          <t>Plus: cash &amp; equivalents (FY2025)</t>
        </is>
      </c>
      <c r="C50" s="167" t="inlineStr">
        <is>
          <t>10-K</t>
        </is>
      </c>
      <c r="D50" s="158" t="n">
        <v>1807202</v>
      </c>
    </row>
    <row r="51" ht="28" customHeight="1">
      <c r="A51" s="16" t="inlineStr">
        <is>
          <t>Less: total debt &amp; operating leases</t>
        </is>
      </c>
      <c r="B51" t="inlineStr">
        <is>
          <t>Subtract ASC 842 operating lease liabilities as debt.</t>
        </is>
      </c>
      <c r="C51" s="167" t="inlineStr">
        <is>
          <t>LULU FY2025 10-K: operating lease liabilities</t>
        </is>
      </c>
      <c r="D51" s="158" t="n">
        <v>-1798441</v>
      </c>
    </row>
    <row r="52">
      <c r="A52" s="26" t="n"/>
    </row>
    <row r="53">
      <c r="A53" s="26" t="inlineStr">
        <is>
          <t>Enterprise value bridge</t>
        </is>
      </c>
    </row>
    <row r="54">
      <c r="A54" s="23" t="inlineStr">
        <is>
          <t>Equity value</t>
        </is>
      </c>
      <c r="D54" s="130">
        <f>D49+D50+D51</f>
        <v/>
      </c>
    </row>
    <row r="55" ht="28" customHeight="1">
      <c r="A55" s="16" t="inlineStr">
        <is>
          <t>Shares outstanding (000)</t>
        </is>
      </c>
      <c r="C55" s="167" t="inlineStr">
        <is>
          <t>10-K</t>
        </is>
      </c>
      <c r="D55" s="158" t="n">
        <v>111380</v>
      </c>
    </row>
    <row r="56">
      <c r="A56" s="23" t="inlineStr">
        <is>
          <t>Implied value per share</t>
        </is>
      </c>
      <c r="D56" s="139">
        <f>D54/D55</f>
        <v/>
      </c>
    </row>
    <row r="57" ht="28" customHeight="1">
      <c r="A57" s="16" t="inlineStr">
        <is>
          <t>Current share price</t>
        </is>
      </c>
      <c r="C57" s="167" t="inlineStr">
        <is>
          <t>NASDAQ</t>
        </is>
      </c>
      <c r="D57" s="157" t="n">
        <v>100</v>
      </c>
    </row>
    <row r="58">
      <c r="A58" s="23" t="inlineStr">
        <is>
          <t>Implied upside / (downside)</t>
        </is>
      </c>
      <c r="D58" s="32">
        <f>D56/D57-1</f>
        <v/>
      </c>
    </row>
    <row r="59">
      <c r="A59" s="16" t="inlineStr">
        <is>
          <t>% of EV from terminal value</t>
        </is>
      </c>
      <c r="D59" s="32">
        <f>D48/D49</f>
        <v/>
      </c>
    </row>
    <row r="62">
      <c r="A62" s="93" t="inlineStr">
        <is>
          <t>SHARE REPURCHASE &amp; EPS ACCRETION SCHEDULE</t>
        </is>
      </c>
      <c r="D62" s="13" t="n"/>
    </row>
    <row r="63">
      <c r="A63" s="26" t="n"/>
    </row>
    <row r="65">
      <c r="A65" s="16" t="inlineStr">
        <is>
          <t>Annual repurchase budget ($000) - base case</t>
        </is>
      </c>
      <c r="D65" s="158" t="n">
        <v>500000</v>
      </c>
      <c r="E65" s="75">
        <f>$D$65</f>
        <v/>
      </c>
      <c r="F65" s="75">
        <f>$D$65</f>
        <v/>
      </c>
      <c r="G65" s="75">
        <f>$D$65</f>
        <v/>
      </c>
      <c r="H65" s="75">
        <f>$D$65</f>
        <v/>
      </c>
      <c r="I65" s="75">
        <f>$D$65</f>
        <v/>
      </c>
    </row>
    <row r="66">
      <c r="A66" s="16" t="inlineStr">
        <is>
          <t>Cost of equity - share-price growth rate</t>
        </is>
      </c>
      <c r="D66" s="129" t="n">
        <v>0.105</v>
      </c>
      <c r="E66" s="32">
        <f>$D$66</f>
        <v/>
      </c>
      <c r="F66" s="32">
        <f>$D$66</f>
        <v/>
      </c>
      <c r="G66" s="32">
        <f>$D$66</f>
        <v/>
      </c>
      <c r="H66" s="32">
        <f>$D$66</f>
        <v/>
      </c>
      <c r="I66" s="32">
        <f>$D$66</f>
        <v/>
      </c>
    </row>
    <row r="68">
      <c r="A68" s="16" t="inlineStr">
        <is>
          <t>Unlevered free cash flow (from DCF above)</t>
        </is>
      </c>
      <c r="E68" s="75">
        <f>E35</f>
        <v/>
      </c>
      <c r="F68" s="75">
        <f>F35</f>
        <v/>
      </c>
      <c r="G68" s="75">
        <f>G35</f>
        <v/>
      </c>
      <c r="H68" s="75">
        <f>H35</f>
        <v/>
      </c>
      <c r="I68" s="75">
        <f>I35</f>
        <v/>
      </c>
    </row>
    <row r="69">
      <c r="A69" s="16" t="inlineStr">
        <is>
          <t>Repurchase cash deployed (= fixed budget)</t>
        </is>
      </c>
      <c r="D69" s="22" t="n">
        <v>0</v>
      </c>
      <c r="E69" s="75">
        <f>E65</f>
        <v/>
      </c>
      <c r="F69" s="75">
        <f>F65</f>
        <v/>
      </c>
      <c r="G69" s="75">
        <f>G65</f>
        <v/>
      </c>
      <c r="H69" s="75">
        <f>H65</f>
        <v/>
      </c>
      <c r="I69" s="75">
        <f>I65</f>
        <v/>
      </c>
    </row>
    <row r="70">
      <c r="A70" s="16" t="inlineStr">
        <is>
          <t>Repurchase as % of UFCF (derived)</t>
        </is>
      </c>
      <c r="E70" s="32">
        <f>E69/E68</f>
        <v/>
      </c>
      <c r="F70" s="32">
        <f>F69/F68</f>
        <v/>
      </c>
      <c r="G70" s="32">
        <f>G69/G68</f>
        <v/>
      </c>
      <c r="H70" s="32">
        <f>H69/H68</f>
        <v/>
      </c>
      <c r="I70" s="32">
        <f>I69/I68</f>
        <v/>
      </c>
    </row>
    <row r="72">
      <c r="A72" s="16" t="inlineStr">
        <is>
          <t>Projected share price ($)</t>
        </is>
      </c>
      <c r="D72" s="157" t="n">
        <v>100</v>
      </c>
      <c r="E72" s="99">
        <f>D72*(1+$D$66)</f>
        <v/>
      </c>
      <c r="F72" s="99">
        <f>E72*(1+$D$66)</f>
        <v/>
      </c>
      <c r="G72" s="99">
        <f>F72*(1+$D$66)</f>
        <v/>
      </c>
      <c r="H72" s="99">
        <f>G72*(1+$D$66)</f>
        <v/>
      </c>
      <c r="I72" s="99">
        <f>H72*(1+$D$66)</f>
        <v/>
      </c>
    </row>
    <row r="73">
      <c r="A73" s="16" t="inlineStr">
        <is>
          <t>Shares retired (000)</t>
        </is>
      </c>
      <c r="D73" s="22" t="n">
        <v>0</v>
      </c>
      <c r="E73" s="75">
        <f>E69/E72</f>
        <v/>
      </c>
      <c r="F73" s="75">
        <f>F69/F72</f>
        <v/>
      </c>
      <c r="G73" s="75">
        <f>G69/G72</f>
        <v/>
      </c>
      <c r="H73" s="75">
        <f>H69/H72</f>
        <v/>
      </c>
      <c r="I73" s="75">
        <f>I69/I72</f>
        <v/>
      </c>
    </row>
    <row r="74">
      <c r="A74" s="16" t="inlineStr">
        <is>
          <t>Beginning shares (000)</t>
        </is>
      </c>
      <c r="D74" s="158" t="n">
        <v>111380</v>
      </c>
      <c r="E74" s="75">
        <f>$D$74</f>
        <v/>
      </c>
      <c r="F74" s="75">
        <f>E75</f>
        <v/>
      </c>
      <c r="G74" s="75">
        <f>F75</f>
        <v/>
      </c>
      <c r="H74" s="75">
        <f>G75</f>
        <v/>
      </c>
      <c r="I74" s="75">
        <f>H75</f>
        <v/>
      </c>
    </row>
    <row r="75">
      <c r="A75" s="23" t="inlineStr">
        <is>
          <t>Ending shares (000)</t>
        </is>
      </c>
      <c r="D75" s="160" t="n">
        <v>111380</v>
      </c>
      <c r="E75" s="130">
        <f>E74-E73</f>
        <v/>
      </c>
      <c r="F75" s="130">
        <f>F74-F73</f>
        <v/>
      </c>
      <c r="G75" s="130">
        <f>G74-G73</f>
        <v/>
      </c>
      <c r="H75" s="130">
        <f>H74-H73</f>
        <v/>
      </c>
      <c r="I75" s="130">
        <f>I74-I73</f>
        <v/>
      </c>
    </row>
    <row r="77">
      <c r="A77" s="16" t="inlineStr">
        <is>
          <t>Projected net income ($000)</t>
        </is>
      </c>
      <c r="D77" s="158" t="n">
        <v>1579183</v>
      </c>
      <c r="E77" s="138">
        <f>('NOPAT Bridge'!E36-'NOPAT Bridge'!E23)*(1-'NOPAT Bridge'!E$39)</f>
        <v/>
      </c>
      <c r="F77" s="138">
        <f>('NOPAT Bridge'!F36-'NOPAT Bridge'!F23)*(1-'NOPAT Bridge'!F$39)</f>
        <v/>
      </c>
      <c r="G77" s="138">
        <f>('NOPAT Bridge'!G36-'NOPAT Bridge'!G23)*(1-'NOPAT Bridge'!G$39)</f>
        <v/>
      </c>
      <c r="H77" s="138">
        <f>('NOPAT Bridge'!H36-'NOPAT Bridge'!H23)*(1-'NOPAT Bridge'!H$39)</f>
        <v/>
      </c>
      <c r="I77" s="138">
        <f>('NOPAT Bridge'!I36-'NOPAT Bridge'!I23)*(1-'NOPAT Bridge'!I$39)</f>
        <v/>
      </c>
    </row>
    <row r="78">
      <c r="A78" s="23" t="inlineStr">
        <is>
          <t>Accretive EPS ($/share) = Net income / ending shares</t>
        </is>
      </c>
      <c r="D78" s="161" t="n">
        <v>14.1783354282636</v>
      </c>
      <c r="E78" s="150">
        <f>E77/E75</f>
        <v/>
      </c>
      <c r="F78" s="150">
        <f>F77/F75</f>
        <v/>
      </c>
      <c r="G78" s="150">
        <f>G77/G75</f>
        <v/>
      </c>
      <c r="H78" s="150">
        <f>H77/H75</f>
        <v/>
      </c>
      <c r="I78" s="150">
        <f>I77/I75</f>
        <v/>
      </c>
    </row>
    <row r="80">
      <c r="A80" s="93" t="inlineStr">
        <is>
          <t>CROSS-CHECK - EXIT MULTIPLE METHOD</t>
        </is>
      </c>
    </row>
    <row r="81">
      <c r="A81" s="15" t="n"/>
    </row>
    <row r="82" ht="28" customHeight="1">
      <c r="A82" s="16" t="inlineStr">
        <is>
          <t>Selected exit EV/EBITDA (Gordon implied)</t>
        </is>
      </c>
      <c r="B82" t="inlineStr">
        <is>
          <t>Gordon terminal value divided by FY30 EBITDA multiple.</t>
        </is>
      </c>
      <c r="C82" s="167" t="inlineStr">
        <is>
          <t>DCF: Gordon implied exit (TV / FY30 EBITDA)</t>
        </is>
      </c>
      <c r="D82" s="94">
        <f>D46</f>
        <v/>
      </c>
    </row>
    <row r="83">
      <c r="A83" s="16" t="inlineStr">
        <is>
          <t>Terminal value = Terminal EBITDA x exit multiple</t>
        </is>
      </c>
      <c r="D83" s="75">
        <f>D44*D82</f>
        <v/>
      </c>
    </row>
    <row r="84">
      <c r="A84" s="16" t="inlineStr">
        <is>
          <t>PV of terminal value</t>
        </is>
      </c>
      <c r="D84" s="138">
        <f>D83/(1+Scenarios!$F$9)^I36</f>
        <v/>
      </c>
    </row>
    <row r="85">
      <c r="A85" s="23" t="inlineStr">
        <is>
          <t>Enterprise value (exit method)</t>
        </is>
      </c>
      <c r="D85" s="130">
        <f>D42+D84</f>
        <v/>
      </c>
    </row>
    <row r="86">
      <c r="A86" s="23" t="inlineStr">
        <is>
          <t>Implied value per share (exit method)</t>
        </is>
      </c>
      <c r="D86" s="99">
        <f>(D85+D50+D51)/D55</f>
        <v/>
      </c>
    </row>
    <row r="88">
      <c r="A88" s="93" t="inlineStr">
        <is>
          <t>TERMINAL VALUE RECONCILIATION (GORDON vs EXIT MULTIPLE)</t>
        </is>
      </c>
    </row>
    <row r="89">
      <c r="A89" s="103" t="inlineStr"/>
      <c r="B89" t="inlineStr">
        <is>
          <t>Gordon Growth</t>
        </is>
      </c>
      <c r="C89" t="inlineStr">
        <is>
          <t>Exit Multiple</t>
        </is>
      </c>
      <c r="D89" t="inlineStr">
        <is>
          <t>Variance</t>
        </is>
      </c>
    </row>
    <row r="90">
      <c r="A90" s="23" t="inlineStr">
        <is>
          <t>Terminal value ($)</t>
        </is>
      </c>
      <c r="B90">
        <f>D45</f>
        <v/>
      </c>
      <c r="C90" s="126">
        <f>D83</f>
        <v/>
      </c>
      <c r="D90">
        <f>B90-C90</f>
        <v/>
      </c>
    </row>
    <row r="91">
      <c r="A91" s="23" t="inlineStr">
        <is>
          <t>Exit EV/EBITDA (implied vs selected)</t>
        </is>
      </c>
      <c r="B91">
        <f>D46</f>
        <v/>
      </c>
      <c r="C91" s="126">
        <f>D82</f>
        <v/>
      </c>
      <c r="D91">
        <f>B91-C91</f>
        <v/>
      </c>
    </row>
    <row r="92">
      <c r="A92" s="16" t="inlineStr">
        <is>
          <t>Terminal value variance (%)</t>
        </is>
      </c>
      <c r="D92">
        <f>(B90-C90)/B90</f>
        <v/>
      </c>
    </row>
    <row r="93">
      <c r="A93" s="23" t="inlineStr">
        <is>
          <t>Implied share price</t>
        </is>
      </c>
      <c r="B93">
        <f>D56</f>
        <v/>
      </c>
      <c r="C93" s="126">
        <f>D86</f>
        <v/>
      </c>
      <c r="D93">
        <f>B93-C93</f>
        <v/>
      </c>
    </row>
    <row r="94">
      <c r="A94" s="68" t="n"/>
      <c r="B94">
        <f>IF(ABS(D91)&lt;=1.5,"PASS","REVIEW")</f>
        <v/>
      </c>
      <c r="C94">
        <f>TEXT(D91,"0.0")&amp;"x spread vs Gordon-implied exit"</f>
        <v/>
      </c>
      <c r="D94" t="inlineStr">
        <is>
          <t>Selected exit is the Gordon identity, so spread should be 0</t>
        </is>
      </c>
    </row>
    <row r="97">
      <c r="A97" s="93" t="inlineStr">
        <is>
          <t>SENSITIVITY - IMPLIED SHARE PRICE (WACC vs terminal growth)</t>
        </is>
      </c>
      <c r="D97" s="13" t="n"/>
      <c r="E97" s="13" t="n"/>
      <c r="F97" s="13" t="n"/>
      <c r="G97" s="13" t="n"/>
    </row>
    <row r="98" ht="28" customHeight="1">
      <c r="A98" s="108" t="inlineStr">
        <is>
          <t>WACC \ g</t>
        </is>
      </c>
      <c r="B98" t="inlineStr">
        <is>
          <t>Sensitivity grid; terminal g spans 1.5% to 3.0%.</t>
        </is>
      </c>
      <c r="C98" s="167" t="inlineStr">
        <is>
          <t>FRED: Real GDP (GDPC1)</t>
        </is>
      </c>
      <c r="E98" s="151" t="n">
        <v>0.015</v>
      </c>
      <c r="F98" s="151" t="n">
        <v>0.02</v>
      </c>
      <c r="G98" s="151" t="n">
        <v>0.0225</v>
      </c>
      <c r="H98" s="151" t="n">
        <v>0.025</v>
      </c>
      <c r="I98" s="151" t="n">
        <v>0.03</v>
      </c>
    </row>
    <row r="99" ht="28" customHeight="1">
      <c r="A99" s="109" t="n">
        <v>0.095</v>
      </c>
      <c r="C99" s="167" t="inlineStr">
        <is>
          <t>Damodaran: Historical Implied ERP</t>
        </is>
      </c>
      <c r="E99" s="121">
        <f>(NPV(0.095,E35:I35)+(I35*(1+0.015)/(0.095-0.015))/(1+0.095)^5+D50+D51)/D55</f>
        <v/>
      </c>
      <c r="F99" s="121">
        <f>(NPV(0.095,E35:I35)+(I35*(1+0.02)/(0.095-0.02))/(1+0.095)^5+D50+D51)/D55</f>
        <v/>
      </c>
      <c r="G99" s="121">
        <f>(NPV(0.095,E35:I35)+(I35*(1+0.0225)/(0.095-0.0225))/(1+0.095)^5+D50+D51)/D55</f>
        <v/>
      </c>
      <c r="H99" s="121">
        <f>(NPV(0.095,E35:I35)+(I35*(1+0.025)/(0.095-0.025))/(1+0.095)^5+D50+D51)/D55</f>
        <v/>
      </c>
      <c r="I99" s="121">
        <f>(NPV(0.095,E35:I35)+(I35*(1+0.03)/(0.095-0.03))/(1+0.095)^5+D50+D51)/D55</f>
        <v/>
      </c>
    </row>
    <row r="100" ht="28" customHeight="1">
      <c r="A100" s="109" t="n">
        <v>0.1</v>
      </c>
      <c r="E100" s="121">
        <f>(NPV(0.1,E35:I35)+(I35*(1+0.015)/(0.1-0.015))/(1+0.1)^5+D50+D51)/D55</f>
        <v/>
      </c>
      <c r="F100" s="121">
        <f>(NPV(0.1,E35:I35)+(I35*(1+0.02)/(0.1-0.02))/(1+0.1)^5+D50+D51)/D55</f>
        <v/>
      </c>
      <c r="G100" s="121">
        <f>(NPV(0.1,E35:I35)+(I35*(1+0.0225)/(0.1-0.0225))/(1+0.1)^5+D50+D51)/D55</f>
        <v/>
      </c>
      <c r="H100" s="121">
        <f>(NPV(0.1,E35:I35)+(I35*(1+0.025)/(0.1-0.025))/(1+0.1)^5+D50+D51)/D55</f>
        <v/>
      </c>
      <c r="I100" s="121">
        <f>(NPV(0.1,E35:I35)+(I35*(1+0.03)/(0.1-0.03))/(1+0.1)^5+D50+D51)/D55</f>
        <v/>
      </c>
    </row>
    <row r="101" ht="28" customHeight="1">
      <c r="A101" s="109" t="n">
        <v>0.105</v>
      </c>
      <c r="E101" s="121">
        <f>(NPV(0.105,E35:I35)+(I35*(1+0.015)/(0.105-0.015))/(1+0.105)^5+D50+D51)/D55</f>
        <v/>
      </c>
      <c r="F101" s="121">
        <f>(NPV(0.105,E35:I35)+(I35*(1+0.02)/(0.105-0.02))/(1+0.105)^5+D50+D51)/D55</f>
        <v/>
      </c>
      <c r="G101" s="121">
        <f>(NPV(0.105,E35:I35)+(I35*(1+0.0225)/(0.105-0.0225))/(1+0.105)^5+D50+D51)/D55</f>
        <v/>
      </c>
      <c r="H101" s="121">
        <f>(NPV(0.105,E35:I35)+(I35*(1+0.025)/(0.105-0.025))/(1+0.105)^5+D50+D51)/D55</f>
        <v/>
      </c>
      <c r="I101" s="121">
        <f>(NPV(0.105,E35:I35)+(I35*(1+0.03)/(0.105-0.03))/(1+0.105)^5+D50+D51)/D55</f>
        <v/>
      </c>
    </row>
    <row r="102" ht="28" customHeight="1">
      <c r="A102" s="109" t="n">
        <v>0.11</v>
      </c>
      <c r="E102" s="121">
        <f>(NPV(0.11,E35:I35)+(I35*(1+0.015)/(0.11-0.015))/(1+0.11)^5+D50+D51)/D55</f>
        <v/>
      </c>
      <c r="F102" s="121">
        <f>(NPV(0.11,E35:I35)+(I35*(1+0.02)/(0.11-0.02))/(1+0.11)^5+D50+D51)/D55</f>
        <v/>
      </c>
      <c r="G102" s="121">
        <f>(NPV(0.11,E35:I35)+(I35*(1+0.0225)/(0.11-0.0225))/(1+0.11)^5+D50+D51)/D55</f>
        <v/>
      </c>
      <c r="H102" s="121">
        <f>(NPV(0.11,E35:I35)+(I35*(1+0.025)/(0.11-0.025))/(1+0.11)^5+D50+D51)/D55</f>
        <v/>
      </c>
      <c r="I102" s="121">
        <f>(NPV(0.11,E35:I35)+(I35*(1+0.03)/(0.11-0.03))/(1+0.11)^5+D50+D51)/D55</f>
        <v/>
      </c>
    </row>
    <row r="103" ht="28" customHeight="1">
      <c r="A103" s="109" t="n">
        <v>0.115</v>
      </c>
      <c r="E103" s="121">
        <f>(NPV(0.115,E35:I35)+(I35*(1+0.015)/(0.115-0.015))/(1+0.115)^5+D50+D51)/D55</f>
        <v/>
      </c>
      <c r="F103" s="121">
        <f>(NPV(0.115,E35:I35)+(I35*(1+0.02)/(0.115-0.02))/(1+0.115)^5+D50+D51)/D55</f>
        <v/>
      </c>
      <c r="G103" s="121">
        <f>(NPV(0.115,E35:I35)+(I35*(1+0.0225)/(0.115-0.0225))/(1+0.115)^5+D50+D51)/D55</f>
        <v/>
      </c>
      <c r="H103" s="121">
        <f>(NPV(0.115,E35:I35)+(I35*(1+0.025)/(0.115-0.025))/(1+0.115)^5+D50+D51)/D55</f>
        <v/>
      </c>
      <c r="I103" s="121">
        <f>(NPV(0.115,E35:I35)+(I35*(1+0.03)/(0.115-0.03))/(1+0.115)^5+D50+D51)/D55</f>
        <v/>
      </c>
    </row>
    <row r="104" ht="28" customHeight="1"/>
  </sheetData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9" r:id="rId3"/>
    <hyperlink xmlns:r="http://schemas.openxmlformats.org/officeDocument/2006/relationships" ref="C10" r:id="rId4"/>
    <hyperlink xmlns:r="http://schemas.openxmlformats.org/officeDocument/2006/relationships" ref="C15" r:id="rId5"/>
    <hyperlink xmlns:r="http://schemas.openxmlformats.org/officeDocument/2006/relationships" ref="C17" r:id="rId6"/>
    <hyperlink xmlns:r="http://schemas.openxmlformats.org/officeDocument/2006/relationships" ref="C19" r:id="rId7"/>
    <hyperlink xmlns:r="http://schemas.openxmlformats.org/officeDocument/2006/relationships" ref="C20" r:id="rId8"/>
    <hyperlink xmlns:r="http://schemas.openxmlformats.org/officeDocument/2006/relationships" ref="C21" r:id="rId9"/>
    <hyperlink xmlns:r="http://schemas.openxmlformats.org/officeDocument/2006/relationships" ref="C22" r:id="rId10"/>
    <hyperlink xmlns:r="http://schemas.openxmlformats.org/officeDocument/2006/relationships" ref="C23" r:id="rId11"/>
    <hyperlink xmlns:r="http://schemas.openxmlformats.org/officeDocument/2006/relationships" ref="C24" r:id="rId12"/>
    <hyperlink xmlns:r="http://schemas.openxmlformats.org/officeDocument/2006/relationships" ref="C25" r:id="rId13"/>
    <hyperlink xmlns:r="http://schemas.openxmlformats.org/officeDocument/2006/relationships" ref="C26" r:id="rId14"/>
    <hyperlink xmlns:r="http://schemas.openxmlformats.org/officeDocument/2006/relationships" ref="C27" r:id="rId15"/>
    <hyperlink xmlns:r="http://schemas.openxmlformats.org/officeDocument/2006/relationships" ref="C28" r:id="rId16"/>
    <hyperlink xmlns:r="http://schemas.openxmlformats.org/officeDocument/2006/relationships" ref="C29" r:id="rId17"/>
    <hyperlink ref="C30" location="'Scenarios'!A105"/>
    <hyperlink ref="C31" location="'Scenarios'!A110"/>
    <hyperlink xmlns:r="http://schemas.openxmlformats.org/officeDocument/2006/relationships" ref="C32" r:id="rId18"/>
    <hyperlink ref="C33" location="'Scenarios'!A120"/>
    <hyperlink xmlns:r="http://schemas.openxmlformats.org/officeDocument/2006/relationships" ref="C43" r:id="rId19"/>
    <hyperlink xmlns:r="http://schemas.openxmlformats.org/officeDocument/2006/relationships" ref="C50" r:id="rId20"/>
    <hyperlink xmlns:r="http://schemas.openxmlformats.org/officeDocument/2006/relationships" ref="C51" r:id="rId21"/>
    <hyperlink xmlns:r="http://schemas.openxmlformats.org/officeDocument/2006/relationships" ref="C55" r:id="rId22"/>
    <hyperlink xmlns:r="http://schemas.openxmlformats.org/officeDocument/2006/relationships" ref="C57" r:id="rId23"/>
    <hyperlink ref="C82" location="'DCF'!D46"/>
    <hyperlink xmlns:r="http://schemas.openxmlformats.org/officeDocument/2006/relationships" ref="C98" r:id="rId24"/>
    <hyperlink xmlns:r="http://schemas.openxmlformats.org/officeDocument/2006/relationships" ref="C99" r:id="rId25"/>
  </hyperlink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applyStyles="1" summaryBelow="1" summaryRight="1" showOutlineSymbols="0"/>
    <pageSetUpPr/>
  </sheetPr>
  <dimension ref="A1:I63"/>
  <sheetViews>
    <sheetView showGridLines="0" showOutlineSymbols="0" workbookViewId="0">
      <pane xSplit="6" ySplit="2" topLeftCell="G3" activePane="bottomRight" state="frozen"/>
      <selection pane="topRight" activeCell="A1" sqref="A1"/>
      <selection pane="bottomLeft" activeCell="A1" sqref="A1"/>
      <selection pane="bottomRight" activeCell="B3" sqref="B3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width="28" customWidth="1" min="2" max="2"/>
    <col width="18" customWidth="1" min="3" max="3"/>
    <col width="44" customWidth="1" min="4" max="4"/>
    <col width="14" customWidth="1" min="5" max="5"/>
    <col width="14" customWidth="1" min="6" max="6"/>
    <col width="12" customWidth="1" min="7" max="7"/>
    <col width="12" customWidth="1" min="8" max="8"/>
    <col width="16" customWidth="1" min="9" max="9"/>
    <col width="16" customWidth="1" min="10" max="10"/>
  </cols>
  <sheetData>
    <row r="1" ht="16" customHeight="1">
      <c r="A1" s="12" t="inlineStr">
        <is>
          <t>RELATIVE VALUATION - IMPLIED PRICE RANGES (FOOTBALL FIELD)</t>
        </is>
      </c>
      <c r="D1" s="13" t="n"/>
      <c r="E1" s="13" t="n"/>
      <c r="F1" s="13" t="n"/>
      <c r="G1" s="13" t="n"/>
    </row>
    <row r="2">
      <c r="B2" t="inlineStr">
        <is>
          <t>Notes</t>
        </is>
      </c>
      <c r="C2" t="inlineStr">
        <is>
          <t>Source</t>
        </is>
      </c>
    </row>
    <row r="3">
      <c r="A3" s="14" t="inlineStr">
        <is>
          <t>LULU operating metrics (FY2025A / FY2026E)</t>
        </is>
      </c>
    </row>
    <row r="4" ht="28" customHeight="1">
      <c r="A4" s="16" t="inlineStr">
        <is>
          <t>FY2025A revenue</t>
        </is>
      </c>
      <c r="C4" s="167" t="inlineStr">
        <is>
          <t>10-K</t>
        </is>
      </c>
      <c r="D4" s="158" t="n">
        <v>11102600</v>
      </c>
    </row>
    <row r="5">
      <c r="A5" s="16" t="inlineStr">
        <is>
          <t>FY2025A EBITDA (EBIT + D&amp;A)</t>
        </is>
      </c>
      <c r="D5" s="75">
        <f>2210615+496228</f>
        <v/>
      </c>
    </row>
    <row r="6">
      <c r="A6" s="16" t="inlineStr">
        <is>
          <t>FY2030E terminal EBITDA (DCF EBIT + D&amp;A)</t>
        </is>
      </c>
      <c r="C6" s="128" t="inlineStr">
        <is>
          <t>↳ DCF base case</t>
        </is>
      </c>
      <c r="D6" s="138">
        <f>DCF!D44</f>
        <v/>
      </c>
    </row>
    <row r="7" ht="28" customHeight="1">
      <c r="A7" s="16" t="inlineStr">
        <is>
          <t>FY2026E diluted EPS (guidance midpoint)</t>
        </is>
      </c>
      <c r="C7" s="167" t="inlineStr">
        <is>
          <t>Release</t>
        </is>
      </c>
      <c r="D7" s="159" t="n">
        <v>9.609999999999999</v>
      </c>
    </row>
    <row r="8" ht="28" customHeight="1">
      <c r="A8" s="16" t="inlineStr">
        <is>
          <t>Cash &amp; equivalents</t>
        </is>
      </c>
      <c r="C8" s="167" t="inlineStr">
        <is>
          <t>10-K</t>
        </is>
      </c>
      <c r="D8" s="158" t="n">
        <v>1807202</v>
      </c>
    </row>
    <row r="9" ht="28" customHeight="1">
      <c r="A9" s="16" t="inlineStr">
        <is>
          <t>Shares outstanding (000)</t>
        </is>
      </c>
      <c r="C9" s="167" t="inlineStr">
        <is>
          <t>10-K</t>
        </is>
      </c>
      <c r="D9" s="158" t="n">
        <v>111380</v>
      </c>
    </row>
    <row r="10" ht="28" customHeight="1">
      <c r="A10" s="16" t="inlineStr">
        <is>
          <t>Current share price</t>
        </is>
      </c>
      <c r="C10" s="167" t="inlineStr">
        <is>
          <t>NASDAQ</t>
        </is>
      </c>
      <c r="D10" s="157" t="n">
        <v>100</v>
      </c>
    </row>
    <row r="11">
      <c r="A11" s="107" t="inlineStr">
        <is>
          <t>current EV / EBITDA</t>
        </is>
      </c>
      <c r="D11" s="94">
        <f>(D10*D9-D8)/D5</f>
        <v/>
      </c>
    </row>
    <row r="12">
      <c r="A12" s="107" t="inlineStr">
        <is>
          <t>current P / E (FY2026E)</t>
        </is>
      </c>
      <c r="D12" s="94">
        <f>D10/D7</f>
        <v/>
      </c>
    </row>
    <row r="14">
      <c r="A14" s="14" t="inlineStr">
        <is>
          <t>EXIT MULTIPLE BUILD - FY2030E TERMINAL YEAR</t>
        </is>
      </c>
    </row>
    <row r="15">
      <c r="A15" s="107" t="inlineStr">
        <is>
          <t>Peer / reference EV/EBITDA (forward / illustrative)</t>
        </is>
      </c>
    </row>
    <row r="16">
      <c r="A16" s="14" t="inlineStr">
        <is>
          <t>Peer EV/EBITDA (PitchBook, Sep-2026)</t>
        </is>
      </c>
      <c r="B16" t="inlineStr">
        <is>
          <t>Notes</t>
        </is>
      </c>
      <c r="C16" t="inlineStr">
        <is>
          <t>Source</t>
        </is>
      </c>
    </row>
    <row r="17">
      <c r="A17" s="26" t="n"/>
    </row>
    <row r="18">
      <c r="A18" s="113" t="inlineStr">
        <is>
          <t>Company</t>
        </is>
      </c>
      <c r="B18" s="127" t="inlineStr">
        <is>
          <t>Notes</t>
        </is>
      </c>
      <c r="C18" s="126" t="inlineStr">
        <is>
          <t>Source</t>
        </is>
      </c>
      <c r="D18" s="135" t="inlineStr">
        <is>
          <t>EV/EBITDA</t>
        </is>
      </c>
      <c r="H18" s="135" t="inlineStr">
        <is>
          <t>EV ($000)</t>
        </is>
      </c>
      <c r="I18" s="135" t="inlineStr">
        <is>
          <t>EBITDA ($000)</t>
        </is>
      </c>
    </row>
    <row r="19" ht="28" customHeight="1">
      <c r="A19" s="16" t="inlineStr">
        <is>
          <t>lululemon (LULU)</t>
        </is>
      </c>
      <c r="B19" s="9" t="inlineStr">
        <is>
          <t>PitchBook comp</t>
        </is>
      </c>
      <c r="C19" s="168" t="inlineStr">
        <is>
          <t>PitchBook Comps Set 04-Sep-2026</t>
        </is>
      </c>
      <c r="D19" s="115">
        <f>IF(I19&lt;=0,"n.m.",H19/I19)</f>
        <v/>
      </c>
      <c r="H19" s="162" t="n">
        <v>11890440</v>
      </c>
      <c r="I19" s="162" t="n">
        <v>2548084</v>
      </c>
    </row>
    <row r="20" ht="28" customHeight="1">
      <c r="A20" s="16" t="inlineStr">
        <is>
          <t>Under Armour (UAA)</t>
        </is>
      </c>
      <c r="B20" s="9" t="inlineStr">
        <is>
          <t>PitchBook comp</t>
        </is>
      </c>
      <c r="C20" s="168" t="inlineStr">
        <is>
          <t>PitchBook Comps Set 04-Sep-2026</t>
        </is>
      </c>
      <c r="D20" s="115">
        <f>IF(I20&lt;=0,"n.m.",H20/I20)</f>
        <v/>
      </c>
      <c r="H20" s="162" t="n">
        <v>3208397</v>
      </c>
      <c r="I20" s="162" t="n">
        <v>-23230</v>
      </c>
    </row>
    <row r="21" ht="28" customHeight="1">
      <c r="A21" s="16" t="inlineStr">
        <is>
          <t>adidas (ADS)</t>
        </is>
      </c>
      <c r="B21" s="9" t="inlineStr">
        <is>
          <t>PitchBook comp</t>
        </is>
      </c>
      <c r="C21" s="168" t="inlineStr">
        <is>
          <t>PitchBook Comps Set 04-Sep-2026</t>
        </is>
      </c>
      <c r="D21" s="115">
        <f>IF(I21&lt;=0,"n.m.",H21/I21)</f>
        <v/>
      </c>
      <c r="H21" s="162" t="n">
        <v>35661944</v>
      </c>
      <c r="I21" s="162" t="n">
        <v>3857684</v>
      </c>
    </row>
    <row r="22" ht="28" customHeight="1">
      <c r="A22" s="16" t="inlineStr">
        <is>
          <t>Nike (NKE)</t>
        </is>
      </c>
      <c r="B22" s="9" t="inlineStr">
        <is>
          <t>PitchBook comp</t>
        </is>
      </c>
      <c r="C22" s="168" t="inlineStr">
        <is>
          <t>PitchBook Comps Set 04-Sep-2026</t>
        </is>
      </c>
      <c r="D22" s="115">
        <f>IF(I22&lt;=0,"n.m.",H22/I22)</f>
        <v/>
      </c>
      <c r="H22" s="162" t="n">
        <v>58972350</v>
      </c>
      <c r="I22" s="162" t="n">
        <v>4647000</v>
      </c>
    </row>
    <row r="23" ht="28" customHeight="1">
      <c r="A23" s="16" t="inlineStr">
        <is>
          <t>Deckers (DECK)</t>
        </is>
      </c>
      <c r="B23" s="9" t="inlineStr">
        <is>
          <t>PitchBook comp</t>
        </is>
      </c>
      <c r="C23" s="168" t="inlineStr">
        <is>
          <t>PitchBook Comps Set 04-Sep-2026</t>
        </is>
      </c>
      <c r="D23" s="115">
        <f>IF(I23&lt;=0,"n.m.",H23/I23)</f>
        <v/>
      </c>
      <c r="H23" s="162" t="n">
        <v>10555510</v>
      </c>
      <c r="I23" s="162" t="n">
        <v>1329439</v>
      </c>
    </row>
    <row r="24" ht="28" customHeight="1">
      <c r="A24" s="16" t="inlineStr">
        <is>
          <t>Williams-Sonoma (WSM)</t>
        </is>
      </c>
      <c r="B24" s="9" t="inlineStr">
        <is>
          <t>PitchBook comp</t>
        </is>
      </c>
      <c r="C24" s="168" t="inlineStr">
        <is>
          <t>PitchBook Comps Set 04-Sep-2026</t>
        </is>
      </c>
      <c r="D24" s="115">
        <f>IF(I24&lt;=0,"n.m.",H24/I24)</f>
        <v/>
      </c>
      <c r="H24" s="162" t="n">
        <v>27284350</v>
      </c>
      <c r="I24" s="162" t="n">
        <v>1768400</v>
      </c>
    </row>
    <row r="25" ht="28" customHeight="1">
      <c r="A25" s="16" t="inlineStr">
        <is>
          <t>Crocs (CROX)</t>
        </is>
      </c>
      <c r="B25" s="9" t="inlineStr">
        <is>
          <t>PitchBook comp</t>
        </is>
      </c>
      <c r="C25" s="168" t="inlineStr">
        <is>
          <t>PitchBook Comps Set 04-Sep-2026</t>
        </is>
      </c>
      <c r="D25" s="115">
        <f>IF(I25&lt;=0,"n.m.",H25/I25)</f>
        <v/>
      </c>
      <c r="H25" s="162" t="n">
        <v>7153911</v>
      </c>
      <c r="I25" s="162" t="n">
        <v>922278</v>
      </c>
    </row>
    <row r="26" ht="28" customHeight="1">
      <c r="A26" s="16" t="inlineStr">
        <is>
          <t>Movado (MOV)</t>
        </is>
      </c>
      <c r="B26" s="9" t="inlineStr">
        <is>
          <t>PitchBook comp</t>
        </is>
      </c>
      <c r="C26" s="168" t="inlineStr">
        <is>
          <t>PitchBook Comps Set 04-Sep-2026</t>
        </is>
      </c>
      <c r="D26" s="115">
        <f>IF(I26&lt;=0,"n.m.",H26/I26)</f>
        <v/>
      </c>
      <c r="H26" s="162" t="n">
        <v>616045</v>
      </c>
      <c r="I26" s="162" t="n">
        <v>62010</v>
      </c>
    </row>
    <row r="27" ht="28" customHeight="1">
      <c r="A27" s="16" t="inlineStr">
        <is>
          <t>Levi Strauss (LEVI)</t>
        </is>
      </c>
      <c r="B27" s="9" t="inlineStr">
        <is>
          <t>PitchBook comp</t>
        </is>
      </c>
      <c r="C27" s="168" t="inlineStr">
        <is>
          <t>PitchBook Comps Set 04-Sep-2026</t>
        </is>
      </c>
      <c r="D27" s="115">
        <f>IF(I27&lt;=0,"n.m.",H27/I27)</f>
        <v/>
      </c>
      <c r="H27" s="162" t="n">
        <v>9422753</v>
      </c>
      <c r="I27" s="162" t="n">
        <v>976700</v>
      </c>
    </row>
    <row r="28" ht="28" customHeight="1">
      <c r="A28" s="16" t="inlineStr">
        <is>
          <t>La-Z-Boy (LZB)</t>
        </is>
      </c>
      <c r="B28" s="9" t="inlineStr">
        <is>
          <t>PitchBook comp</t>
        </is>
      </c>
      <c r="C28" s="168" t="inlineStr">
        <is>
          <t>PitchBook Comps Set 04-Sep-2026</t>
        </is>
      </c>
      <c r="D28" s="115">
        <f>IF(I28&lt;=0,"n.m.",H28/I28)</f>
        <v/>
      </c>
      <c r="H28" s="162" t="n">
        <v>1598873</v>
      </c>
      <c r="I28" s="162" t="n">
        <v>235723</v>
      </c>
    </row>
    <row r="29" ht="28" customHeight="1">
      <c r="A29" s="16" t="inlineStr">
        <is>
          <t>Kontoor (KTB)</t>
        </is>
      </c>
      <c r="B29" s="9" t="inlineStr">
        <is>
          <t>PitchBook comp</t>
        </is>
      </c>
      <c r="C29" s="168" t="inlineStr">
        <is>
          <t>PitchBook Comps Set 04-Sep-2026</t>
        </is>
      </c>
      <c r="D29" s="115">
        <f>IF(I29&lt;=0,"n.m.",H29/I29)</f>
        <v/>
      </c>
      <c r="H29" s="162" t="n">
        <v>5236269</v>
      </c>
      <c r="I29" s="162" t="n">
        <v>407521</v>
      </c>
    </row>
    <row r="31">
      <c r="A31" s="14" t="inlineStr">
        <is>
          <t>Alo Yoga implied valuation (reference only)</t>
        </is>
      </c>
    </row>
    <row r="32">
      <c r="A32" s="26" t="n"/>
    </row>
    <row r="33" ht="15" customHeight="1">
      <c r="A33" s="16" t="inlineStr">
        <is>
          <t>Alo / Color Image 2023 Moelis ask ($bn)</t>
        </is>
      </c>
      <c r="B33" s="9" t="inlineStr">
        <is>
          <t>Reuters: about $10 billion Moelis ask for Color.</t>
        </is>
      </c>
      <c r="C33" s="167" t="inlineStr">
        <is>
          <t>Reuters: Alo parent $10bn Moelis ask Also: Reuters: Alo 2023 process; no deal</t>
        </is>
      </c>
      <c r="D33" s="153" t="n">
        <v>10</v>
      </c>
    </row>
    <row r="34" ht="28" customHeight="1">
      <c r="A34" s="16" t="inlineStr">
        <is>
          <t>Color Image parent sales, Forbes est. ($bn)</t>
        </is>
      </c>
      <c r="B34" s="9" t="inlineStr">
        <is>
          <t>Forbes estimates Color Image parent sales nearly $2.</t>
        </is>
      </c>
      <c r="C34" s="167" t="inlineStr">
        <is>
          <t>Forbes: Color Image nearly $2bn sales</t>
        </is>
      </c>
      <c r="D34" s="153" t="n">
        <v>2</v>
      </c>
    </row>
    <row r="35" ht="28" customHeight="1">
      <c r="A35" s="68" t="inlineStr">
        <is>
          <t>Alo implied EV/Sales (ask / parent sales)</t>
        </is>
      </c>
      <c r="B35" s="9" t="inlineStr">
        <is>
          <t>5.0x = 10 / 2. Implied EV/Sales on.</t>
        </is>
      </c>
      <c r="C35" s="167" t="inlineStr">
        <is>
          <t>Comps: Alo ask / parent sales</t>
        </is>
      </c>
      <c r="D35" s="115">
        <f>D33/D34</f>
        <v/>
      </c>
    </row>
    <row r="36" ht="28" customHeight="1">
      <c r="A36" s="16" t="inlineStr">
        <is>
          <t>Alo EV/EBITDA</t>
        </is>
      </c>
      <c r="B36" s="9" t="inlineStr">
        <is>
          <t>No page prints Alo or Color Image EBITDA..</t>
        </is>
      </c>
      <c r="C36" s="168" t="inlineStr">
        <is>
          <t>None — no EBITDA source</t>
        </is>
      </c>
      <c r="D36" s="140" t="inlineStr">
        <is>
          <t>n.a.</t>
        </is>
      </c>
    </row>
    <row r="38">
      <c r="A38" s="14" t="inlineStr">
        <is>
          <t>Averages</t>
        </is>
      </c>
    </row>
    <row r="39">
      <c r="A39" s="16" t="inlineStr">
        <is>
          <t>Core athletic / apparel mean (LULU / NKE / ADS / DECK / CROX / LEVI / KTB)</t>
        </is>
      </c>
      <c r="B39" s="9" t="inlineStr">
        <is>
          <t>Core comp average</t>
        </is>
      </c>
      <c r="C39" s="126" t="inlineStr">
        <is>
          <t>Derived: Excel AVERAGE of the seven core prints</t>
        </is>
      </c>
      <c r="D39" s="115">
        <f>AVERAGE(D19,D22,D21,D23,D25,D27,D29)</f>
        <v/>
      </c>
    </row>
    <row r="40">
      <c r="A40" s="16" t="inlineStr">
        <is>
          <t>All positive-EBITDA mean (ex-UAA; includes WSM / MOV / LZB)</t>
        </is>
      </c>
      <c r="B40" s="9" t="inlineStr">
        <is>
          <t>Wider comp average</t>
        </is>
      </c>
      <c r="C40" s="126" t="inlineStr">
        <is>
          <t>Derived: Excel AVERAGE of every positive-EBITDA row</t>
        </is>
      </c>
      <c r="D40" s="115">
        <f>AVERAGE(D19,D21,D22,D23,D24,D25,D26,D27,D28,D29)</f>
        <v/>
      </c>
    </row>
    <row r="41">
      <c r="A41" s="107" t="n"/>
      <c r="B41" t="inlineStr">
        <is>
          <t>Notes</t>
        </is>
      </c>
      <c r="C41" t="inlineStr">
        <is>
          <t>Source</t>
        </is>
      </c>
    </row>
    <row r="43">
      <c r="A43" s="14" t="inlineStr">
        <is>
          <t>Terminal multiple selection (DCF exit method)</t>
        </is>
      </c>
    </row>
    <row r="44">
      <c r="A44" s="16" t="inlineStr">
        <is>
          <t>Gordon Growth implied exit EV/EBITDA</t>
        </is>
      </c>
      <c r="D44" s="148">
        <f>DCF!D46</f>
        <v/>
      </c>
    </row>
    <row r="45">
      <c r="A45" s="68" t="inlineStr">
        <is>
          <t>Selected exit multiple (base case)</t>
        </is>
      </c>
      <c r="D45" s="148">
        <f>DCF!D82</f>
        <v/>
      </c>
    </row>
    <row r="46">
      <c r="A46" s="16" t="inlineStr">
        <is>
          <t>Spread (selected - Gordon implied)</t>
        </is>
      </c>
      <c r="D46" s="94">
        <f>D45-D44</f>
        <v/>
      </c>
    </row>
    <row r="47">
      <c r="A47" s="68" t="inlineStr">
        <is>
          <t>Selected exit multiple (Gordon growth)</t>
        </is>
      </c>
    </row>
    <row r="48">
      <c r="A48" s="41" t="n"/>
    </row>
    <row r="49">
      <c r="A49" s="41" t="n"/>
    </row>
    <row r="50">
      <c r="A50" s="41" t="n"/>
    </row>
    <row r="51">
      <c r="A51" s="41" t="n"/>
    </row>
    <row r="52">
      <c r="A52" s="41" t="n"/>
    </row>
    <row r="53">
      <c r="A53" s="41" t="n"/>
    </row>
    <row r="55">
      <c r="A55" s="14" t="inlineStr">
        <is>
          <t>Methodology / multiple ranges (FY2030E terminal EBITDA - football field)</t>
        </is>
      </c>
    </row>
    <row r="56">
      <c r="A56" s="113" t="inlineStr">
        <is>
          <t>Method</t>
        </is>
      </c>
      <c r="B56" s="127" t="inlineStr">
        <is>
          <t>Notes</t>
        </is>
      </c>
      <c r="C56" s="126" t="inlineStr">
        <is>
          <t>Source</t>
        </is>
      </c>
      <c r="D56" s="135" t="inlineStr">
        <is>
          <t>Low mult.</t>
        </is>
      </c>
      <c r="E56" s="135" t="inlineStr">
        <is>
          <t>High mult.</t>
        </is>
      </c>
      <c r="F56" s="135" t="inlineStr">
        <is>
          <t>Implied px (low)</t>
        </is>
      </c>
      <c r="G56" s="135" t="inlineStr">
        <is>
          <t>Implied px (high)</t>
        </is>
      </c>
    </row>
    <row r="57" ht="15" customHeight="1">
      <c r="A57" s="16" t="inlineStr">
        <is>
          <t>EV / EBITDA (FY2030E terminal)</t>
        </is>
      </c>
      <c r="B57" s="9" t="inlineStr">
        <is>
          <t>Lo 5.0x FY30E EBITDA trough.
Hi 8.0x DECK high-end cap.</t>
        </is>
      </c>
      <c r="C57" s="167" t="inlineStr">
        <is>
          <t>Lo: StockAnalysis: LULU EV/EBITDA Hi: StockAnalysis: DECK EV/EBITDA</t>
        </is>
      </c>
      <c r="D57" s="154" t="n">
        <v>5</v>
      </c>
      <c r="E57" s="154" t="n">
        <v>8</v>
      </c>
      <c r="F57" s="121">
        <f>(D6*D57+D8)/D9</f>
        <v/>
      </c>
      <c r="G57" s="121">
        <f>(D6*E57+D8)/D9</f>
        <v/>
      </c>
    </row>
    <row r="58" ht="28" customHeight="1">
      <c r="A58" s="68" t="inlineStr">
        <is>
          <t>DCF exit method (Gordon-implied on FY2030E EBITDA)</t>
        </is>
      </c>
      <c r="B58" s="9" t="inlineStr">
        <is>
          <t>Gordon TV / FY30 EBITDA exit.</t>
        </is>
      </c>
      <c r="C58" s="167" t="inlineStr">
        <is>
          <t>DCF: Gordon implied exit (TV / FY30 EBITDA)</t>
        </is>
      </c>
      <c r="D58" s="155">
        <f>DCF!D82</f>
        <v/>
      </c>
      <c r="F58" s="121">
        <f>(D6*D58+D8)/D9</f>
        <v/>
      </c>
    </row>
    <row r="59" ht="15" customHeight="1">
      <c r="A59" s="16" t="inlineStr">
        <is>
          <t>P / E (FY2026E EPS)</t>
        </is>
      </c>
      <c r="B59" s="9" t="inlineStr">
        <is>
          <t>Lo 10x FY26E EPS trough.
Hi 18x FY26E EPS recovery.</t>
        </is>
      </c>
      <c r="C59" s="167" t="inlineStr">
        <is>
          <t>Lo: StockAnalysis: LULU Forward P/E Hi: StockAnalysis: NKE Forward P/E</t>
        </is>
      </c>
      <c r="D59" s="163" t="n">
        <v>10</v>
      </c>
      <c r="E59" s="163" t="n">
        <v>18</v>
      </c>
      <c r="F59" s="121">
        <f>D7*D59</f>
        <v/>
      </c>
      <c r="G59" s="121">
        <f>D7*E59</f>
        <v/>
      </c>
    </row>
    <row r="60">
      <c r="A60" s="16" t="inlineStr">
        <is>
          <t>DCF (bear - bull)</t>
        </is>
      </c>
      <c r="D60" s="123" t="n"/>
      <c r="E60" s="123" t="n"/>
      <c r="F60" s="156">
        <f>Scenarios!E132</f>
        <v/>
      </c>
      <c r="G60" s="156">
        <f>Scenarios!G132</f>
        <v/>
      </c>
    </row>
    <row r="62" ht="28" customHeight="1">
      <c r="A62" s="124" t="inlineStr">
        <is>
          <t>Current price</t>
        </is>
      </c>
      <c r="C62" s="167" t="inlineStr">
        <is>
          <t>NASDAQ</t>
        </is>
      </c>
      <c r="D62" s="21" t="n">
        <v>100</v>
      </c>
    </row>
    <row r="63">
      <c r="A63" s="26" t="n"/>
    </row>
  </sheetData>
  <hyperlinks>
    <hyperlink xmlns:r="http://schemas.openxmlformats.org/officeDocument/2006/relationships" ref="C4" r:id="rId1"/>
    <hyperlink ref="C6" location="'DCF'!D44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0" r:id="rId5"/>
    <hyperlink xmlns:r="http://schemas.openxmlformats.org/officeDocument/2006/relationships" ref="C33" r:id="rId6"/>
    <hyperlink xmlns:r="http://schemas.openxmlformats.org/officeDocument/2006/relationships" ref="C34" r:id="rId7"/>
    <hyperlink ref="C35" location="'Comps'!D33"/>
    <hyperlink xmlns:r="http://schemas.openxmlformats.org/officeDocument/2006/relationships" ref="C57" r:id="rId8"/>
    <hyperlink ref="C58" location="'DCF'!D82"/>
    <hyperlink xmlns:r="http://schemas.openxmlformats.org/officeDocument/2006/relationships" ref="C59" r:id="rId9"/>
    <hyperlink xmlns:r="http://schemas.openxmlformats.org/officeDocument/2006/relationships" ref="C62" r:id="rId10"/>
  </hyperlink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73" t="inlineStr">
        <is>
          <t>Quick checks (not in model)</t>
        </is>
      </c>
    </row>
    <row r="3">
      <c r="A3" s="174" t="inlineStr">
        <is>
          <t>Mkt cap ($k)</t>
        </is>
      </c>
      <c r="B3" s="175">
        <f>WACC!D10</f>
        <v/>
      </c>
    </row>
    <row r="4">
      <c r="A4" s="174" t="inlineStr">
        <is>
          <t>FY26 rev growth check</t>
        </is>
      </c>
      <c r="B4" s="175">
        <f>Scenarios!F4</f>
        <v/>
      </c>
    </row>
    <row r="5">
      <c r="A5" s="174" t="inlineStr">
        <is>
          <t>Terminal g</t>
        </is>
      </c>
      <c r="B5" s="175">
        <f>Scenarios!F10</f>
        <v/>
      </c>
    </row>
    <row r="6">
      <c r="A6" s="174" t="inlineStr">
        <is>
          <t>Implied px (DCF)</t>
        </is>
      </c>
      <c r="B6" s="175">
        <f>DCF!D56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Excel</dc:creator>
  <dc:title xmlns:dc="http://purl.org/dc/elements/1.1/">LULU DCF Model</dc:title>
  <dc:subject xmlns:dc="http://purl.org/dc/elements/1.1/">lululemon unlevered DCF</dc:subject>
  <dcterms:created xmlns:dcterms="http://purl.org/dc/terms/" xmlns:xsi="http://www.w3.org/2001/XMLSchema-instance" xsi:type="dcterms:W3CDTF">2026-09-09T15:52:21Z</dcterms:created>
  <dcterms:modified xmlns:dcterms="http://purl.org/dc/terms/" xmlns:xsi="http://www.w3.org/2001/XMLSchema-instance" xsi:type="dcterms:W3CDTF">2026-09-10T03:59:08Z</dcterms:modified>
  <cp:lastModifiedBy>Microsoft Excel</cp:lastModifiedBy>
  <cp:revision>1</cp:revision>
</cp:coreProperties>
</file>
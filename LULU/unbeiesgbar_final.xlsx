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FY25 10-K anchor. on reported baseline. Source: https://www.sec.gov/Archives/edgar/data/1397187/000139718726000020/lulu-20260201.htm</t>
      </text>
    </comment>
    <comment ref="E5" authorId="0" shapeId="0">
      <text>
        <t>FY25 10-K anchor. cash-flow read-through. Source: https://www.sec.gov/Archives/edgar/data/1397187/000139718726000020/lulu-20260201.htm</t>
      </text>
    </comment>
    <comment ref="E8" authorId="0" shapeId="0">
      <text>
        <t>FY25 10-K anchor. on reported baseline. Source: https://www.sec.gov/Archives/edgar/data/1397187/000139718726000020/lulu-20260201.htm</t>
      </text>
    </comment>
    <comment ref="E11" authorId="0" shapeId="0">
      <text>
        <t>FY25 10-K anchor. on reported baseline. Source: https://www.sec.gov/Archives/edgar/data/1397187/000139718726000020/lulu-20260201.htm</t>
      </text>
    </comment>
    <comment ref="E12" authorId="0" shapeId="0">
      <text>
        <t>FY25 10-K anchor. cash-flow read-through. Source: https://www.sec.gov/Archives/edgar/data/1397187/000139718726000020/lulu-20260201.htm</t>
      </text>
    </comment>
    <comment ref="E100" authorId="0" shapeId="0">
      <text>
        <t>0.1 WACC tab to green WACC cell ~9.0%. on reported baseline.</t>
      </text>
    </comment>
    <comment ref="E101" authorId="0" shapeId="0">
      <text>
        <t>0.105 WACC tab to green WACC cell ~9.0%. on reported baseline.</t>
      </text>
    </comment>
    <comment ref="E102" authorId="0" shapeId="0">
      <text>
        <t>0.11 WACC tab to green WACC cell ~9.0%. on reported baseline.</t>
      </text>
    </comment>
    <comment ref="E103" authorId="0" shapeId="0">
      <text>
        <t>0.115 WACC tab to green WACC cell ~9.0%. on reported baseline.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Source on reported baseline.</t>
      </text>
    </comment>
    <comment ref="D56" authorId="0" shapeId="0">
      <text>
        <t>Source on reported baseline.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B2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15" customHeight="1">
      <c r="B17" s="10" t="n"/>
    </row>
    <row r="19">
      <c r="B19" s="5" t="inlineStr">
        <is>
          <t>SOURCES</t>
        </is>
      </c>
    </row>
    <row r="20" ht="15" customHeight="1">
      <c r="B20" s="10" t="inlineStr">
        <is>
          <t>SEC EDGAR filings, CIK 0001397187 (Form 10-K, FY2025)</t>
        </is>
      </c>
    </row>
    <row r="21" ht="15" customHeight="1">
      <c r="B21" s="10" t="inlineStr">
        <is>
          <t>FY2025 Form 10-K (ended Feb 1, 2026)</t>
        </is>
      </c>
    </row>
    <row r="22" ht="15" customHeight="1">
      <c r="B22" s="10" t="inlineStr">
        <is>
          <t>Market data &amp; Q2 FY2026 results (Sep 3, 2026 earnings release)</t>
        </is>
      </c>
    </row>
    <row r="23" ht="15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64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plus 177 bps US risk premium.</t>
        </is>
      </c>
      <c r="C4" s="164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64" t="inlineStr">
        <is>
          <t>Q2 FY2026 outlook: tax rate ≈ 30%</t>
        </is>
      </c>
      <c r="D5" s="129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64" t="inlineStr">
        <is>
          <t>NASDAQ LULU last sale (current price)</t>
        </is>
      </c>
      <c r="D8" s="157" t="n">
        <v>100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64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65" t="inlineStr">
        <is>
          <t>WACC tab: price × shares</t>
        </is>
      </c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64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66" t="inlineStr">
        <is>
          <t>Lease + funded debt (above)</t>
        </is>
      </c>
      <c r="D13" s="130">
        <f>D11+D12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64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= $11.14B on the same.</t>
        </is>
      </c>
      <c r="C18" s="164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Unlever D/E = Yahoo debt (mrq) ÷ Yahoo.</t>
        </is>
      </c>
      <c r="C19" s="164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64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beta-u</t>
        </is>
      </c>
      <c r="B21" s="9" t="inlineStr">
        <is>
          <t>βu = 0.86 ÷ [1 + 0.70 ×.</t>
        </is>
      </c>
      <c r="C21" s="165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65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64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65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2"/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64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64" t="inlineStr">
        <is>
          <t>LULU Q2 FY2026 earnings release</t>
        </is>
      </c>
      <c r="E4" s="129" t="n">
        <v>-0.09</v>
      </c>
      <c r="F4" s="129" t="n">
        <v>-0.061</v>
      </c>
      <c r="G4" s="129" t="n">
        <v>-0.04</v>
      </c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64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64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64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64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64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64" t="inlineStr">
        <is>
          <t>FRED: Real GDP (GDPC1)</t>
        </is>
      </c>
      <c r="E10" s="129" t="n">
        <v>0.015</v>
      </c>
      <c r="F10" s="129" t="n">
        <v>0.0225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64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64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" customHeight="1">
      <c r="A13" s="16" t="inlineStr">
        <is>
          <t>Capex % of revenue</t>
        </is>
      </c>
      <c r="B13" s="9" t="inlineStr">
        <is>
          <t>5.5% model rate; FY26 7% capex guide fades down.</t>
        </is>
      </c>
      <c r="C13" s="164" t="inlineStr">
        <is>
          <t>LULU 10-K: 2026 capex guide $725–745M Also: Q2 FY2026 outlook: $10.350B–$10.500B sales</t>
        </is>
      </c>
      <c r="E13" s="129" t="n">
        <v>0.07000000000000001</v>
      </c>
      <c r="F13" s="129" t="n">
        <v>0.055</v>
      </c>
      <c r="G13" s="129" t="n">
        <v>0.045</v>
      </c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64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" customHeight="1">
      <c r="A15" s="16" t="inlineStr">
        <is>
          <t>DSO (days) - flat vs FY25</t>
        </is>
      </c>
      <c r="B15" s="9" t="inlineStr">
        <is>
          <t>6.3 days DSO held flat vs FY25 actual.</t>
        </is>
      </c>
      <c r="C15" s="164" t="inlineStr">
        <is>
          <t>LULU FY2025 10-K: Accounts receivable, net</t>
        </is>
      </c>
      <c r="E15" s="159" t="n">
        <v>6.267883648875038</v>
      </c>
      <c r="F15" s="159" t="n">
        <v>6.267883648875038</v>
      </c>
      <c r="G15" s="159" t="n">
        <v>6.267883648875038</v>
      </c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64" t="inlineStr">
        <is>
          <t>LULU FY2025 10-K: Inventories &amp; COGS</t>
        </is>
      </c>
      <c r="E16" s="159" t="n">
        <v>128.8324100108167</v>
      </c>
      <c r="F16" s="159" t="n">
        <v>128.8324100108167</v>
      </c>
      <c r="G16" s="159" t="n">
        <v>128.8324100108167</v>
      </c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64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15" customHeight="1">
      <c r="A18" s="16" t="inlineStr">
        <is>
          <t>DPO (days) - flat vs FY25</t>
        </is>
      </c>
      <c r="B18" s="9" t="inlineStr">
        <is>
          <t>25.1 days DPO held flat vs FY25 actual.</t>
        </is>
      </c>
      <c r="C18" s="164" t="inlineStr">
        <is>
          <t>LULU FY2025 10-K: Accounts payable &amp; COGS</t>
        </is>
      </c>
      <c r="E18" s="159" t="n">
        <v>25.10521290169407</v>
      </c>
      <c r="F18" s="159" t="n">
        <v>25.10521290169407</v>
      </c>
      <c r="G18" s="159" t="n">
        <v>25.10521290169407</v>
      </c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64" t="inlineStr">
        <is>
          <t>LULU FY2025 10-K: other current assets (residual)</t>
        </is>
      </c>
      <c r="E19" s="129" t="n">
        <v>0.05080692810692991</v>
      </c>
      <c r="F19" s="129" t="n">
        <v>0.05080692810692991</v>
      </c>
      <c r="G19" s="129" t="n">
        <v>0.05080692810692991</v>
      </c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64" t="inlineStr">
        <is>
          <t>LULU FY2025 10-K: Accrued liabilities and other</t>
        </is>
      </c>
      <c r="E20" s="129" t="n">
        <v>0.05971412101669879</v>
      </c>
      <c r="F20" s="129" t="n">
        <v>0.05971412101669879</v>
      </c>
      <c r="G20" s="129" t="n">
        <v>0.05971412101669879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11102600*(1+E4)</f>
        <v/>
      </c>
      <c r="F25" s="75">
        <f>11102600*(1+F4)</f>
        <v/>
      </c>
      <c r="G25" s="75">
        <f>11102600*(1+G4)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0"/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8456743*E25/11102600</f>
        <v/>
      </c>
      <c r="F168" s="75">
        <f>8456743*F25/11102600</f>
        <v/>
      </c>
      <c r="G168" s="75">
        <f>8456743*G25/11102600</f>
        <v/>
      </c>
    </row>
    <row r="169">
      <c r="A169" s="41" t="inlineStr">
        <is>
          <t>Total assets - year 2</t>
        </is>
      </c>
      <c r="E169" s="75">
        <f>8456743*E26/11102600</f>
        <v/>
      </c>
      <c r="F169" s="75">
        <f>8456743*F26/11102600</f>
        <v/>
      </c>
      <c r="G169" s="75">
        <f>8456743*G26/11102600</f>
        <v/>
      </c>
    </row>
    <row r="170">
      <c r="A170" s="41" t="inlineStr">
        <is>
          <t>Total assets - year 3</t>
        </is>
      </c>
      <c r="E170" s="75">
        <f>8456743*E27/11102600</f>
        <v/>
      </c>
      <c r="F170" s="75">
        <f>8456743*F27/11102600</f>
        <v/>
      </c>
      <c r="G170" s="75">
        <f>8456743*G27/11102600</f>
        <v/>
      </c>
    </row>
    <row r="171">
      <c r="A171" s="41" t="inlineStr">
        <is>
          <t>Total assets - year 4</t>
        </is>
      </c>
      <c r="E171" s="75">
        <f>8456743*E28/11102600</f>
        <v/>
      </c>
      <c r="F171" s="75">
        <f>8456743*F28/11102600</f>
        <v/>
      </c>
      <c r="G171" s="75">
        <f>8456743*G28/11102600</f>
        <v/>
      </c>
    </row>
    <row r="172">
      <c r="A172" s="41" t="inlineStr">
        <is>
          <t>Total assets - year 5</t>
        </is>
      </c>
      <c r="E172" s="75">
        <f>8456743*E29/11102600</f>
        <v/>
      </c>
      <c r="F172" s="75">
        <f>8456743*F29/11102600</f>
        <v/>
      </c>
      <c r="G172" s="75">
        <f>8456743*G29/11102600</f>
        <v/>
      </c>
    </row>
    <row r="173">
      <c r="A173" s="41" t="inlineStr">
        <is>
          <t>Total liabilities - year 1</t>
        </is>
      </c>
      <c r="E173" s="75">
        <f>3494903*E25/11102600</f>
        <v/>
      </c>
      <c r="F173" s="75">
        <f>3494903*F25/11102600</f>
        <v/>
      </c>
      <c r="G173" s="75">
        <f>3494903*G25/11102600</f>
        <v/>
      </c>
    </row>
    <row r="174">
      <c r="A174" s="41" t="inlineStr">
        <is>
          <t>Total liabilities - year 2</t>
        </is>
      </c>
      <c r="E174" s="75">
        <f>3494903*E26/11102600</f>
        <v/>
      </c>
      <c r="F174" s="75">
        <f>3494903*F26/11102600</f>
        <v/>
      </c>
      <c r="G174" s="75">
        <f>3494903*G26/11102600</f>
        <v/>
      </c>
    </row>
    <row r="175">
      <c r="A175" s="41" t="inlineStr">
        <is>
          <t>Total liabilities - year 3</t>
        </is>
      </c>
      <c r="E175" s="75">
        <f>3494903*E27/11102600</f>
        <v/>
      </c>
      <c r="F175" s="75">
        <f>3494903*F27/11102600</f>
        <v/>
      </c>
      <c r="G175" s="75">
        <f>3494903*G27/11102600</f>
        <v/>
      </c>
    </row>
    <row r="176">
      <c r="A176" s="41" t="inlineStr">
        <is>
          <t>Total liabilities - year 4</t>
        </is>
      </c>
      <c r="E176" s="75">
        <f>3494903*E28/11102600</f>
        <v/>
      </c>
      <c r="F176" s="75">
        <f>3494903*F28/11102600</f>
        <v/>
      </c>
      <c r="G176" s="75">
        <f>3494903*G28/11102600</f>
        <v/>
      </c>
    </row>
    <row r="177">
      <c r="A177" s="41" t="inlineStr">
        <is>
          <t>Total liabilities - year 5</t>
        </is>
      </c>
      <c r="E177" s="75">
        <f>3494903*E29/11102600</f>
        <v/>
      </c>
      <c r="F177" s="75">
        <f>3494903*F29/11102600</f>
        <v/>
      </c>
      <c r="G177" s="75">
        <f>3494903*G29/11102600</f>
        <v/>
      </c>
    </row>
    <row r="178">
      <c r="A178" s="41" t="inlineStr">
        <is>
          <t>Total equity - year 1</t>
        </is>
      </c>
      <c r="E178" s="75">
        <f>4961840*E25/11102600</f>
        <v/>
      </c>
      <c r="F178" s="75">
        <f>4961840*F25/11102600</f>
        <v/>
      </c>
      <c r="G178" s="75">
        <f>4961840*G25/11102600</f>
        <v/>
      </c>
    </row>
    <row r="179">
      <c r="A179" s="41" t="inlineStr">
        <is>
          <t>Total equity - year 2</t>
        </is>
      </c>
      <c r="E179" s="75">
        <f>4961840*E26/11102600</f>
        <v/>
      </c>
      <c r="F179" s="75">
        <f>4961840*F26/11102600</f>
        <v/>
      </c>
      <c r="G179" s="75">
        <f>4961840*G26/11102600</f>
        <v/>
      </c>
    </row>
    <row r="180">
      <c r="A180" s="41" t="inlineStr">
        <is>
          <t>Total equity - year 3</t>
        </is>
      </c>
      <c r="E180" s="75">
        <f>4961840*E27/11102600</f>
        <v/>
      </c>
      <c r="F180" s="75">
        <f>4961840*F27/11102600</f>
        <v/>
      </c>
      <c r="G180" s="75">
        <f>4961840*G27/11102600</f>
        <v/>
      </c>
    </row>
    <row r="181">
      <c r="A181" s="41" t="inlineStr">
        <is>
          <t>Total equity - year 4</t>
        </is>
      </c>
      <c r="E181" s="75">
        <f>4961840*E28/11102600</f>
        <v/>
      </c>
      <c r="F181" s="75">
        <f>4961840*F28/11102600</f>
        <v/>
      </c>
      <c r="G181" s="75">
        <f>4961840*G28/11102600</f>
        <v/>
      </c>
    </row>
    <row r="182">
      <c r="A182" s="41" t="inlineStr">
        <is>
          <t>Total equity - year 5</t>
        </is>
      </c>
      <c r="E182" s="75">
        <f>4961840*E29/11102600</f>
        <v/>
      </c>
      <c r="F182" s="75">
        <f>4961840*F29/11102600</f>
        <v/>
      </c>
      <c r="G182" s="75">
        <f>4961840*G29/11102600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6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Store openings skew to China (+20 FY26) vs.</t>
        </is>
      </c>
      <c r="J7" s="164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Closures assume 2–3 per mature region annually as.</t>
        </is>
      </c>
      <c r="J8" s="164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Simple roll-forward: where you started, plus openings, minus.</t>
        </is>
      </c>
      <c r="J9" s="16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6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Store openings skew to China (+20 FY26) vs.</t>
        </is>
      </c>
      <c r="J11" s="164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Closures assume 2–3 per mature region annually as.</t>
        </is>
      </c>
      <c r="J12" s="164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Simple roll-forward: where you started, plus openings, minus.</t>
        </is>
      </c>
      <c r="J13" s="16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6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Store openings skew to China (+20 FY26) vs.</t>
        </is>
      </c>
      <c r="J15" s="164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Closures assume 2–3 per mature region annually as.</t>
        </is>
      </c>
      <c r="J16" s="164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Simple roll-forward: where you started, plus openings, minus.</t>
        </is>
      </c>
      <c r="J17" s="16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6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64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Ending stores times avg sq ft per box..</t>
        </is>
      </c>
      <c r="J20" s="165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64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64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 +20% (+19% CCY) per 10-K..</t>
        </is>
      </c>
      <c r="J26" s="164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RoW comp +9% (+7% CCY) per 10-K..</t>
        </is>
      </c>
      <c r="J27" s="164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6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6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6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6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64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64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64" t="inlineStr">
        <is>
          <t>FY2025 10-K: average order value commentary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64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64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64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65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64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64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64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64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64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64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64" t="inlineStr">
        <is>
          <t>FY2025 10-K: product category mix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6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64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6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65" t="inlineStr">
        <is>
          <t>Revenue Drivers: variance % formula</t>
        </is>
      </c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15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64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64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64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64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65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64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64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64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64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64" t="inlineStr">
        <is>
          <t>LULU CF statement (10-K): stock-based compensation</t>
        </is>
      </c>
      <c r="D20" s="75">
        <f>62203*$D$7</f>
        <v/>
      </c>
      <c r="E20" s="138">
        <f>Scenarios!F25/11102600*62203*$D$7</f>
        <v/>
      </c>
      <c r="F20" s="138">
        <f>Scenarios!F26/11102600*62203*$D$7</f>
        <v/>
      </c>
      <c r="G20" s="138">
        <f>Scenarios!F27/11102600*62203*$D$7</f>
        <v/>
      </c>
      <c r="H20" s="138">
        <f>Scenarios!F28/11102600*62203*$D$7</f>
        <v/>
      </c>
      <c r="I20" s="138">
        <f>Scenarios!F29/11102600*62203*$D$7</f>
        <v/>
      </c>
    </row>
    <row r="21" ht="28" customHeight="1">
      <c r="A21" s="23">
        <f> Adjusted EBIT (Phase 1)</f>
        <v/>
      </c>
      <c r="B21" s="9" t="inlineStr">
        <is>
          <t>Reported EBIT plus non-recurring add-backs.</t>
        </is>
      </c>
      <c r="C21" s="165" t="inlineStr">
        <is>
          <t>NOPAT Bridge tab: Phase 1 subtotal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64" t="inlineStr">
        <is>
          <t>LULU FY2025 10-K: interest on lease liabilities (supplemental)</t>
        </is>
      </c>
      <c r="D23" s="158" t="n">
        <v>1028</v>
      </c>
      <c r="E23" s="138">
        <f>1028*(Scenarios!F25/11102600)</f>
        <v/>
      </c>
      <c r="F23" s="138">
        <f>1028*(Scenarios!F26/11102600)</f>
        <v/>
      </c>
      <c r="G23" s="138">
        <f>1028*(Scenarios!F27/11102600)</f>
        <v/>
      </c>
      <c r="H23" s="138">
        <f>1028*(Scenarios!F28/11102600)</f>
        <v/>
      </c>
      <c r="I23" s="138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64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64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>
        <f> EBIT after lease &amp; capitalization (Phase 2)</f>
        <v/>
      </c>
      <c r="B26" s="9" t="inlineStr">
        <is>
          <t>Phase 1 plus lease / R&amp;D adjustments.</t>
        </is>
      </c>
      <c r="C26" s="165" t="inlineStr">
        <is>
          <t>NOPAT Bridge tab: Phase 2 subtotal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64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64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64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Not % of consolidated revenue; store EBIT ÷.</t>
        </is>
      </c>
      <c r="C31" s="164" t="inlineStr">
        <is>
          <t>FY2025 10-K: company-operated stores net revenue</t>
        </is>
      </c>
      <c r="D31" s="22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Not % of consolidated revenue; e-commerce EBIT ÷.</t>
        </is>
      </c>
      <c r="C32" s="164" t="inlineStr">
        <is>
          <t>FY2025 10-K: e-commerce net revenue</t>
        </is>
      </c>
      <c r="D32" s="22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Not % of consolidated revenue; other-channel EBIT ÷.</t>
        </is>
      </c>
      <c r="C33" s="164" t="inlineStr">
        <is>
          <t>FY2025 10-K: other channels (residual)</t>
        </is>
      </c>
      <c r="D33" s="22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sector EBIT (Phase 3).</t>
        </is>
      </c>
      <c r="C34" s="165" t="inlineStr">
        <is>
          <t>NOPAT Bridge tab: sector EBIT subtotal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>
        <f> EBIT after channel mix (Phase 3)</f>
        <v/>
      </c>
      <c r="B35" s="9" t="inlineStr">
        <is>
          <t>Channel-mix EBIT output (Phase 3).</t>
        </is>
      </c>
      <c r="C35" s="165" t="inlineStr">
        <is>
          <t>NOPAT Bridge tab: Phase 3 subtotal</t>
        </is>
      </c>
      <c r="D35" s="160" t="n">
        <v>2203273.345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>
        <f> Normalized EBIT (tax base for NOPAT)</f>
        <v/>
      </c>
      <c r="B36" s="9" t="inlineStr">
        <is>
          <t>FY25 walk-through Phases 1–2.</t>
        </is>
      </c>
      <c r="C36" s="165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64" t="inlineStr">
        <is>
          <t>LULU FY2025 10-K: income tax &amp; interest expense</t>
        </is>
      </c>
      <c r="D39" s="129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65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65" t="inlineStr">
        <is>
          <t>NOPAT Bridge tab: normalized NOPAT</t>
        </is>
      </c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/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15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15" customHeight="1">
      <c r="A6" s="16" t="inlineStr">
        <is>
          <t>Revenue growth %</t>
        </is>
      </c>
      <c r="B6" t="inlineStr">
        <is>
          <t>Minus 6.1% FY26 revenue per company guidance midpoint.</t>
        </is>
      </c>
      <c r="C6" s="164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t="inlineStr">
        <is>
          <t>56.6% FY25 gross margin held flat in forecast.</t>
        </is>
      </c>
      <c r="C7" s="164" t="inlineStr">
        <is>
          <t>LULU FY2025 10-K: Gross profit &amp; COGS</t>
        </is>
      </c>
      <c r="D7" s="129" t="n">
        <v>0.566005440167168</v>
      </c>
      <c r="E7" s="136">
        <f>Scenarios!$F$14</f>
        <v/>
      </c>
      <c r="F7" s="136">
        <f>Scenarios!$F$14</f>
        <v/>
      </c>
      <c r="G7" s="136">
        <f>Scenarios!$F$14</f>
        <v/>
      </c>
      <c r="H7" s="136">
        <f>Scenarios!$F$14</f>
        <v/>
      </c>
      <c r="I7" s="136">
        <f>Scenarios!$F$14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15" customHeight="1">
      <c r="A9" s="16" t="inlineStr">
        <is>
          <t>Clean / run-rate EBIT margin %</t>
        </is>
      </c>
      <c r="B9" t="inlineStr">
        <is>
          <t>13.2% clean OM from Q2 run-rate ex tariff.</t>
        </is>
      </c>
      <c r="C9" s="164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134.5M tariff refund in FY26 only.</t>
        </is>
      </c>
      <c r="C10" s="164" t="inlineStr">
        <is>
          <t>Q2 FY2026 release: $134.5M IEEPA tariff refunds</t>
        </is>
      </c>
      <c r="D10" s="22" t="n">
        <v>0</v>
      </c>
      <c r="E10" s="138">
        <f>Scenarios!$F$7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of sales from FY25 D&amp;A over revenue.</t>
        </is>
      </c>
      <c r="C15" s="164" t="inlineStr">
        <is>
          <t>LULU CF statement (10-K)</t>
        </is>
      </c>
      <c r="E15" s="136">
        <f>Scenarios!$F$12</f>
        <v/>
      </c>
      <c r="F15" s="136">
        <f>Scenarios!$F$12</f>
        <v/>
      </c>
      <c r="G15" s="136">
        <f>Scenarios!$F$12</f>
        <v/>
      </c>
      <c r="H15" s="136">
        <f>Scenarios!$F$12</f>
        <v/>
      </c>
      <c r="I15" s="136">
        <f>Scenarios!$F$12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" customHeight="1">
      <c r="A17" s="16" t="inlineStr">
        <is>
          <t>Capex % of revenue</t>
        </is>
      </c>
      <c r="B17" t="inlineStr">
        <is>
          <t>5.5% model rate; FY26 7% capex guide fades down.</t>
        </is>
      </c>
      <c r="C17" s="164" t="inlineStr">
        <is>
          <t>LULU 10-K: 2026 capex guide $725–745M Also: Q2 FY2026 outlook: $10.350B–$10.500B sales</t>
        </is>
      </c>
      <c r="E17" s="136">
        <f>Scenarios!$F$13</f>
        <v/>
      </c>
      <c r="F17" s="136">
        <f>Scenarios!$F$13</f>
        <v/>
      </c>
      <c r="G17" s="136">
        <f>Scenarios!$F$13</f>
        <v/>
      </c>
      <c r="H17" s="136">
        <f>Scenarios!$F$13</f>
        <v/>
      </c>
      <c r="I17" s="136">
        <f>Scenarios!$F$13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NWC schedule nets to 13.2% of FY25 sales.</t>
        </is>
      </c>
      <c r="C19" s="128" t="inlineStr">
        <is>
          <t>LULU FY2025 10-K: working-capital components</t>
        </is>
      </c>
    </row>
    <row r="20" ht="15" customHeight="1">
      <c r="A20" s="16" t="inlineStr">
        <is>
          <t>DSO (days) - flat vs FY25</t>
        </is>
      </c>
      <c r="B20" t="inlineStr">
        <is>
          <t>6.3 days DSO held flat vs FY25 actual.</t>
        </is>
      </c>
      <c r="C20" s="164" t="inlineStr">
        <is>
          <t>LULU FY2025 10-K: Accounts receivable, net</t>
        </is>
      </c>
      <c r="D20" s="159" t="n">
        <v>6.267883648875038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15" customHeight="1">
      <c r="A21" s="16" t="inlineStr">
        <is>
          <t>Accounts receivable, net</t>
        </is>
      </c>
      <c r="B21" t="inlineStr">
        <is>
          <t>AR 1.7% of sales from FY25 balance sheet.</t>
        </is>
      </c>
      <c r="C21" s="164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" customHeight="1">
      <c r="A22" s="16" t="inlineStr">
        <is>
          <t>DIO (days) - FY25 anchor, -1 day/yr</t>
        </is>
      </c>
      <c r="B22" t="inlineStr">
        <is>
          <t>128.8 day DIO anchor; minus 1 day per year.</t>
        </is>
      </c>
      <c r="C22" s="164" t="inlineStr">
        <is>
          <t>LULU FY2025 10-K: Inventories &amp; COGS Also: LULU FY2025 10-K: inventory &amp; markdown outlook</t>
        </is>
      </c>
      <c r="D22" s="159" t="n">
        <v>128.8324100108167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5" customHeight="1">
      <c r="A23" s="16" t="inlineStr">
        <is>
          <t>Inventories</t>
        </is>
      </c>
      <c r="B23" t="inlineStr">
        <is>
          <t>Inventory dollar balance driven by DIO times COGS.</t>
        </is>
      </c>
      <c r="C23" s="164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15" customHeight="1">
      <c r="A24" s="16" t="inlineStr">
        <is>
          <t>DPO (days) - flat vs FY25</t>
        </is>
      </c>
      <c r="B24" t="inlineStr">
        <is>
          <t>25.1 days DPO held flat vs FY25 actual.</t>
        </is>
      </c>
      <c r="C24" s="164" t="inlineStr">
        <is>
          <t>LULU FY2025 10-K: Accounts payable &amp; COGS</t>
        </is>
      </c>
      <c r="D24" s="159" t="n">
        <v>25.10521290169407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15" customHeight="1">
      <c r="A25" s="16" t="inlineStr">
        <is>
          <t>Accounts payable</t>
        </is>
      </c>
      <c r="B25" t="inlineStr">
        <is>
          <t>AP 3.0% of sales from FY25 payables balance.</t>
        </is>
      </c>
      <c r="C25" s="164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15" customHeight="1">
      <c r="A26" s="16" t="inlineStr">
        <is>
          <t>Prepaid expenses (% of revenue)</t>
        </is>
      </c>
      <c r="B26" t="inlineStr">
        <is>
          <t>5.1% of revenue from FY25 other current assets.</t>
        </is>
      </c>
      <c r="C26" s="164" t="inlineStr">
        <is>
          <t>LULU FY2025 10-K: other current assets (residual)</t>
        </is>
      </c>
      <c r="D26" s="129" t="n">
        <v>0.05080692810692991</v>
      </c>
      <c r="E26" s="136">
        <f>Scenarios!$F$19</f>
        <v/>
      </c>
      <c r="F26" s="136">
        <f>Scenarios!$F$19</f>
        <v/>
      </c>
      <c r="G26" s="136">
        <f>Scenarios!$F$19</f>
        <v/>
      </c>
      <c r="H26" s="136">
        <f>Scenarios!$F$19</f>
        <v/>
      </c>
      <c r="I26" s="136">
        <f>Scenarios!$F$19</f>
        <v/>
      </c>
    </row>
    <row r="27" ht="15" customHeight="1">
      <c r="A27" s="16" t="inlineStr">
        <is>
          <t>Prepaid expenses (other current assets)</t>
        </is>
      </c>
      <c r="B27" t="inlineStr">
        <is>
          <t>5.1% of revenue from FY25 other current assets.</t>
        </is>
      </c>
      <c r="C27" s="164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15" customHeight="1">
      <c r="A28" s="16" t="inlineStr">
        <is>
          <t>Accrued liabilities (% of revenue)</t>
        </is>
      </c>
      <c r="B28" t="inlineStr">
        <is>
          <t>6.0% of revenue from FY25 accrued liabilities balance.</t>
        </is>
      </c>
      <c r="C28" s="164" t="inlineStr">
        <is>
          <t>LULU FY2025 10-K: Accrued liabilities and other</t>
        </is>
      </c>
      <c r="D28" s="129" t="n">
        <v>0.05971412101669879</v>
      </c>
      <c r="E28" s="136">
        <f>Scenarios!$F$20</f>
        <v/>
      </c>
      <c r="F28" s="136">
        <f>Scenarios!$F$20</f>
        <v/>
      </c>
      <c r="G28" s="136">
        <f>Scenarios!$F$20</f>
        <v/>
      </c>
      <c r="H28" s="136">
        <f>Scenarios!$F$20</f>
        <v/>
      </c>
      <c r="I28" s="136">
        <f>Scenarios!$F$20</f>
        <v/>
      </c>
    </row>
    <row r="29" ht="15" customHeight="1">
      <c r="A29" s="16" t="inlineStr">
        <is>
          <t>Accrued liabilities and other</t>
        </is>
      </c>
      <c r="B29" t="inlineStr">
        <is>
          <t>6.0% of revenue from FY25 accrued liabilities balance.</t>
        </is>
      </c>
      <c r="C29" s="164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15" customHeight="1">
      <c r="A30" s="16" t="inlineStr">
        <is>
          <t>Current operating assets (AR + inv + prepaids)</t>
        </is>
      </c>
      <c r="B30" t="inlineStr">
        <is>
          <t>Operating assets sum to 22.1% of FY25 sales.</t>
        </is>
      </c>
      <c r="C30" s="164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15" customHeight="1">
      <c r="A31" s="16" t="inlineStr">
        <is>
          <t>Current operating liabilities (AP + accruals)</t>
        </is>
      </c>
      <c r="B31" t="inlineStr">
        <is>
          <t>Operating liabilities sum to 9.0% of FY25 sales.</t>
        </is>
      </c>
      <c r="C31" s="164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15" customHeight="1">
      <c r="A32" s="23" t="inlineStr">
        <is>
          <t>Net working capital</t>
        </is>
      </c>
      <c r="B32" t="inlineStr">
        <is>
          <t>Net working capital equals 13.2% of FY25 sales.</t>
        </is>
      </c>
      <c r="C32" s="164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15" customHeight="1">
      <c r="A33" s="23" t="inlineStr">
        <is>
          <t>Delta NWC (prior yr - current yr)</t>
        </is>
      </c>
      <c r="B33" t="inlineStr">
        <is>
          <t>Year-over-year dollar change in net working capital schedule.</t>
        </is>
      </c>
      <c r="C33" s="164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1/(1+Scenarios!$F$9)^E36</f>
        <v/>
      </c>
      <c r="F37" s="147">
        <f>1/(1+Scenarios!$F$9)^F36</f>
        <v/>
      </c>
      <c r="G37" s="147">
        <f>1/(1+Scenarios!$F$9)^G36</f>
        <v/>
      </c>
      <c r="H37" s="147">
        <f>1/(1+Scenarios!$F$9)^H36</f>
        <v/>
      </c>
      <c r="I37" s="147">
        <f>1/(1+Scenarios!$F$9)^I36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anchored to FRED GDPC1 macro series.</t>
        </is>
      </c>
      <c r="C43" s="164" t="inlineStr">
        <is>
          <t>FRED: Real GDP (GDPC1)</t>
        </is>
      </c>
      <c r="D43" s="136">
        <f>Scenarios!$F$10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I35*(1+Scenarios!$F$10)/(Scenarios!$F$9-Scenarios!$F$10)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I35/D44*(1+Scenarios!$F$10)/(Scenarios!$F$9-Scenarios!$F$10)</f>
        <v/>
      </c>
    </row>
    <row r="48">
      <c r="A48" s="23" t="inlineStr">
        <is>
          <t>PV of terminal value</t>
        </is>
      </c>
      <c r="D48" s="138">
        <f>D45/(1+Scenarios!$F$9)^I36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64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64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64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64" t="inlineStr">
        <is>
          <t>NASDAQ</t>
        </is>
      </c>
      <c r="D57" s="157" t="n">
        <v>100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0"/>
    <row r="61"/>
    <row r="62">
      <c r="A62" s="93" t="inlineStr">
        <is>
          <t>SHARE REPURCHASE &amp; EPS ACCRETION SCHEDULE</t>
        </is>
      </c>
      <c r="D62" s="13" t="n"/>
    </row>
    <row r="63">
      <c r="A63" s="26" t="n"/>
    </row>
    <row r="64"/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7"/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/>
    <row r="72">
      <c r="A72" s="16" t="inlineStr">
        <is>
          <t>Projected share price ($)</t>
        </is>
      </c>
      <c r="D72" s="157" t="n">
        <v>100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6"/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14.1783354282636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Gordon terminal value divided by FY30 EBITDA multiple.</t>
        </is>
      </c>
      <c r="C82" s="164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D83/(1+Scenarios!$F$9)^I36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  <c r="B90">
        <f>E45</f>
        <v/>
      </c>
      <c r="C90" s="126">
        <f>E83</f>
        <v/>
      </c>
    </row>
    <row r="91">
      <c r="A91" s="23" t="inlineStr">
        <is>
          <t>Exit EV/EBITDA (implied vs selected)</t>
        </is>
      </c>
      <c r="B91">
        <f>E46</f>
        <v/>
      </c>
      <c r="C91" s="126">
        <f>E82</f>
        <v/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  <c r="B93">
        <f>E56</f>
        <v/>
      </c>
      <c r="C93" s="126">
        <f>E86</f>
        <v/>
      </c>
    </row>
    <row r="94">
      <c r="A94" s="68" t="n"/>
    </row>
    <row r="95"/>
    <row r="96"/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Sensitivity grid; terminal g spans 1.5% to 3.0%.</t>
        </is>
      </c>
      <c r="C98" s="164" t="inlineStr">
        <is>
          <t>FRED: Real GDP (GDPC1)</t>
        </is>
      </c>
      <c r="E98" s="151" t="n">
        <v>0.015</v>
      </c>
      <c r="F98" s="151" t="n">
        <v>0.02</v>
      </c>
      <c r="G98" s="151" t="n">
        <v>0.0225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64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64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64" t="inlineStr">
        <is>
          <t>Release</t>
        </is>
      </c>
      <c r="D7" s="159" t="n">
        <v>9.609999999999999</v>
      </c>
    </row>
    <row r="8" ht="28" customHeight="1">
      <c r="A8" s="16" t="inlineStr">
        <is>
          <t>Cash &amp; equivalents</t>
        </is>
      </c>
      <c r="C8" s="164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64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64" t="inlineStr">
        <is>
          <t>NASDAQ</t>
        </is>
      </c>
      <c r="D10" s="157" t="n">
        <v>100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65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65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65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65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65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65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65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65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65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65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65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64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64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64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No page prints Alo or Color Image EBITDA..</t>
        </is>
      </c>
      <c r="C36" s="165" t="inlineStr">
        <is>
          <t>None — no EBITDA source</t>
        </is>
      </c>
      <c r="D36" s="140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64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64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64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1"/>
    <row r="62" ht="28" customHeight="1">
      <c r="A62" s="124" t="inlineStr">
        <is>
          <t>Current price</t>
        </is>
      </c>
      <c r="C62" s="164" t="inlineStr">
        <is>
          <t>NASDAQ</t>
        </is>
      </c>
      <c r="D62" s="21" t="n">
        <v>100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2026-09-10T03:45:10Z</dcterms:modified>
  <cp:lastModifiedBy>Microsoft Excel</cp:lastModifiedBy>
  <cp:revision>1</cp:revision>
</cp:coreProperties>
</file>
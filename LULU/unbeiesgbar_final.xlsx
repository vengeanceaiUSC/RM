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FRED macro anchor. AAA blue-chip proxy; durable rate anchor for unlevered FCF. Source: https://fred.stlouisfed.org/series/DGS10</t>
      </text>
    </comment>
    <comment ref="D4" authorId="0" shapeId="0">
      <text>
        <t>Damodaran implied ERP reference. Conservative ERP overlay vs implied market ERP. Source: https://www.stern.nyu.edu/~adamodar/New_Home_Page/datafile/histimpl.html</t>
      </text>
    </comment>
    <comment ref="D5" authorId="0" shapeId="0">
      <text>
        <t>Q2 FY26 management guidance. Cash tax assumption for Hamada relever and NOPAT. Source: https://corporate.lululemon.com/newsroom/press-releases/2026/09-03-2026-210528733</t>
      </text>
    </comment>
    <comment ref="D8" authorId="0" shapeId="0">
      <text>
        <t>NASDAQ last-sale cross-check. Market equity input for capital structure and beta relever. Source: https://www.nasdaq.com/market-activity/stocks/lulu</t>
      </text>
    </comment>
    <comment ref="D9" authorId="0" shapeId="0">
      <text>
        <t>FY25 10-K anchor. High-conviction analyst overlay on reported baseline. Source: https://www.sec.gov/Archives/edgar/data/1397187/000139718726000020/lulu-20260201.htm</t>
      </text>
    </comment>
    <comment ref="D10" authorId="0" shapeId="0">
      <text>
        <t>Model cross-reference. Share price row × shares outstanding row on this tab. High-conviction analyst overlay on reported baseline.</t>
      </text>
    </comment>
    <comment ref="D11" authorId="0" shapeId="0">
      <text>
        <t>FY25 10-K anchor. ASC 842 lease debt equivalent in capital structure. Source: https://www.sec.gov/Archives/edgar/data/1397187/000139718726000020/lulu-20260201.htm</t>
      </text>
    </comment>
    <comment ref="D12" authorId="0" shapeId="0">
      <text>
        <t>FY25 10-K anchor. ASC 842 lease debt equivalent in capital structure. Source: https://www.sec.gov/Archives/edgar/data/1397187/000139718726000020/lulu-20260201.htm</t>
      </text>
    </comment>
    <comment ref="D16" authorId="0" shapeId="0">
      <text>
        <t>Yahoo Finance market-data cross-check. Hamada beta chain; margin-of-safety discount rate input. Source: https://finance.yahoo.com/quote/LULU/key-statistics/</t>
      </text>
    </comment>
    <comment ref="D17" authorId="0" shapeId="0">
      <text>
        <t>Yahoo Finance market-data cross-check. ASC 842 lease debt equivalent in capital structure. Source: https://finance.yahoo.com/quote/LULU/key-statistics/</t>
      </text>
    </comment>
    <comment ref="D18" authorId="0" shapeId="0">
      <text>
        <t>Yahoo Finance market-data cross-check. Market equity input for capital structure and beta relever. Source: https://finance.yahoo.com/quote/LULU/key-statistics/</t>
      </text>
    </comment>
    <comment ref="D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D20" authorId="0" shapeId="0">
      <text>
        <t>Yahoo Finance market-data cross-check. High-conviction analyst overlay on reported baseline. Source: https://finance.yahoo.com/quote/LULU/key-statistics/</t>
      </text>
    </comment>
    <comment ref="D21" authorId="0" shapeId="0">
      <text>
        <t>Yahoo Finance market-data cross-check. βu = E[βL] ÷ (1 + 0.70 × E[D/E Yahoo]). Hamada beta chain; margin-of-safety discount rate input.</t>
      </text>
    </comment>
    <comment ref="D22" authorId="0" shapeId="0">
      <text>
        <t>Model cross-reference. D/E = E[FY25 lease debt] ÷ E[market cap]. ASC 842 lease debt equivalent in capital structure.</t>
      </text>
    </comment>
    <comment ref="D23" authorId="0" shapeId="0">
      <text>
        <t>Damodaran implied ERP reference. Hamada beta chain; margin-of-safety discount rate input. Source: https://www.stern.nyu.edu/~adamodar/New_Home_Page/datafile/Betas.html</t>
      </text>
    </comment>
    <comment ref="D24" authorId="0" shapeId="0">
      <text>
        <t>Model cross-reference. YAHOO KEY STATISTICS; βL + debt + equity on ONE page (No vendor publishes the D/E… Hamada beta chain; margin-of-safety discount rate input.</t>
      </text>
    </comment>
    <comment ref="D30" authorId="0" shapeId="0">
      <text>
        <t>FY25 10-K anchor. ASC 842 lease debt equivalent in capital structure. Source: https://www.sec.gov/Archives/edgar/data/1397187/000139718726000020/lulu-20260201.htm</t>
      </text>
    </comment>
    <comment ref="D34" authorId="0" shapeId="0">
      <text>
        <t>Model cross-reference. Equity weight = market cap ÷ (market cap + lease debt). High-conviction analyst overlay on reported baseline.</t>
      </text>
    </comment>
    <comment ref="D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F4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F5" authorId="0" shapeId="0">
      <text>
        <t>StockAnalysis consensus forecast. Operating assumption with durable cash-flow read-through. Source: https://stockanalysis.com/stocks/lulu/statistics/</t>
      </text>
    </comment>
    <comment ref="F6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F7" authorId="0" shapeId="0">
      <text>
        <t>Q2 FY26 management guidance. High-conviction analyst overlay on reported baseline. Source: https://corporate.lululemon.com/newsroom/press-releases/2026/09-03-2026-210528733</t>
      </text>
    </comment>
    <comment ref="F8" authorId="0" shapeId="0">
      <text>
        <t>FY25 10-K anchor. Operating assumption with durable cash-flow read-through. Source: https://www.sec.gov/Archives/edgar/data/1397187/000139718726000020/lulu-20260201.htm</t>
      </text>
    </comment>
    <comment ref="F9" authorId="0" shapeId="0">
      <text>
        <t>Model cross-reference. WACC tab to green cell = rf 4.8% + relevered β × ERP 6.0% Lease-adjusted WACC; base case for DCF and sensitivity.</t>
      </text>
    </comment>
    <comment ref="F10" authorId="0" shapeId="0">
      <text>
        <t>FRED macro anchor. High-conviction analyst overlay on reported baseline. Source: https://fred.stlouisfed.org/series/GDPC1</t>
      </text>
    </comment>
    <comment ref="F11" authorId="0" shapeId="0">
      <text>
        <t>Q2 FY26 management guidance. Cash tax assumption for Hamada relever and NOPAT. Source: https://corporate.lululemon.com/newsroom/press-releases/2026/09-03-2026-210528733</t>
      </text>
    </comment>
    <comment ref="F12" authorId="0" shapeId="0">
      <text>
        <t>FY25 10-K anchor. Operating assumption with durable cash-flow read-through. Source: https://www.sec.gov/Archives/edgar/data/1397187/000139718726000020/lulu-20260201.htm</t>
      </text>
    </comment>
    <comment ref="F13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F14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F15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F16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F17" authorId="0" shapeId="0">
      <text>
        <t>FY25 10-K anchor. Not % of revenue; DIO −1 day/yr (−5 days FY26–30). Working-capital driver; supports unlevered FCF bridge. Source: https://www.sec.gov/Archives/edgar/data/1397187/000139718726000020/lulu-20260201.htm</t>
      </text>
    </comment>
    <comment ref="F18" authorId="0" shapeId="0">
      <text>
        <t>FY25 10-K anchor. to 331,421 ($000) to 4,818,468 ($000) Not % of revenue; DPO ≈ 25.1 days. Working-capital driver; supports unlevered FCF bridge. Source: https://www.sec.gov/Archives/edgar/data/1397187/000139718726000020/lulu-20260201.htm</t>
      </text>
    </comment>
    <comment ref="F19" authorId="0" shapeId="0">
      <text>
        <t>FY25 10-K anchor. to 211,620 ($000) to 352,469 ($000) 5.1% of revenue (flat). Operating assumption with durable cash-flow read-through. Source: https://www.sec.gov/Archives/edgar/data/1397187/000139718726000020/lulu-20260201.htm</t>
      </text>
    </comment>
    <comment ref="F20" authorId="0" shapeId="0">
      <text>
        <t>FY25 10-K anchor. to 662,982 ($000) to 11,102,600 ($000) 6.0% of revenue (flat). Operating assumption with durable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High-conviction analyst overlay on reported baseline.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High-conviction analyst overlay on reported baseline. Source: https://www.sec.gov/Archives/edgar/data/1397187/000139718726000020/lulu-20260201.htm</t>
      </text>
    </comment>
    <comment ref="C15" authorId="0" shapeId="0">
      <text>
        <t>FY25 10-K anchor. High-conviction analyst overlay on reported baseline. Source: https://www.sec.gov/Archives/edgar/data/1397187/000139718726000020/lulu-20260201.htm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High-conviction analyst overlay on reported baseline. Source: https://www.sec.gov/Archives/edgar/data/1397187/000139718726000020/lulu-20260201.htm</t>
      </text>
    </comment>
    <comment ref="C24" authorId="0" shapeId="0">
      <text>
        <t>FY25 10-K anchor. High-conviction analyst overlay on reported baseline. Source: https://www.sec.gov/Archives/edgar/data/1397187/000139718726000020/lulu-20260201.htm</t>
      </text>
    </comment>
    <comment ref="C25" authorId="0" shapeId="0">
      <text>
        <t>FY25 10-K anchor. High-conviction analyst overlay on reported baseline. Source: https://www.sec.gov/Archives/edgar/data/1397187/000139718726000020/lulu-20260201.htm</t>
      </text>
    </comment>
    <comment ref="C26" authorId="0" shapeId="0">
      <text>
        <t>FY25 10-K anchor. High-conviction analyst overlay on reported baseline. Source: https://www.sec.gov/Archives/edgar/data/1397187/000139718726000020/lulu-20260201.htm</t>
      </text>
    </comment>
    <comment ref="C27" authorId="0" shapeId="0">
      <text>
        <t>FY25 10-K anchor. High-conviction analyst overlay on reported baseline. Source: https://www.sec.gov/Archives/edgar/data/1397187/000139718726000020/lulu-20260201.htm</t>
      </text>
    </comment>
    <comment ref="C28" authorId="0" shapeId="0">
      <text>
        <t>FY25 10-K anchor. Operating assumption with durable cash-flow read-through. Source: https://www.sec.gov/Archives/edgar/data/1397187/000139718726000020/lulu-20260201.htm</t>
      </text>
    </comment>
    <comment ref="C31" authorId="0" shapeId="0">
      <text>
        <t>FY25 10-K anchor. Operating assumption with durable cash-flow read-through. Source: https://www.sec.gov/Archives/edgar/data/1397187/000139718726000020/lulu-20260201.htm</t>
      </text>
    </comment>
    <comment ref="C32" authorId="0" shapeId="0">
      <text>
        <t>FY25 10-K anchor. High-conviction analyst overlay on reported baseline. Source: https://www.sec.gov/Archives/edgar/data/1397187/000139718726000020/lulu-20260201.htm</t>
      </text>
    </comment>
    <comment ref="C33" authorId="0" shapeId="0">
      <text>
        <t>FY25 10-K anchor. High-conviction analyst overlay on reported baseline. Source: https://www.sec.gov/Archives/edgar/data/1397187/000139718726000020/lulu-20260201.htm</t>
      </text>
    </comment>
    <comment ref="C34" authorId="0" shapeId="0">
      <text>
        <t>FY25 10-K anchor. High-conviction analyst overlay on reported baseline. Source: https://www.sec.gov/Archives/edgar/data/1397187/000139718726000020/lulu-20260201.htm</t>
      </text>
    </comment>
    <comment ref="C38" authorId="0" shapeId="0">
      <text>
        <t>FY25 10-K anchor. High-conviction analyst overlay on reported baseline. Source: https://www.sec.gov/Archives/edgar/data/1397187/000139718726000020/lulu-20260201.htm</t>
      </text>
    </comment>
    <comment ref="C39" authorId="0" shapeId="0">
      <text>
        <t>FY25 10-K anchor. High-conviction analyst overlay on reported baseline. Source: https://www.sec.gov/Archives/edgar/data/1397187/000139718726000020/lulu-20260201.htm</t>
      </text>
    </comment>
    <comment ref="C40" authorId="0" shapeId="0">
      <text>
        <t>FY25 10-K anchor. High-conviction analyst overlay on reported baseline. Source: https://www.sec.gov/Archives/edgar/data/1397187/000139718726000020/lulu-20260201.htm</t>
      </text>
    </comment>
    <comment ref="C41" authorId="0" shapeId="0">
      <text>
        <t>FY25 10-K anchor. Operating assumption with durable cash-flow read-through. Source: https://www.sec.gov/Archives/edgar/data/1397187/000139718726000020/lulu-20260201.htm</t>
      </text>
    </comment>
    <comment ref="C45" authorId="0" shapeId="0">
      <text>
        <t>FY25 10-K anchor. High-conviction analyst overlay on reported baseline. Source: https://www.sec.gov/Archives/edgar/data/1397187/000139718726000020/lulu-20260201.htm</t>
      </text>
    </comment>
    <comment ref="C46" authorId="0" shapeId="0">
      <text>
        <t>FY25 10-K anchor. Operating assumption with durable cash-flow read-through. Source: https://www.sec.gov/Archives/edgar/data/1397187/000139718726000020/lulu-20260201.htm</t>
      </text>
    </comment>
    <comment ref="C47" authorId="0" shapeId="0">
      <text>
        <t>FY25 10-K anchor. Operating assumption with durable cash-flow read-through. Source: https://www.sec.gov/Archives/edgar/data/1397187/000139718726000020/lulu-20260201.htm</t>
      </text>
    </comment>
    <comment ref="C48" authorId="0" shapeId="0">
      <text>
        <t>FY25 10-K anchor. Operating assumption with durable cash-flow read-through. Source: https://www.sec.gov/Archives/edgar/data/1397187/000139718726000020/lulu-20260201.htm</t>
      </text>
    </comment>
    <comment ref="C49" authorId="0" shapeId="0">
      <text>
        <t>FY25 10-K anchor. Operating assumption with durable cash-flow read-through. Source: https://www.sec.gov/Archives/edgar/data/1397187/000139718726000020/lulu-20260201.htm</t>
      </text>
    </comment>
    <comment ref="C50" authorId="0" shapeId="0">
      <text>
        <t>FY25 10-K anchor. Operating assumption with durable cash-flow read-through. Source: https://www.sec.gov/Archives/edgar/data/1397187/000139718726000020/lulu-20260201.htm</t>
      </text>
    </comment>
    <comment ref="C51" authorId="0" shapeId="0">
      <text>
        <t>FY25 10-K anchor. Operating assumption with durable cash-flow read-through. Source: https://www.sec.gov/Archives/edgar/data/1397187/000139718726000020/lulu-20260201.htm</t>
      </text>
    </comment>
    <comment ref="C55" authorId="0" shapeId="0">
      <text>
        <t>FY25 10-K anchor. Operating assumption with durable cash-flow read-through. Source: https://www.sec.gov/Archives/edgar/data/1397187/000139718726000020/lulu-20260201.htm</t>
      </text>
    </comment>
    <comment ref="C56" authorId="0" shapeId="0">
      <text>
        <t>FY25 10-K anchor. Operating assumption with durable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E9" authorId="0" shapeId="0">
      <text>
        <t>FY25 10-K anchor. Not consolidated EBIT margin; EBIT ÷ store revenue only (cf. Operating assumption with durable cash-flow read-through. Source: https://www.sec.gov/Archives/edgar/data/1397187/000139718726000020/lulu-20260201.htm</t>
      </text>
    </comment>
    <comment ref="E10" authorId="0" shapeId="0">
      <text>
        <t>FY25 10-K anchor. Not consolidated EBIT margin; EBIT ÷ e-commerce revenue only (cf. Operating assumption with durable cash-flow read-through. Source: https://www.sec.gov/Archives/edgar/data/1397187/000139718726000020/lulu-20260201.htm</t>
      </text>
    </comment>
    <comment ref="E11" authorId="0" shapeId="0">
      <text>
        <t>FY25 10-K anchor. Not consolidated EBIT margin; EBIT ÷ other-channel revenue only (cf. Operating assumption with durable cash-flow read-through. Source: https://www.sec.gov/Archives/edgar/data/1397187/000139718726000020/lulu-20260201.htm</t>
      </text>
    </comment>
    <comment ref="E12" authorId="0" shapeId="0">
      <text>
        <t>Q2 FY26 management guidance. Cash tax assumption for Hamada relever and NOPAT. Source: https://corporate.lululemon.com/newsroom/press-releases/2026/09-03-2026-210528733</t>
      </text>
    </comment>
    <comment ref="E13" authorId="0" shapeId="0">
      <text>
        <t>Driver tab linkage. Amortization period if R&amp;D capitalized (3–5 yr convention). High-conviction analyst overlay on reported baseline.</t>
      </text>
    </comment>
    <comment ref="E16" authorId="0" shapeId="0">
      <text>
        <t>FY25 10-K anchor. High-conviction analyst overlay on reported baseline. Source: https://www.sec.gov/Archives/edgar/data/1397187/000139718726000020/lulu-20260201.htm</t>
      </text>
    </comment>
    <comment ref="E17" authorId="0" shapeId="0">
      <text>
        <t>FY25 10-K anchor. High-conviction analyst overlay on reported baseline. Source: https://www.sec.gov/Archives/edgar/data/1397187/000139718726000020/lulu-20260201.htm</t>
      </text>
    </comment>
    <comment ref="E18" authorId="0" shapeId="0">
      <text>
        <t>FY25 10-K anchor. High-conviction analyst overlay on reported baseline. Source: https://www.sec.gov/Archives/edgar/data/1397187/000139718726000020/lulu-20260201.htm</t>
      </text>
    </comment>
    <comment ref="E19" authorId="0" shapeId="0">
      <text>
        <t>FY25 10-K anchor. One-off legal/M&amp;A fees in SG&amp;A; none identified FY25. High-conviction analyst overlay on reported baseline. Source: https://www.sec.gov/Archives/edgar/data/1397187/000139718726000020/lulu-20260201.htm</t>
      </text>
    </comment>
    <comment ref="E20" authorId="0" shapeId="0">
      <text>
        <t>FY25 10-K anchor. to 62,203 ($000) FY25 reference. High-conviction analyst overlay on reported baseline. Source: https://www.sec.gov/Archives/edgar/data/1397187/000139718726000020/lulu-20260201.htm</t>
      </text>
    </comment>
    <comment ref="E21" authorId="0" shapeId="0">
      <text>
        <t>Driver tab linkage. Sum of reported EBIT + Phase 1 add-backs on this tab. High-conviction analyst overlay on reported baseline.</t>
      </text>
    </comment>
    <comment ref="E23" authorId="0" shapeId="0">
      <text>
        <t>FY25 10-K anchor. to 1,028 ($000) supplemental cash-flow disclosure. ASC 842 lease debt equivalent in capital structure. Source: https://www.sec.gov/Archives/edgar/data/1397187/000139718726000020/lulu-20260201.htm</t>
      </text>
    </comment>
    <comment ref="E24" authorId="0" shapeId="0">
      <text>
        <t>FY25 10-K anchor. R&amp;D / software capitalization; LULU immaterial; held at $0. High-conviction analyst overlay on reported baseline. Source: https://www.sec.gov/Archives/edgar/data/1397187/000139718726000020/lulu-20260201.htm</t>
      </text>
    </comment>
    <comment ref="E25" authorId="0" shapeId="0">
      <text>
        <t>FY25 10-K anchor. Amortization of prior capitalized intangibles; netted in D&amp;A line. High-conviction analyst overlay on reported baseline. Source: https://www.sec.gov/Archives/edgar/data/1397187/000139718726000020/lulu-20260201.htm</t>
      </text>
    </comment>
    <comment ref="E26" authorId="0" shapeId="0">
      <text>
        <t>Driver tab linkage. Phase 1 + lease interest + R&amp;D cap − amortization. ASC 842 lease debt equivalent in capital structure.</t>
      </text>
    </comment>
    <comment ref="E28" authorId="0" shapeId="0">
      <text>
        <t>FY25 10-K anchor. Revenue Drivers tab to store-channel revenue row. Operating assumption with durable cash-flow read-through. Source: https://www.sec.gov/Archives/edgar/data/1397187/000139718726000020/lulu-20260201.htm</t>
      </text>
    </comment>
    <comment ref="E29" authorId="0" shapeId="0">
      <text>
        <t>FY25 10-K anchor. Revenue Drivers tab to e-commerce revenue row. Operating assumption with durable cash-flow read-through. Source: https://www.sec.gov/Archives/edgar/data/1397187/000139718726000020/lulu-20260201.htm</t>
      </text>
    </comment>
    <comment ref="E30" authorId="0" shapeId="0">
      <text>
        <t>FY25 10-K anchor. Revenue Drivers tab to other channels revenue row. Operating assumption with durable cash-flow read-through. Source: https://www.sec.gov/Archives/edgar/data/1397187/000139718726000020/lulu-20260201.htm</t>
      </text>
    </comment>
    <comment ref="E31" authorId="0" shapeId="0">
      <text>
        <t>FY25 10-K anchor. Not consolidated EBIT margin; store EBIT ÷ store revenue only. Operating assumption with durable cash-flow read-through. Source: https://www.sec.gov/Archives/edgar/data/1397187/000139718726000020/lulu-20260201.htm</t>
      </text>
    </comment>
    <comment ref="E32" authorId="0" shapeId="0">
      <text>
        <t>FY25 10-K anchor. Not consolidated EBIT margin; e-commerce EBIT ÷ e-commerce revenue only. Operating assumption with durable cash-flow read-through. Source: https://www.sec.gov/Archives/edgar/data/1397187/000139718726000020/lulu-20260201.htm</t>
      </text>
    </comment>
    <comment ref="E33" authorId="0" shapeId="0">
      <text>
        <t>FY25 10-K anchor. Not consolidated EBIT margin; other-channel EBIT ÷ other revenue only. Operating assumption with durable cash-flow read-through. Source: https://www.sec.gov/Archives/edgar/data/1397187/000139718726000020/lulu-20260201.htm</t>
      </text>
    </comment>
    <comment ref="E34" authorId="0" shapeId="0">
      <text>
        <t>Driver tab linkage. Sum of sector EBIT rows. High-conviction analyst overlay on reported baseline.</t>
      </text>
    </comment>
    <comment ref="E35" authorId="0" shapeId="0">
      <text>
        <t>FY25 10-K anchor. Channel EBIT subtotal (Phase 3). High-conviction analyst overlay on reported baseline. Source: https://www.sec.gov/Archives/edgar/data/1397187/000139718726000020/lulu-20260201.htm</t>
      </text>
    </comment>
    <comment ref="E36" authorId="0" shapeId="0">
      <text>
        <t>Scenarios tab: base-case EBIT (forecast) FY25: Phase 1–2 formula. High-conviction analyst overlay on reported baseline.</t>
      </text>
    </comment>
    <comment ref="E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E40" authorId="0" shapeId="0">
      <text>
        <t>Driver tab linkage. Normalized EBIT × t_operating; unlevered tax (no debt shield). High-conviction analyst overlay on reported baseline.</t>
      </text>
    </comment>
    <comment ref="E41" authorId="0" shapeId="0">
      <text>
        <t>Driver tab linkage. EBIT_norm − unlevered tax. High-conviction analyst overlay on reported baseline.</t>
      </text>
    </comment>
    <comment ref="E45" authorId="0" shapeId="0">
      <text>
        <t>EBIT = 13.2% × rev + tariff; SBC stays expensed (flag = 0). DCF unchanged. High-conviction analyst overlay on reported baseline.</t>
      </text>
    </comment>
    <comment ref="E46" authorId="0" shapeId="0">
      <text>
        <t>R&amp;D/software expensed in full each year ($0 for LULU). DCF unchanged. High-conviction analyst overlay on reported baseline.</t>
      </text>
    </comment>
    <comment ref="E47" authorId="0" shapeId="0">
      <text>
        <t>Rent in opex; no implied lease-interest add-back. DCF unchanged. ASC 842 lease debt equivalent in capital structure.</t>
      </text>
    </comment>
    <comment ref="E48" authorId="0" shapeId="0">
      <text>
        <t>DCF uses consolidated 13.2% on total revenue (+ tariff). DCF unchanged. High-conviction analyst overlay on reported baseline.</t>
      </text>
    </comment>
    <comment ref="E49" authorId="0" shapeId="0">
      <text>
        <t>NOPAT = EBIT × (1 − 30%) flat sc_tax. NOPAT = EBIT × (1 − t_operating) — same EBIT, slightly higher NOPAT. High-conviction analyst overlay on reported baseline.</t>
      </text>
    </comment>
    <comment ref="E50" authorId="0" shapeId="0">
      <text>
        <t>EBIT = Rev × 13.2% only (no refund). + $134,500k in FY26 — DCF uses this. High-conviction analyst overlay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D3" authorId="0" shapeId="0">
      <text>
        <t>FY25 10-K anchor. High-conviction analyst overlay on reported baseline. Source: https://www.sec.gov/Archives/edgar/data/1397187/000139718726000020/lulu-20260201.htm</t>
      </text>
    </comment>
    <comment ref="E5" authorId="0" shapeId="0">
      <text>
        <t>FY25 10-K anchor. Operating assumption with durable cash-flow read-through. Source: https://www.sec.gov/Archives/edgar/data/1397187/000139718726000020/lulu-20260201.htm</t>
      </text>
    </comment>
    <comment ref="E6" authorId="0" shapeId="0">
      <text>
        <t>Q2 FY26 management guidance. Also: Operating assumption with durable cash-flow read-through. Source: https://corporate.lululemon.com/newsroom/press-releases/2026/09-03-2026-210528733</t>
      </text>
    </comment>
    <comment ref="E7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E8" authorId="0" shapeId="0">
      <text>
        <t>FY25 10-K anchor. High-conviction analyst overlay on reported baseline. Source: https://www.sec.gov/Archives/edgar/data/1397187/000139718726000020/lulu-20260201.htm</t>
      </text>
    </comment>
    <comment ref="E9" authorId="0" shapeId="0">
      <text>
        <t>FY25 10-K anchor. Also: Operating assumption with durable cash-flow read-through. Source: https://corporate.lululemon.com/newsroom/press-releases/2026/09-03-2026-210528733</t>
      </text>
    </comment>
    <comment ref="E10" authorId="0" shapeId="0">
      <text>
        <t>FY25 10-K anchor. High-conviction analyst overlay on reported baseline. Source: https://corporate.lululemon.com/newsroom/press-releases/2026/09-03-2026-210528733 Source: https://www.sec.gov/Archives/edgar/data/1397187/000139718726000020/lulu-20260201.htm</t>
      </text>
    </comment>
    <comment ref="E11" authorId="0" shapeId="0">
      <text>
        <t>FY25 10-K anchor. High-conviction analyst overlay on reported baseline. Source: https://www.sec.gov/Archives/edgar/data/1397187/000139718726000020/lulu-20260201.htm</t>
      </text>
    </comment>
    <comment ref="E12" authorId="0" shapeId="0">
      <text>
        <t>FY25 10-K anchor. Operating assumption with durable cash-flow read-through. Source: https://www.sec.gov/Archives/edgar/data/1397187/000139718726000020/lulu-20260201.htm</t>
      </text>
    </comment>
    <comment ref="E15" authorId="0" shapeId="0">
      <text>
        <t>FY25 10-K anchor. Operating assumption with durable cash-flow read-through. Source: https://www.sec.gov/Archives/edgar/data/1397187/000139718726000020/lulu-20260201.htm</t>
      </text>
    </comment>
    <comment ref="E17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E20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E21" authorId="0" shapeId="0">
      <text>
        <t>FY25 10-K anchor. Implied ~1.7% of revenue (= 190,657 ÷ 11,102,600); not a direct % plug. High-conviction analyst overlay on reported baseline. Source: https://www.sec.gov/Archives/edgar/data/1397187/000139718726000020/lulu-20260201.htm</t>
      </text>
    </comment>
    <comment ref="E22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E23" authorId="0" shapeId="0">
      <text>
        <t>FY25 10-K anchor. Not % of revenue; Inventories_t = (DIO_t ÷ 365) × COGS_t. High-conviction analyst overlay on reported baseline. Source: https://www.sec.gov/Archives/edgar/data/1397187/000139718726000020/lulu-20260201.htm</t>
      </text>
    </comment>
    <comment ref="E24" authorId="0" shapeId="0">
      <text>
        <t>FY25 10-K anchor. to 331,421 ($000) to 4,818,468 ($000) Not % of revenue; DPO ≈ 25.1 days. Working-capital driver; supports unlevered FCF bridge. Source: https://www.sec.gov/Archives/edgar/data/1397187/000139718726000020/lulu-20260201.htm</t>
      </text>
    </comment>
    <comment ref="E25" authorId="0" shapeId="0">
      <text>
        <t>FY25 10-K anchor. to 331,421 ($000) to 11,102,600 ($000) Implied ~3.0% of revenue (= 331,421 ÷ 11,102,600);… High-conviction analyst overlay on reported baseline. Source: https://www.sec.gov/Archives/edgar/data/1397187/000139718726000020/lulu-20260201.htm</t>
      </text>
    </comment>
    <comment ref="E26" authorId="0" shapeId="0">
      <text>
        <t>FY25 10-K anchor. to 211,620 ($000) to 352,469 ($000) 5.1% of revenue (flat). Operating assumption with durable cash-flow read-through. Source: https://www.sec.gov/Archives/edgar/data/1397187/000139718726000020/lulu-20260201.htm</t>
      </text>
    </comment>
    <comment ref="E27" authorId="0" shapeId="0">
      <text>
        <t>FY25 10-K anchor. to 211,620 ($000) to 352,469 ($000) 5.1% of revenue (flat). High-conviction analyst overlay on reported baseline. Source: https://www.sec.gov/Archives/edgar/data/1397187/000139718726000020/lulu-20260201.htm</t>
      </text>
    </comment>
    <comment ref="E28" authorId="0" shapeId="0">
      <text>
        <t>FY25 10-K anchor. to 662,982 ($000) to 11,102,600 ($000) 6.0% of revenue (flat). Operating assumption with durable cash-flow read-through. Source: https://www.sec.gov/Archives/edgar/data/1397187/000139718726000020/lulu-20260201.htm</t>
      </text>
    </comment>
    <comment ref="E29" authorId="0" shapeId="0">
      <text>
        <t>FY25 10-K anchor. to 662,982 ($000) to 11,102,600 ($000) 6.0% of revenue (flat). High-conviction analyst overlay on reported baseline. Source: https://www.sec.gov/Archives/edgar/data/1397187/000139718726000020/lulu-20260201.htm</t>
      </text>
    </comment>
    <comment ref="E30" authorId="0" shapeId="0">
      <text>
        <t>Scenarios tab: AR + inventory + prepaids Not one % of revenue; sum of line items. High-conviction analyst overlay on reported baseline.</t>
      </text>
    </comment>
    <comment ref="E31" authorId="0" shapeId="0">
      <text>
        <t>Scenarios tab: AP + accrued liabilities Not one % of revenue; sum of line items. High-conviction analyst overlay on reported baseline.</t>
      </text>
    </comment>
    <comment ref="E32" authorId="0" shapeId="0">
      <text>
        <t>FY25 10-K anchor. Not one % of revenue; net balance. High-conviction analyst overlay on reported baseline. Source: https://www.sec.gov/Archives/edgar/data/1397187/000139718726000020/lulu-20260201.htm</t>
      </text>
    </comment>
    <comment ref="E33" authorId="0" shapeId="0">
      <text>
        <t>Scenarios tab: NWC roll-forward (driver schedule) Not % of revenue; $ change year-over-year. High-conviction analyst overlay on reported baseline.</t>
      </text>
    </comment>
    <comment ref="D43" authorId="0" shapeId="0">
      <text>
        <t>FRED macro anchor. High-conviction analyst overlay on reported baseline. Source: https://fred.stlouisfed.org/series/GDPC1</t>
      </text>
    </comment>
    <comment ref="D50" authorId="0" shapeId="0">
      <text>
        <t>FY25 10-K anchor. High-conviction analyst overlay on reported baseline. Source: https://www.sec.gov/Archives/edgar/data/1397187/000139718726000020/lulu-20260201.htm</t>
      </text>
    </comment>
    <comment ref="D51" authorId="0" shapeId="0">
      <text>
        <t>FY25 10-K anchor. ASC 842 lease debt equivalent in capital structure. Source: https://www.sec.gov/Archives/edgar/data/1397187/000139718726000020/lulu-20260201.htm</t>
      </text>
    </comment>
    <comment ref="D55" authorId="0" shapeId="0">
      <text>
        <t>FY25 10-K anchor. High-conviction analyst overlay on reported baseline. Source: https://www.sec.gov/Archives/edgar/data/1397187/000139718726000020/lulu-20260201.htm</t>
      </text>
    </comment>
    <comment ref="D57" authorId="0" shapeId="0">
      <text>
        <t>NASDAQ last-sale cross-check. Market equity input for capital structure and beta relever. Source: https://www.nasdaq.com/market-activity/stocks/lulu</t>
      </text>
    </comment>
    <comment ref="D82" authorId="0" shapeId="0">
      <text>
        <t>DCF: Gordon implied exit (TV / FY30 EBITDA) No peer High-conviction analyst overlay on reported baseline.</t>
      </text>
    </comment>
    <comment ref="E98" authorId="0" shapeId="0">
      <text>
        <t>FRED macro anchor. Lease-adjusted WACC; base case for DCF and sensitivity. Source: https://fred.stlouisfed.org/series/GDPC1</t>
      </text>
    </comment>
    <comment ref="E99" authorId="0" shapeId="0">
      <text>
        <t>Damodaran implied ERP reference. WACC tab to green WACC cell ~9.0%. High-conviction analyst overlay on reported baseline. Source: https://www.stern.nyu.edu/~adamodar/New_Home_Page/datafile/histimpl.html</t>
      </text>
    </comment>
    <comment ref="E100" authorId="0" shapeId="0">
      <text>
        <t>0.1 WACC tab to green WACC cell ~9.0%. High-conviction analyst overlay on reported baseline.</t>
      </text>
    </comment>
    <comment ref="E101" authorId="0" shapeId="0">
      <text>
        <t>0.105 WACC tab to green WACC cell ~9.0%. High-conviction analyst overlay on reported baseline.</t>
      </text>
    </comment>
    <comment ref="E102" authorId="0" shapeId="0">
      <text>
        <t>0.11 WACC tab to green WACC cell ~9.0%. High-conviction analyst overlay on reported baseline.</t>
      </text>
    </comment>
    <comment ref="E103" authorId="0" shapeId="0">
      <text>
        <t>0.115 WACC tab to green WACC cell ~9.0%. High-conviction analyst overlay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D4" authorId="0" shapeId="0">
      <text>
        <t>FY25 10-K anchor. Operating assumption with durable cash-flow read-through. Source: https://www.sec.gov/Archives/edgar/data/1397187/000139718726000020/lulu-20260201.htm</t>
      </text>
    </comment>
    <comment ref="D6" authorId="0" shapeId="0">
      <text>
        <t>↳ DCF base case High-conviction analyst overlay on reported baseline.</t>
      </text>
    </comment>
    <comment ref="D7" authorId="0" shapeId="0">
      <text>
        <t>Q2 FY26 management guidance. Working-capital driver; supports unlevered FCF bridge. Source: https://corporate.lululemon.com/newsroom/press-releases/2026/09-03-2026-210528733</t>
      </text>
    </comment>
    <comment ref="D8" authorId="0" shapeId="0">
      <text>
        <t>FY25 10-K anchor. High-conviction analyst overlay on reported baseline. Source: https://www.sec.gov/Archives/edgar/data/1397187/000139718726000020/lulu-20260201.htm</t>
      </text>
    </comment>
    <comment ref="D9" authorId="0" shapeId="0">
      <text>
        <t>FY25 10-K anchor. High-conviction analyst overlay on reported baseline. Source: https://www.sec.gov/Archives/edgar/data/1397187/000139718726000020/lulu-20260201.htm</t>
      </text>
    </comment>
    <comment ref="D10" authorId="0" shapeId="0">
      <text>
        <t>NASDAQ last-sale cross-check. Market equity input for capital structure and beta relever. Source: https://www.nasdaq.com/market-activity/stocks/lulu</t>
      </text>
    </comment>
    <comment ref="D18" authorId="0" shapeId="0">
      <text>
        <t>Source High-conviction analyst overlay on reported baseline.</t>
      </text>
    </comment>
    <comment ref="D19" authorId="0" shapeId="0">
      <text>
        <t>PitchBook comps set (EV / TTM EBITDA). No public HTML. Peer multiple reference; not the selected terminal value.</t>
      </text>
    </comment>
    <comment ref="D20" authorId="0" shapeId="0">
      <text>
        <t>PitchBook comps set (EV / TTM EBITDA). No public HTML. Peer multiple reference; not the selected terminal value.</t>
      </text>
    </comment>
    <comment ref="D21" authorId="0" shapeId="0">
      <text>
        <t>PitchBook comps set (EV / TTM EBITDA). No public HTML. Peer multiple reference; not the selected terminal value.</t>
      </text>
    </comment>
    <comment ref="D22" authorId="0" shapeId="0">
      <text>
        <t>PitchBook comps set (EV / TTM EBITDA). No public HTML. Peer multiple reference; not the selected terminal value.</t>
      </text>
    </comment>
    <comment ref="D23" authorId="0" shapeId="0">
      <text>
        <t>PitchBook comps set (EV / TTM EBITDA). No public HTML. Peer multiple reference; not the selected terminal value.</t>
      </text>
    </comment>
    <comment ref="D24" authorId="0" shapeId="0">
      <text>
        <t>PitchBook comps set (EV / TTM EBITDA). No public HTML. Peer multiple reference; not the selected terminal value.</t>
      </text>
    </comment>
    <comment ref="D25" authorId="0" shapeId="0">
      <text>
        <t>PitchBook comps set (EV / TTM EBITDA). No public HTML. Peer multiple reference; not the selected terminal value.</t>
      </text>
    </comment>
    <comment ref="D26" authorId="0" shapeId="0">
      <text>
        <t>PitchBook comps set (EV / TTM EBITDA). No public HTML. Peer multiple reference; not the selected terminal value.</t>
      </text>
    </comment>
    <comment ref="D27" authorId="0" shapeId="0">
      <text>
        <t>PitchBook comps set (EV / TTM EBITDA). No public HTML. Peer multiple reference; not the selected terminal value.</t>
      </text>
    </comment>
    <comment ref="D28" authorId="0" shapeId="0">
      <text>
        <t>PitchBook comps set (EV / TTM EBITDA). No public HTML. Peer multiple reference; not the selected terminal value.</t>
      </text>
    </comment>
    <comment ref="D29" authorId="0" shapeId="0">
      <text>
        <t>PitchBook comps set (EV / TTM EBITDA). No public HTML. Peer multiple reference; not the selected terminal value.</t>
      </text>
    </comment>
    <comment ref="D33" authorId="0" shapeId="0">
      <text>
        <t>Reuters: Alo parent $10bn Moelis ask Also: Reuters: Alo 2023 process; no deal High-conviction analyst overlay on reported baseline. Source: https://www.reuters.com/markets/deals/alo-yoga-parent-seeks-investment-10-bln-valuation-sources-2023-10-30/</t>
      </text>
    </comment>
    <comment ref="D34" authorId="0" shapeId="0">
      <text>
        <t>Forbes: Color Image nearly $2bn sales High-conviction analyst overlay on reported baseline. Source: https://www.forbes.com/sites/jemimamcevoy/2025/04/01/the-founders-of-this-lululemon-rival-are-worth-nearly-5-billion-each/</t>
      </text>
    </comment>
    <comment ref="D35" authorId="0" shapeId="0">
      <text>
        <t>Comps: Alo ask / parent sales No High-conviction analyst overlay on reported baseline.</t>
      </text>
    </comment>
    <comment ref="D36" authorId="0" shapeId="0">
      <text>
        <t>None — no EBITDA source High-conviction analyst overlay on reported baseline.</t>
      </text>
    </comment>
    <comment ref="D39" authorId="0" shapeId="0">
      <text>
        <t>Derived: Excel AVERAGE of the seven core prints Each E cell is I/J from the PitchBook extract. High-conviction analyst overlay on reported baseline.</t>
      </text>
    </comment>
    <comment ref="D40" authorId="0" shapeId="0">
      <text>
        <t>Derived: Excel AVERAGE of every positive-EBITDA row UAA omitted because TTM EBITDA is negative. High-conviction analyst overlay on reported baseline.</t>
      </text>
    </comment>
    <comment ref="D56" authorId="0" shapeId="0">
      <text>
        <t>Source High-conviction analyst overlay on reported baseline.</t>
      </text>
    </comment>
    <comment ref="D57" authorId="0" shapeId="0">
      <text>
        <t>StockAnalysis consensus forecast. Lo: Hi: High-conviction analyst overlay on reported baseline. Source: https://stockanalysis.com/stocks/lulu/statistics/</t>
      </text>
    </comment>
    <comment ref="D58" authorId="0" shapeId="0">
      <text>
        <t>DCF: Gordon implied exit (TV / FY30 EBITDA) No peer High-conviction analyst overlay on reported baseline.</t>
      </text>
    </comment>
    <comment ref="D59" authorId="0" shapeId="0">
      <text>
        <t>StockAnalysis consensus forecast. Lo: Hi: High-conviction analyst overlay on reported baseline. Source: https://stockanalysis.com/stocks/lulu/statistics/</t>
      </text>
    </comment>
    <comment ref="D62" authorId="0" shapeId="0">
      <text>
        <t>NASDAQ last-sale cross-check. High-conviction analyst overlay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n"/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36" customHeight="1">
      <c r="B17" s="10" t="n"/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t="inlineStr">
        <is>
          <t>Justification (~20 words) [cols B–D: click + to.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t="inlineStr">
        <is>
          <t>FRED DGS10 anchor (4.8%).</t>
        </is>
      </c>
      <c r="C3" s="126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t="inlineStr">
        <is>
          <t>Damodaran implied ERP + 177bps overlay.</t>
        </is>
      </c>
      <c r="C4" s="126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t="inlineStr">
        <is>
          <t>FY26 mgmt guidance (~30%).</t>
        </is>
      </c>
      <c r="C5" s="126" t="inlineStr">
        <is>
          <t>Q2 FY2026 outlook: tax rate ≈ 30%</t>
        </is>
      </c>
      <c r="D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t="inlineStr">
        <is>
          <t>NASDAQ last sale (~$100.61).</t>
        </is>
      </c>
      <c r="C8" s="126" t="inlineStr">
        <is>
          <t>NASDAQ LULU last sale (current price)</t>
        </is>
      </c>
      <c r="D8" s="21" t="n">
        <v>100.61</v>
      </c>
    </row>
    <row r="9" ht="28" customHeight="1">
      <c r="A9" s="16" t="inlineStr">
        <is>
          <t>Shares outstanding (000)</t>
        </is>
      </c>
      <c r="B9" t="inlineStr">
        <is>
          <t>FY25 10-K share count.</t>
        </is>
      </c>
      <c r="C9" s="126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t="inlineStr">
        <is>
          <t>Price × shares outstanding.</t>
        </is>
      </c>
      <c r="C10" s="126" t="inlineStr">
        <is>
          <t>WACC tab: price × shares</t>
        </is>
      </c>
      <c r="D10" s="25">
        <f>D8*D9</f>
        <v/>
      </c>
    </row>
    <row r="11" ht="28" customHeight="1">
      <c r="A11" s="16" t="inlineStr">
        <is>
          <t>Operating lease liabilities (ASC 842 debt equiv.)</t>
        </is>
      </c>
      <c r="B11" t="inlineStr">
        <is>
          <t>ASC 842 lease debt equiv.</t>
        </is>
      </c>
      <c r="C11" s="126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t="inlineStr">
        <is>
          <t>No term debt (FY25 10-K).</t>
        </is>
      </c>
      <c r="C12" s="126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D13" s="25">
        <f>D11+D12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t="inlineStr">
        <is>
          <t>Yahoo Beta (5Y Monthly) = 0.86. Levered equity.</t>
        </is>
      </c>
      <c r="C16" s="126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t="inlineStr">
        <is>
          <t>Yahoo MRQ total debt.</t>
        </is>
      </c>
      <c r="C17" s="126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beta L)</t>
        </is>
      </c>
      <c r="B18" t="inlineStr">
        <is>
          <t>Yahoo Market Cap = $11.14B on the same.</t>
        </is>
      </c>
      <c r="C18" s="126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/ Yahoo market cap)</t>
        </is>
      </c>
      <c r="B19" t="inlineStr">
        <is>
          <t>Unlever D/E = Yahoo debt (mrq) ÷ Yahoo.</t>
        </is>
      </c>
      <c r="C19" s="126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t="inlineStr">
        <is>
          <t>Yahoo Total Debt/Equity (mrq) = 44.69% is book.</t>
        </is>
      </c>
      <c r="C20" s="126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beta-u</t>
        </is>
      </c>
      <c r="B21" t="inlineStr">
        <is>
          <t>βu = 0.86 ÷ [1 + 0.70 ×.</t>
        </is>
      </c>
      <c r="C21" s="126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t="inlineStr">
        <is>
          <t>FY25 lease debt / mkt cap.</t>
        </is>
      </c>
      <c r="C22" s="126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t="inlineStr">
        <is>
          <t>Benchmark only: Damodaran unlevered Retail (Special Lines) βu.</t>
        </is>
      </c>
      <c r="C23" s="126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t="inlineStr">
        <is>
          <t>Relevered β for CAPM.</t>
        </is>
      </c>
      <c r="C24" s="126" t="inlineStr">
        <is>
          <t>WACC tab: Hamada relever (total D/E incl. leases)</t>
        </is>
      </c>
      <c r="D24" s="29">
        <f>D21*(1+(1-D5)*D22)</f>
        <v/>
      </c>
    </row>
    <row r="25" ht="150" customHeight="1">
      <c r="A25" s="26" t="n"/>
    </row>
    <row r="26">
      <c r="A26" s="14" t="inlineStr">
        <is>
          <t>Cost of equity (CAPM)</t>
        </is>
      </c>
      <c r="B26" t="inlineStr">
        <is>
          <t>Justification (~20 words) [cols B–D: click + to.</t>
        </is>
      </c>
    </row>
    <row r="27">
      <c r="A27" s="23" t="inlineStr">
        <is>
          <t>Cost of equity = rf + beta x ERP</t>
        </is>
      </c>
      <c r="D27" s="30">
        <f>D3+D24*D4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t="inlineStr">
        <is>
          <t>Lease-equivalent borrowing cost.</t>
        </is>
      </c>
      <c r="C30" s="126" t="inlineStr">
        <is>
          <t>LULU FY2025 10-K: lease liabilities &amp; no funded debt</t>
        </is>
      </c>
      <c r="D30" s="20" t="n">
        <v>0.05</v>
      </c>
    </row>
    <row r="31">
      <c r="A31" s="16" t="inlineStr">
        <is>
          <t>After-tax cost of debt</t>
        </is>
      </c>
      <c r="D31" s="31">
        <f>D30*(1-D5)</f>
        <v/>
      </c>
    </row>
    <row r="32"/>
    <row r="33">
      <c r="A33" s="14" t="inlineStr">
        <is>
          <t>WACC weights</t>
        </is>
      </c>
    </row>
    <row r="34">
      <c r="A34" s="16" t="inlineStr">
        <is>
          <t>Equity weight</t>
        </is>
      </c>
      <c r="B34" t="inlineStr">
        <is>
          <t>Mkt cap / total capital.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t="inlineStr">
        <is>
          <t>Lease debt / total capital.</t>
        </is>
      </c>
      <c r="C35" s="126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D36" s="33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t="inlineStr">
        <is>
          <t>Justification (~20 words) [cols B–D: click + to.</t>
        </is>
      </c>
      <c r="C3" t="inlineStr">
        <is>
          <t>Source</t>
        </is>
      </c>
    </row>
    <row r="4" ht="28" customHeight="1">
      <c r="A4" s="16" t="inlineStr">
        <is>
          <t>FY2026E revenue growth</t>
        </is>
      </c>
      <c r="B4" t="inlineStr">
        <is>
          <t>Q2 FY26 mgmt guidance midpoint.</t>
        </is>
      </c>
      <c r="C4" s="126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FY2027-FY2030E revenue growth (avg)</t>
        </is>
      </c>
      <c r="B5" t="inlineStr">
        <is>
          <t>2.3% FY27–30 growth matches StockAnalysis Revenue Growth Forecast.</t>
        </is>
      </c>
      <c r="C5" s="126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t="inlineStr">
        <is>
          <t>Q2 FY26 run-rate OM (ex-tariff).</t>
        </is>
      </c>
      <c r="C6" s="126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t="inlineStr">
        <is>
          <t>FY26 one-time tariff refund.</t>
        </is>
      </c>
      <c r="C7" s="126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t="inlineStr">
        <is>
          <t>Partial recovery vs FY25 OM.</t>
        </is>
      </c>
      <c r="C8" s="126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t="inlineStr">
        <is>
          <t>Lease-adjusted CAPM (WACC tab).</t>
        </is>
      </c>
      <c r="C9" s="126" t="inlineStr">
        <is>
          <t>WACC tab: CAPM build</t>
        </is>
      </c>
      <c r="E9" s="20" t="n">
        <v>0.11</v>
      </c>
      <c r="F9" s="32">
        <f>WACC!D36</f>
        <v/>
      </c>
      <c r="G9" s="20" t="n">
        <v>0.095</v>
      </c>
    </row>
    <row r="10" ht="28" customHeight="1">
      <c r="A10" s="16" t="inlineStr">
        <is>
          <t>Terminal growth</t>
        </is>
      </c>
      <c r="B10" t="inlineStr">
        <is>
          <t>FRED GDPC1 anchor (~2.1%).</t>
        </is>
      </c>
      <c r="C10" s="126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t="inlineStr">
        <is>
          <t>FY26 mgmt guidance (~30%).</t>
        </is>
      </c>
      <c r="C11" s="126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t="inlineStr">
        <is>
          <t>FY25 D&amp;A run-rate vs sales.</t>
        </is>
      </c>
      <c r="C12" s="126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t="inlineStr">
        <is>
          <t>FY26 guide fade to 5.5%.</t>
        </is>
      </c>
      <c r="C13" s="126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t="inlineStr">
        <is>
          <t>Held flat vs FY25 actuals.</t>
        </is>
      </c>
      <c r="C14" s="126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- flat vs FY25</t>
        </is>
      </c>
      <c r="B15" t="inlineStr">
        <is>
          <t>Not % of revenue; DSO (days), flat ~6.3..</t>
        </is>
      </c>
      <c r="C15" s="126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t="inlineStr">
        <is>
          <t>FY25 anchor minus 1 day/yr.</t>
        </is>
      </c>
      <c r="C16" s="126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t="inlineStr">
        <is>
          <t>Minus 1 day per forecast yr.</t>
        </is>
      </c>
      <c r="C17" s="126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- flat vs FY25</t>
        </is>
      </c>
      <c r="B18" t="inlineStr">
        <is>
          <t>Not % of revenue; DPO (days), flat ~25.1..</t>
        </is>
      </c>
      <c r="C18" s="126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t="inlineStr">
        <is>
          <t>FY25 OCA % of revenue.</t>
        </is>
      </c>
      <c r="C19" s="126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t="inlineStr">
        <is>
          <t>FY25 accrued % of revenue.</t>
        </is>
      </c>
      <c r="C20" s="126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500000</v>
      </c>
      <c r="F21" s="37" t="n">
        <v>500000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42">
        <f>11102600*(1+E4)</f>
        <v/>
      </c>
      <c r="F25" s="42">
        <f>11102600*(1+F4)</f>
        <v/>
      </c>
      <c r="G25" s="42">
        <f>11102600*(1+G4)</f>
        <v/>
      </c>
    </row>
    <row r="26">
      <c r="A26" s="41" t="inlineStr">
        <is>
          <t>Revenue - year 2</t>
        </is>
      </c>
      <c r="E26" s="42">
        <f>E25*(1+E5)</f>
        <v/>
      </c>
      <c r="F26" s="42">
        <f>F25*(1+F5)</f>
        <v/>
      </c>
      <c r="G26" s="42">
        <f>G25*(1+G5)</f>
        <v/>
      </c>
    </row>
    <row r="27">
      <c r="A27" s="41" t="inlineStr">
        <is>
          <t>Revenue - year 3</t>
        </is>
      </c>
      <c r="E27" s="42">
        <f>E26*(1+E5)</f>
        <v/>
      </c>
      <c r="F27" s="42">
        <f>F26*(1+F5)</f>
        <v/>
      </c>
      <c r="G27" s="42">
        <f>G26*(1+G5)</f>
        <v/>
      </c>
    </row>
    <row r="28">
      <c r="A28" s="41" t="inlineStr">
        <is>
          <t>Revenue - year 4</t>
        </is>
      </c>
      <c r="E28" s="42">
        <f>E27*(1+E5)</f>
        <v/>
      </c>
      <c r="F28" s="42">
        <f>F27*(1+F5)</f>
        <v/>
      </c>
      <c r="G28" s="42">
        <f>G27*(1+G5)</f>
        <v/>
      </c>
    </row>
    <row r="29">
      <c r="A29" s="41" t="inlineStr">
        <is>
          <t>Revenue - year 5</t>
        </is>
      </c>
      <c r="E29" s="42">
        <f>E28*(1+E5)</f>
        <v/>
      </c>
      <c r="F29" s="42">
        <f>F28*(1+F5)</f>
        <v/>
      </c>
      <c r="G29" s="42">
        <f>G28*(1+G5)</f>
        <v/>
      </c>
    </row>
    <row r="30">
      <c r="A30" s="41" t="inlineStr">
        <is>
          <t>Gross margin % - year 1</t>
        </is>
      </c>
      <c r="E30" s="43">
        <f>E14</f>
        <v/>
      </c>
      <c r="F30" s="43">
        <f>F14</f>
        <v/>
      </c>
      <c r="G30" s="43">
        <f>G14</f>
        <v/>
      </c>
    </row>
    <row r="31">
      <c r="A31" s="41" t="inlineStr">
        <is>
          <t>Gross margin % - year 2</t>
        </is>
      </c>
      <c r="E31" s="43">
        <f>E14</f>
        <v/>
      </c>
      <c r="F31" s="43">
        <f>F14</f>
        <v/>
      </c>
      <c r="G31" s="43">
        <f>G14</f>
        <v/>
      </c>
    </row>
    <row r="32">
      <c r="A32" s="41" t="inlineStr">
        <is>
          <t>Gross margin % - year 3</t>
        </is>
      </c>
      <c r="E32" s="43">
        <f>E14</f>
        <v/>
      </c>
      <c r="F32" s="43">
        <f>F14</f>
        <v/>
      </c>
      <c r="G32" s="43">
        <f>G14</f>
        <v/>
      </c>
    </row>
    <row r="33">
      <c r="A33" s="41" t="inlineStr">
        <is>
          <t>Gross margin % - year 4</t>
        </is>
      </c>
      <c r="E33" s="43">
        <f>E14</f>
        <v/>
      </c>
      <c r="F33" s="43">
        <f>F14</f>
        <v/>
      </c>
      <c r="G33" s="43">
        <f>G14</f>
        <v/>
      </c>
    </row>
    <row r="34">
      <c r="A34" s="41" t="inlineStr">
        <is>
          <t>Gross margin % - year 5</t>
        </is>
      </c>
      <c r="E34" s="43">
        <f>E14</f>
        <v/>
      </c>
      <c r="F34" s="43">
        <f>F14</f>
        <v/>
      </c>
      <c r="G34" s="43">
        <f>G14</f>
        <v/>
      </c>
    </row>
    <row r="35">
      <c r="A35" s="41" t="inlineStr">
        <is>
          <t>Cost of goods sold (COGS) - year 1</t>
        </is>
      </c>
      <c r="E35" s="42">
        <f>E25*(1-E30)</f>
        <v/>
      </c>
      <c r="F35" s="42">
        <f>F25*(1-F30)</f>
        <v/>
      </c>
      <c r="G35" s="42">
        <f>G25*(1-G30)</f>
        <v/>
      </c>
    </row>
    <row r="36">
      <c r="A36" s="41" t="inlineStr">
        <is>
          <t>Cost of goods sold (COGS) - year 2</t>
        </is>
      </c>
      <c r="E36" s="42">
        <f>E26*(1-E31)</f>
        <v/>
      </c>
      <c r="F36" s="42">
        <f>F26*(1-F31)</f>
        <v/>
      </c>
      <c r="G36" s="42">
        <f>G26*(1-G31)</f>
        <v/>
      </c>
    </row>
    <row r="37">
      <c r="A37" s="41" t="inlineStr">
        <is>
          <t>Cost of goods sold (COGS) - year 3</t>
        </is>
      </c>
      <c r="E37" s="42">
        <f>E27*(1-E32)</f>
        <v/>
      </c>
      <c r="F37" s="42">
        <f>F27*(1-F32)</f>
        <v/>
      </c>
      <c r="G37" s="42">
        <f>G27*(1-G32)</f>
        <v/>
      </c>
    </row>
    <row r="38">
      <c r="A38" s="41" t="inlineStr">
        <is>
          <t>Cost of goods sold (COGS) - year 4</t>
        </is>
      </c>
      <c r="E38" s="42">
        <f>E28*(1-E33)</f>
        <v/>
      </c>
      <c r="F38" s="42">
        <f>F28*(1-F33)</f>
        <v/>
      </c>
      <c r="G38" s="42">
        <f>G28*(1-G33)</f>
        <v/>
      </c>
    </row>
    <row r="39">
      <c r="A39" s="41" t="inlineStr">
        <is>
          <t>Cost of goods sold (COGS) - year 5</t>
        </is>
      </c>
      <c r="E39" s="42">
        <f>E29*(1-E34)</f>
        <v/>
      </c>
      <c r="F39" s="42">
        <f>F29*(1-F34)</f>
        <v/>
      </c>
      <c r="G39" s="42">
        <f>G29*(1-G34)</f>
        <v/>
      </c>
    </row>
    <row r="40">
      <c r="A40" s="41" t="inlineStr">
        <is>
          <t>Clean EBIT margin - year 1</t>
        </is>
      </c>
      <c r="E40" s="43">
        <f>E6+(E8-E6)*0/4</f>
        <v/>
      </c>
      <c r="F40" s="43">
        <f>F6+(F8-F6)*0/4</f>
        <v/>
      </c>
      <c r="G40" s="43">
        <f>G6+(G8-G6)*0/4</f>
        <v/>
      </c>
    </row>
    <row r="41">
      <c r="A41" s="41" t="inlineStr">
        <is>
          <t>Clean EBIT margin - year 2</t>
        </is>
      </c>
      <c r="E41" s="43">
        <f>E6+(E8-E6)*1/4</f>
        <v/>
      </c>
      <c r="F41" s="43">
        <f>F6+(F8-F6)*1/4</f>
        <v/>
      </c>
      <c r="G41" s="43">
        <f>G6+(G8-G6)*1/4</f>
        <v/>
      </c>
    </row>
    <row r="42">
      <c r="A42" s="41" t="inlineStr">
        <is>
          <t>Clean EBIT margin - year 3</t>
        </is>
      </c>
      <c r="E42" s="43">
        <f>E6+(E8-E6)*2/4</f>
        <v/>
      </c>
      <c r="F42" s="43">
        <f>F6+(F8-F6)*2/4</f>
        <v/>
      </c>
      <c r="G42" s="43">
        <f>G6+(G8-G6)*2/4</f>
        <v/>
      </c>
    </row>
    <row r="43">
      <c r="A43" s="41" t="inlineStr">
        <is>
          <t>Clean EBIT margin - year 4</t>
        </is>
      </c>
      <c r="E43" s="43">
        <f>E6+(E8-E6)*3/4</f>
        <v/>
      </c>
      <c r="F43" s="43">
        <f>F6+(F8-F6)*3/4</f>
        <v/>
      </c>
      <c r="G43" s="43">
        <f>G6+(G8-G6)*3/4</f>
        <v/>
      </c>
    </row>
    <row r="44">
      <c r="A44" s="41" t="inlineStr">
        <is>
          <t>Clean EBIT margin - year 5</t>
        </is>
      </c>
      <c r="E44" s="43">
        <f>E6+(E8-E6)*4/4</f>
        <v/>
      </c>
      <c r="F44" s="43">
        <f>F6+(F8-F6)*4/4</f>
        <v/>
      </c>
      <c r="G44" s="43">
        <f>G6+(G8-G6)*4/4</f>
        <v/>
      </c>
    </row>
    <row r="45">
      <c r="A45" s="41" t="inlineStr">
        <is>
          <t>EBIT - year 1</t>
        </is>
      </c>
      <c r="E45" s="42">
        <f>E25*E40+E7</f>
        <v/>
      </c>
      <c r="F45" s="42">
        <f>F25*F40+F7</f>
        <v/>
      </c>
      <c r="G45" s="42">
        <f>G25*G40+G7</f>
        <v/>
      </c>
    </row>
    <row r="46">
      <c r="A46" s="41" t="inlineStr">
        <is>
          <t>EBIT - year 2</t>
        </is>
      </c>
      <c r="E46" s="42">
        <f>E26*E41</f>
        <v/>
      </c>
      <c r="F46" s="42">
        <f>F26*F41</f>
        <v/>
      </c>
      <c r="G46" s="42">
        <f>G26*G41</f>
        <v/>
      </c>
    </row>
    <row r="47">
      <c r="A47" s="41" t="inlineStr">
        <is>
          <t>EBIT - year 3</t>
        </is>
      </c>
      <c r="E47" s="42">
        <f>E27*E42</f>
        <v/>
      </c>
      <c r="F47" s="42">
        <f>F27*F42</f>
        <v/>
      </c>
      <c r="G47" s="42">
        <f>G27*G42</f>
        <v/>
      </c>
    </row>
    <row r="48">
      <c r="A48" s="41" t="inlineStr">
        <is>
          <t>EBIT - year 4</t>
        </is>
      </c>
      <c r="E48" s="42">
        <f>E28*E43</f>
        <v/>
      </c>
      <c r="F48" s="42">
        <f>F28*F43</f>
        <v/>
      </c>
      <c r="G48" s="42">
        <f>G28*G43</f>
        <v/>
      </c>
    </row>
    <row r="49">
      <c r="A49" s="41" t="inlineStr">
        <is>
          <t>EBIT - year 5</t>
        </is>
      </c>
      <c r="E49" s="42">
        <f>E29*E44</f>
        <v/>
      </c>
      <c r="F49" s="42">
        <f>F29*F44</f>
        <v/>
      </c>
      <c r="G49" s="42">
        <f>G29*G44</f>
        <v/>
      </c>
    </row>
    <row r="50">
      <c r="A50" s="41" t="inlineStr">
        <is>
          <t>NOPAT - year 1</t>
        </is>
      </c>
      <c r="E50" s="42">
        <f>E45*(1-'NOPAT Bridge'!E$39)</f>
        <v/>
      </c>
      <c r="F50" s="42">
        <f>'NOPAT Bridge'!E41</f>
        <v/>
      </c>
      <c r="G50" s="42">
        <f>G45*(1-'NOPAT Bridge'!E$39)</f>
        <v/>
      </c>
    </row>
    <row r="51">
      <c r="A51" s="41" t="inlineStr">
        <is>
          <t>NOPAT - year 2</t>
        </is>
      </c>
      <c r="E51" s="42">
        <f>E46*(1-'NOPAT Bridge'!F$39)</f>
        <v/>
      </c>
      <c r="F51" s="42">
        <f>'NOPAT Bridge'!F41</f>
        <v/>
      </c>
      <c r="G51" s="42">
        <f>G46*(1-'NOPAT Bridge'!F$39)</f>
        <v/>
      </c>
    </row>
    <row r="52">
      <c r="A52" s="41" t="inlineStr">
        <is>
          <t>NOPAT - year 3</t>
        </is>
      </c>
      <c r="E52" s="42">
        <f>E47*(1-'NOPAT Bridge'!G$39)</f>
        <v/>
      </c>
      <c r="F52" s="42">
        <f>'NOPAT Bridge'!G41</f>
        <v/>
      </c>
      <c r="G52" s="42">
        <f>G47*(1-'NOPAT Bridge'!G$39)</f>
        <v/>
      </c>
    </row>
    <row r="53">
      <c r="A53" s="41" t="inlineStr">
        <is>
          <t>NOPAT - year 4</t>
        </is>
      </c>
      <c r="E53" s="42">
        <f>E48*(1-'NOPAT Bridge'!H$39)</f>
        <v/>
      </c>
      <c r="F53" s="42">
        <f>'NOPAT Bridge'!H41</f>
        <v/>
      </c>
      <c r="G53" s="42">
        <f>G48*(1-'NOPAT Bridge'!H$39)</f>
        <v/>
      </c>
    </row>
    <row r="54">
      <c r="A54" s="41" t="inlineStr">
        <is>
          <t>NOPAT - year 5</t>
        </is>
      </c>
      <c r="E54" s="42">
        <f>E49*(1-'NOPAT Bridge'!I$39)</f>
        <v/>
      </c>
      <c r="F54" s="42">
        <f>'NOPAT Bridge'!I41</f>
        <v/>
      </c>
      <c r="G54" s="42">
        <f>G49*(1-'NOPAT Bridge'!I$39)</f>
        <v/>
      </c>
    </row>
    <row r="55">
      <c r="A55" s="41" t="inlineStr">
        <is>
          <t>D&amp;A - year 1</t>
        </is>
      </c>
      <c r="E55" s="42">
        <f>E25*E12</f>
        <v/>
      </c>
      <c r="F55" s="42">
        <f>F25*F12</f>
        <v/>
      </c>
      <c r="G55" s="42">
        <f>G25*G12</f>
        <v/>
      </c>
    </row>
    <row r="56">
      <c r="A56" s="41" t="inlineStr">
        <is>
          <t>D&amp;A - year 2</t>
        </is>
      </c>
      <c r="E56" s="42">
        <f>E26*E12</f>
        <v/>
      </c>
      <c r="F56" s="42">
        <f>F26*F12</f>
        <v/>
      </c>
      <c r="G56" s="42">
        <f>G26*G12</f>
        <v/>
      </c>
    </row>
    <row r="57">
      <c r="A57" s="41" t="inlineStr">
        <is>
          <t>D&amp;A - year 3</t>
        </is>
      </c>
      <c r="E57" s="42">
        <f>E27*E12</f>
        <v/>
      </c>
      <c r="F57" s="42">
        <f>F27*F12</f>
        <v/>
      </c>
      <c r="G57" s="42">
        <f>G27*G12</f>
        <v/>
      </c>
    </row>
    <row r="58">
      <c r="A58" s="41" t="inlineStr">
        <is>
          <t>D&amp;A - year 4</t>
        </is>
      </c>
      <c r="E58" s="42">
        <f>E28*E12</f>
        <v/>
      </c>
      <c r="F58" s="42">
        <f>F28*F12</f>
        <v/>
      </c>
      <c r="G58" s="42">
        <f>G28*G12</f>
        <v/>
      </c>
    </row>
    <row r="59">
      <c r="A59" s="41" t="inlineStr">
        <is>
          <t>D&amp;A - year 5</t>
        </is>
      </c>
      <c r="E59" s="42">
        <f>E29*E12</f>
        <v/>
      </c>
      <c r="F59" s="42">
        <f>F29*F12</f>
        <v/>
      </c>
      <c r="G59" s="42">
        <f>G29*G12</f>
        <v/>
      </c>
    </row>
    <row r="60">
      <c r="A60" s="41" t="inlineStr">
        <is>
          <t>Capex - year 1</t>
        </is>
      </c>
      <c r="E60" s="42">
        <f>E25*E13</f>
        <v/>
      </c>
      <c r="F60" s="42">
        <f>F25*F13</f>
        <v/>
      </c>
      <c r="G60" s="42">
        <f>G25*G13</f>
        <v/>
      </c>
    </row>
    <row r="61">
      <c r="A61" s="41" t="inlineStr">
        <is>
          <t>Capex - year 2</t>
        </is>
      </c>
      <c r="E61" s="42">
        <f>E26*E13</f>
        <v/>
      </c>
      <c r="F61" s="42">
        <f>F26*F13</f>
        <v/>
      </c>
      <c r="G61" s="42">
        <f>G26*G13</f>
        <v/>
      </c>
    </row>
    <row r="62">
      <c r="A62" s="41" t="inlineStr">
        <is>
          <t>Capex - year 3</t>
        </is>
      </c>
      <c r="E62" s="42">
        <f>E27*E13</f>
        <v/>
      </c>
      <c r="F62" s="42">
        <f>F27*F13</f>
        <v/>
      </c>
      <c r="G62" s="42">
        <f>G27*G13</f>
        <v/>
      </c>
    </row>
    <row r="63">
      <c r="A63" s="41" t="inlineStr">
        <is>
          <t>Capex - year 4</t>
        </is>
      </c>
      <c r="E63" s="42">
        <f>E28*E13</f>
        <v/>
      </c>
      <c r="F63" s="42">
        <f>F28*F13</f>
        <v/>
      </c>
      <c r="G63" s="42">
        <f>G28*G13</f>
        <v/>
      </c>
    </row>
    <row r="64">
      <c r="A64" s="41" t="inlineStr">
        <is>
          <t>Capex - year 5</t>
        </is>
      </c>
      <c r="E64" s="42">
        <f>E29*E13</f>
        <v/>
      </c>
      <c r="F64" s="42">
        <f>F29*F13</f>
        <v/>
      </c>
      <c r="G64" s="42">
        <f>G29*G13</f>
        <v/>
      </c>
    </row>
    <row r="65">
      <c r="A65" s="41" t="inlineStr">
        <is>
          <t>DSO (days) - year 1</t>
        </is>
      </c>
      <c r="E65" s="44">
        <f>E15</f>
        <v/>
      </c>
      <c r="F65" s="44">
        <f>F15</f>
        <v/>
      </c>
      <c r="G65" s="44">
        <f>G15</f>
        <v/>
      </c>
    </row>
    <row r="66">
      <c r="A66" s="41" t="inlineStr">
        <is>
          <t>DSO (days) - year 2</t>
        </is>
      </c>
      <c r="E66" s="44">
        <f>E15</f>
        <v/>
      </c>
      <c r="F66" s="44">
        <f>F15</f>
        <v/>
      </c>
      <c r="G66" s="44">
        <f>G15</f>
        <v/>
      </c>
    </row>
    <row r="67">
      <c r="A67" s="41" t="inlineStr">
        <is>
          <t>DSO (days) - year 3</t>
        </is>
      </c>
      <c r="E67" s="44">
        <f>E15</f>
        <v/>
      </c>
      <c r="F67" s="44">
        <f>F15</f>
        <v/>
      </c>
      <c r="G67" s="44">
        <f>G15</f>
        <v/>
      </c>
    </row>
    <row r="68">
      <c r="A68" s="41" t="inlineStr">
        <is>
          <t>DSO (days) - year 4</t>
        </is>
      </c>
      <c r="E68" s="44">
        <f>E15</f>
        <v/>
      </c>
      <c r="F68" s="44">
        <f>F15</f>
        <v/>
      </c>
      <c r="G68" s="44">
        <f>G15</f>
        <v/>
      </c>
    </row>
    <row r="69">
      <c r="A69" s="41" t="inlineStr">
        <is>
          <t>DSO (days) - year 5</t>
        </is>
      </c>
      <c r="E69" s="44">
        <f>E15</f>
        <v/>
      </c>
      <c r="F69" s="44">
        <f>F15</f>
        <v/>
      </c>
      <c r="G69" s="44">
        <f>G15</f>
        <v/>
      </c>
    </row>
    <row r="70">
      <c r="A70" s="41" t="inlineStr">
        <is>
          <t>Accounts receivable - year 1</t>
        </is>
      </c>
      <c r="E70" s="42">
        <f>(E65/365)*E25</f>
        <v/>
      </c>
      <c r="F70" s="42">
        <f>(F65/365)*F25</f>
        <v/>
      </c>
      <c r="G70" s="42">
        <f>(G65/365)*G25</f>
        <v/>
      </c>
    </row>
    <row r="71">
      <c r="A71" s="41" t="inlineStr">
        <is>
          <t>Accounts receivable - year 2</t>
        </is>
      </c>
      <c r="E71" s="42">
        <f>(E66/365)*E26</f>
        <v/>
      </c>
      <c r="F71" s="42">
        <f>(F66/365)*F26</f>
        <v/>
      </c>
      <c r="G71" s="42">
        <f>(G66/365)*G26</f>
        <v/>
      </c>
    </row>
    <row r="72">
      <c r="A72" s="41" t="inlineStr">
        <is>
          <t>Accounts receivable - year 3</t>
        </is>
      </c>
      <c r="E72" s="42">
        <f>(E67/365)*E27</f>
        <v/>
      </c>
      <c r="F72" s="42">
        <f>(F67/365)*F27</f>
        <v/>
      </c>
      <c r="G72" s="42">
        <f>(G67/365)*G27</f>
        <v/>
      </c>
    </row>
    <row r="73">
      <c r="A73" s="41" t="inlineStr">
        <is>
          <t>Accounts receivable - year 4</t>
        </is>
      </c>
      <c r="E73" s="42">
        <f>(E68/365)*E28</f>
        <v/>
      </c>
      <c r="F73" s="42">
        <f>(F68/365)*F28</f>
        <v/>
      </c>
      <c r="G73" s="42">
        <f>(G68/365)*G28</f>
        <v/>
      </c>
    </row>
    <row r="74">
      <c r="A74" s="41" t="inlineStr">
        <is>
          <t>Accounts receivable - year 5</t>
        </is>
      </c>
      <c r="E74" s="42">
        <f>(E69/365)*E29</f>
        <v/>
      </c>
      <c r="F74" s="42">
        <f>(F69/365)*F29</f>
        <v/>
      </c>
      <c r="G74" s="42">
        <f>(G69/365)*G29</f>
        <v/>
      </c>
    </row>
    <row r="75">
      <c r="A75" s="41" t="inlineStr">
        <is>
          <t>DIO (days) - year 1</t>
        </is>
      </c>
      <c r="E75" s="44">
        <f>E16-E17*1</f>
        <v/>
      </c>
      <c r="F75" s="44">
        <f>F16-F17*1</f>
        <v/>
      </c>
      <c r="G75" s="44">
        <f>G16-G17*1</f>
        <v/>
      </c>
    </row>
    <row r="76">
      <c r="A76" s="41" t="inlineStr">
        <is>
          <t>DIO (days) - year 2</t>
        </is>
      </c>
      <c r="E76" s="44">
        <f>E16-E17*2</f>
        <v/>
      </c>
      <c r="F76" s="44">
        <f>F16-F17*2</f>
        <v/>
      </c>
      <c r="G76" s="44">
        <f>G16-G17*2</f>
        <v/>
      </c>
    </row>
    <row r="77">
      <c r="A77" s="41" t="inlineStr">
        <is>
          <t>DIO (days) - year 3</t>
        </is>
      </c>
      <c r="E77" s="44">
        <f>E16-E17*3</f>
        <v/>
      </c>
      <c r="F77" s="44">
        <f>F16-F17*3</f>
        <v/>
      </c>
      <c r="G77" s="44">
        <f>G16-G17*3</f>
        <v/>
      </c>
    </row>
    <row r="78">
      <c r="A78" s="41" t="inlineStr">
        <is>
          <t>DIO (days) - year 4</t>
        </is>
      </c>
      <c r="E78" s="44">
        <f>E16-E17*4</f>
        <v/>
      </c>
      <c r="F78" s="44">
        <f>F16-F17*4</f>
        <v/>
      </c>
      <c r="G78" s="44">
        <f>G16-G17*4</f>
        <v/>
      </c>
    </row>
    <row r="79">
      <c r="A79" s="41" t="inlineStr">
        <is>
          <t>DIO (days) - year 5</t>
        </is>
      </c>
      <c r="E79" s="44">
        <f>E16-E17*5</f>
        <v/>
      </c>
      <c r="F79" s="44">
        <f>F16-F17*5</f>
        <v/>
      </c>
      <c r="G79" s="44">
        <f>G16-G17*5</f>
        <v/>
      </c>
    </row>
    <row r="80">
      <c r="A80" s="41" t="inlineStr">
        <is>
          <t>Inventories - year 1</t>
        </is>
      </c>
      <c r="E80" s="42">
        <f>(E75/365)*E35</f>
        <v/>
      </c>
      <c r="F80" s="42">
        <f>(F75/365)*F35</f>
        <v/>
      </c>
      <c r="G80" s="42">
        <f>(G75/365)*G35</f>
        <v/>
      </c>
    </row>
    <row r="81">
      <c r="A81" s="41" t="inlineStr">
        <is>
          <t>Inventories - year 2</t>
        </is>
      </c>
      <c r="E81" s="42">
        <f>(E76/365)*E36</f>
        <v/>
      </c>
      <c r="F81" s="42">
        <f>(F76/365)*F36</f>
        <v/>
      </c>
      <c r="G81" s="42">
        <f>(G76/365)*G36</f>
        <v/>
      </c>
    </row>
    <row r="82">
      <c r="A82" s="41" t="inlineStr">
        <is>
          <t>Inventories - year 3</t>
        </is>
      </c>
      <c r="E82" s="42">
        <f>(E77/365)*E37</f>
        <v/>
      </c>
      <c r="F82" s="42">
        <f>(F77/365)*F37</f>
        <v/>
      </c>
      <c r="G82" s="42">
        <f>(G77/365)*G37</f>
        <v/>
      </c>
    </row>
    <row r="83">
      <c r="A83" s="41" t="inlineStr">
        <is>
          <t>Inventories - year 4</t>
        </is>
      </c>
      <c r="E83" s="42">
        <f>(E78/365)*E38</f>
        <v/>
      </c>
      <c r="F83" s="42">
        <f>(F78/365)*F38</f>
        <v/>
      </c>
      <c r="G83" s="42">
        <f>(G78/365)*G38</f>
        <v/>
      </c>
    </row>
    <row r="84">
      <c r="A84" s="41" t="inlineStr">
        <is>
          <t>Inventories - year 5</t>
        </is>
      </c>
      <c r="E84" s="42">
        <f>(E79/365)*E39</f>
        <v/>
      </c>
      <c r="F84" s="42">
        <f>(F79/365)*F39</f>
        <v/>
      </c>
      <c r="G84" s="42">
        <f>(G79/365)*G39</f>
        <v/>
      </c>
    </row>
    <row r="85">
      <c r="A85" s="41" t="inlineStr">
        <is>
          <t>DPO (days) - year 1</t>
        </is>
      </c>
      <c r="E85" s="44">
        <f>E18</f>
        <v/>
      </c>
      <c r="F85" s="44">
        <f>F18</f>
        <v/>
      </c>
      <c r="G85" s="44">
        <f>G18</f>
        <v/>
      </c>
    </row>
    <row r="86">
      <c r="A86" s="41" t="inlineStr">
        <is>
          <t>DPO (days) - year 2</t>
        </is>
      </c>
      <c r="E86" s="44">
        <f>E18</f>
        <v/>
      </c>
      <c r="F86" s="44">
        <f>F18</f>
        <v/>
      </c>
      <c r="G86" s="44">
        <f>G18</f>
        <v/>
      </c>
    </row>
    <row r="87">
      <c r="A87" s="41" t="inlineStr">
        <is>
          <t>DPO (days) - year 3</t>
        </is>
      </c>
      <c r="E87" s="44">
        <f>E18</f>
        <v/>
      </c>
      <c r="F87" s="44">
        <f>F18</f>
        <v/>
      </c>
      <c r="G87" s="44">
        <f>G18</f>
        <v/>
      </c>
    </row>
    <row r="88">
      <c r="A88" s="41" t="inlineStr">
        <is>
          <t>DPO (days) - year 4</t>
        </is>
      </c>
      <c r="E88" s="44">
        <f>E18</f>
        <v/>
      </c>
      <c r="F88" s="44">
        <f>F18</f>
        <v/>
      </c>
      <c r="G88" s="44">
        <f>G18</f>
        <v/>
      </c>
    </row>
    <row r="89">
      <c r="A89" s="41" t="inlineStr">
        <is>
          <t>DPO (days) - year 5</t>
        </is>
      </c>
      <c r="E89" s="44">
        <f>E18</f>
        <v/>
      </c>
      <c r="F89" s="44">
        <f>F18</f>
        <v/>
      </c>
      <c r="G89" s="44">
        <f>G18</f>
        <v/>
      </c>
    </row>
    <row r="90">
      <c r="A90" s="41" t="inlineStr">
        <is>
          <t>Accounts payable - year 1</t>
        </is>
      </c>
      <c r="E90" s="42">
        <f>(E85/365)*E35</f>
        <v/>
      </c>
      <c r="F90" s="42">
        <f>(F85/365)*F35</f>
        <v/>
      </c>
      <c r="G90" s="42">
        <f>(G85/365)*G35</f>
        <v/>
      </c>
    </row>
    <row r="91">
      <c r="A91" s="41" t="inlineStr">
        <is>
          <t>Accounts payable - year 2</t>
        </is>
      </c>
      <c r="E91" s="42">
        <f>(E86/365)*E36</f>
        <v/>
      </c>
      <c r="F91" s="42">
        <f>(F86/365)*F36</f>
        <v/>
      </c>
      <c r="G91" s="42">
        <f>(G86/365)*G36</f>
        <v/>
      </c>
    </row>
    <row r="92">
      <c r="A92" s="41" t="inlineStr">
        <is>
          <t>Accounts payable - year 3</t>
        </is>
      </c>
      <c r="E92" s="42">
        <f>(E87/365)*E37</f>
        <v/>
      </c>
      <c r="F92" s="42">
        <f>(F87/365)*F37</f>
        <v/>
      </c>
      <c r="G92" s="42">
        <f>(G87/365)*G37</f>
        <v/>
      </c>
    </row>
    <row r="93">
      <c r="A93" s="41" t="inlineStr">
        <is>
          <t>Accounts payable - year 4</t>
        </is>
      </c>
      <c r="E93" s="42">
        <f>(E88/365)*E38</f>
        <v/>
      </c>
      <c r="F93" s="42">
        <f>(F88/365)*F38</f>
        <v/>
      </c>
      <c r="G93" s="42">
        <f>(G88/365)*G38</f>
        <v/>
      </c>
    </row>
    <row r="94">
      <c r="A94" s="41" t="inlineStr">
        <is>
          <t>Accounts payable - year 5</t>
        </is>
      </c>
      <c r="E94" s="42">
        <f>(E89/365)*E39</f>
        <v/>
      </c>
      <c r="F94" s="42">
        <f>(F89/365)*F39</f>
        <v/>
      </c>
      <c r="G94" s="42">
        <f>(G89/365)*G39</f>
        <v/>
      </c>
    </row>
    <row r="95">
      <c r="A95" s="41" t="inlineStr">
        <is>
          <t>Prepaid expenses (other current assets) - year 1</t>
        </is>
      </c>
      <c r="E95" s="42">
        <f>E25*E19</f>
        <v/>
      </c>
      <c r="F95" s="42">
        <f>F25*F19</f>
        <v/>
      </c>
      <c r="G95" s="42">
        <f>G25*G19</f>
        <v/>
      </c>
    </row>
    <row r="96">
      <c r="A96" s="41" t="inlineStr">
        <is>
          <t>Prepaid expenses (other current assets) - year 2</t>
        </is>
      </c>
      <c r="E96" s="42">
        <f>E26*E19</f>
        <v/>
      </c>
      <c r="F96" s="42">
        <f>F26*F19</f>
        <v/>
      </c>
      <c r="G96" s="42">
        <f>G26*G19</f>
        <v/>
      </c>
    </row>
    <row r="97">
      <c r="A97" s="41" t="inlineStr">
        <is>
          <t>Prepaid expenses (other current assets) - year 3</t>
        </is>
      </c>
      <c r="E97" s="42">
        <f>E27*E19</f>
        <v/>
      </c>
      <c r="F97" s="42">
        <f>F27*F19</f>
        <v/>
      </c>
      <c r="G97" s="42">
        <f>G27*G19</f>
        <v/>
      </c>
    </row>
    <row r="98">
      <c r="A98" s="41" t="inlineStr">
        <is>
          <t>Prepaid expenses (other current assets) - year 4</t>
        </is>
      </c>
      <c r="E98" s="42">
        <f>E28*E19</f>
        <v/>
      </c>
      <c r="F98" s="42">
        <f>F28*F19</f>
        <v/>
      </c>
      <c r="G98" s="42">
        <f>G28*G19</f>
        <v/>
      </c>
    </row>
    <row r="99">
      <c r="A99" s="41" t="inlineStr">
        <is>
          <t>Prepaid expenses (other current assets) - year 5</t>
        </is>
      </c>
      <c r="E99" s="42">
        <f>E29*E19</f>
        <v/>
      </c>
      <c r="F99" s="42">
        <f>F29*F19</f>
        <v/>
      </c>
      <c r="G99" s="42">
        <f>G29*G19</f>
        <v/>
      </c>
    </row>
    <row r="100">
      <c r="A100" s="41" t="inlineStr">
        <is>
          <t>Accrued liabilities - year 1</t>
        </is>
      </c>
      <c r="E100" s="42">
        <f>E25*E20</f>
        <v/>
      </c>
      <c r="F100" s="42">
        <f>F25*F20</f>
        <v/>
      </c>
      <c r="G100" s="42">
        <f>G25*G20</f>
        <v/>
      </c>
    </row>
    <row r="101">
      <c r="A101" s="41" t="inlineStr">
        <is>
          <t>Accrued liabilities - year 2</t>
        </is>
      </c>
      <c r="E101" s="42">
        <f>E26*E20</f>
        <v/>
      </c>
      <c r="F101" s="42">
        <f>F26*F20</f>
        <v/>
      </c>
      <c r="G101" s="42">
        <f>G26*G20</f>
        <v/>
      </c>
    </row>
    <row r="102">
      <c r="A102" s="41" t="inlineStr">
        <is>
          <t>Accrued liabilities - year 3</t>
        </is>
      </c>
      <c r="E102" s="42">
        <f>E27*E20</f>
        <v/>
      </c>
      <c r="F102" s="42">
        <f>F27*F20</f>
        <v/>
      </c>
      <c r="G102" s="42">
        <f>G27*G20</f>
        <v/>
      </c>
    </row>
    <row r="103">
      <c r="A103" s="41" t="inlineStr">
        <is>
          <t>Accrued liabilities - year 4</t>
        </is>
      </c>
      <c r="E103" s="42">
        <f>E28*E20</f>
        <v/>
      </c>
      <c r="F103" s="42">
        <f>F28*F20</f>
        <v/>
      </c>
      <c r="G103" s="42">
        <f>G28*G20</f>
        <v/>
      </c>
    </row>
    <row r="104">
      <c r="A104" s="41" t="inlineStr">
        <is>
          <t>Accrued liabilities - year 5</t>
        </is>
      </c>
      <c r="E104" s="42">
        <f>E29*E20</f>
        <v/>
      </c>
      <c r="F104" s="42">
        <f>F29*F20</f>
        <v/>
      </c>
      <c r="G104" s="42">
        <f>G29*G20</f>
        <v/>
      </c>
    </row>
    <row r="105">
      <c r="A105" s="41" t="inlineStr">
        <is>
          <t>Current operating assets (AR + inv + prepaids) - year 1</t>
        </is>
      </c>
      <c r="E105" s="42">
        <f>E70+E80+E95</f>
        <v/>
      </c>
      <c r="F105" s="42">
        <f>F70+F80+F95</f>
        <v/>
      </c>
      <c r="G105" s="42">
        <f>G70+G80+G95</f>
        <v/>
      </c>
    </row>
    <row r="106">
      <c r="A106" s="41" t="inlineStr">
        <is>
          <t>Current operating assets (AR + inv + prepaids) - year 2</t>
        </is>
      </c>
      <c r="E106" s="42">
        <f>E71+E81+E96</f>
        <v/>
      </c>
      <c r="F106" s="42">
        <f>F71+F81+F96</f>
        <v/>
      </c>
      <c r="G106" s="42">
        <f>G71+G81+G96</f>
        <v/>
      </c>
    </row>
    <row r="107">
      <c r="A107" s="41" t="inlineStr">
        <is>
          <t>Current operating assets (AR + inv + prepaids) - year 3</t>
        </is>
      </c>
      <c r="E107" s="42">
        <f>E72+E82+E97</f>
        <v/>
      </c>
      <c r="F107" s="42">
        <f>F72+F82+F97</f>
        <v/>
      </c>
      <c r="G107" s="42">
        <f>G72+G82+G97</f>
        <v/>
      </c>
    </row>
    <row r="108">
      <c r="A108" s="41" t="inlineStr">
        <is>
          <t>Current operating assets (AR + inv + prepaids) - year 4</t>
        </is>
      </c>
      <c r="E108" s="42">
        <f>E73+E83+E98</f>
        <v/>
      </c>
      <c r="F108" s="42">
        <f>F73+F83+F98</f>
        <v/>
      </c>
      <c r="G108" s="42">
        <f>G73+G83+G98</f>
        <v/>
      </c>
    </row>
    <row r="109">
      <c r="A109" s="41" t="inlineStr">
        <is>
          <t>Current operating assets (AR + inv + prepaids) - year 5</t>
        </is>
      </c>
      <c r="E109" s="42">
        <f>E74+E84+E99</f>
        <v/>
      </c>
      <c r="F109" s="42">
        <f>F74+F84+F99</f>
        <v/>
      </c>
      <c r="G109" s="42">
        <f>G74+G84+G99</f>
        <v/>
      </c>
    </row>
    <row r="110">
      <c r="A110" s="41" t="inlineStr">
        <is>
          <t>Current operating liabilities (AP + accruals) - year 1</t>
        </is>
      </c>
      <c r="E110" s="42">
        <f>E90+E100</f>
        <v/>
      </c>
      <c r="F110" s="42">
        <f>F90+F100</f>
        <v/>
      </c>
      <c r="G110" s="42">
        <f>G90+G100</f>
        <v/>
      </c>
    </row>
    <row r="111">
      <c r="A111" s="41" t="inlineStr">
        <is>
          <t>Current operating liabilities (AP + accruals) - year 2</t>
        </is>
      </c>
      <c r="E111" s="42">
        <f>E91+E101</f>
        <v/>
      </c>
      <c r="F111" s="42">
        <f>F91+F101</f>
        <v/>
      </c>
      <c r="G111" s="42">
        <f>G91+G101</f>
        <v/>
      </c>
    </row>
    <row r="112">
      <c r="A112" s="41" t="inlineStr">
        <is>
          <t>Current operating liabilities (AP + accruals) - year 3</t>
        </is>
      </c>
      <c r="E112" s="42">
        <f>E92+E102</f>
        <v/>
      </c>
      <c r="F112" s="42">
        <f>F92+F102</f>
        <v/>
      </c>
      <c r="G112" s="42">
        <f>G92+G102</f>
        <v/>
      </c>
    </row>
    <row r="113">
      <c r="A113" s="41" t="inlineStr">
        <is>
          <t>Current operating liabilities (AP + accruals) - year 4</t>
        </is>
      </c>
      <c r="E113" s="42">
        <f>E93+E103</f>
        <v/>
      </c>
      <c r="F113" s="42">
        <f>F93+F103</f>
        <v/>
      </c>
      <c r="G113" s="42">
        <f>G93+G103</f>
        <v/>
      </c>
    </row>
    <row r="114">
      <c r="A114" s="41" t="inlineStr">
        <is>
          <t>Current operating liabilities (AP + accruals) - year 5</t>
        </is>
      </c>
      <c r="E114" s="42">
        <f>E94+E104</f>
        <v/>
      </c>
      <c r="F114" s="42">
        <f>F94+F104</f>
        <v/>
      </c>
      <c r="G114" s="42">
        <f>G94+G104</f>
        <v/>
      </c>
    </row>
    <row r="115">
      <c r="A115" s="41" t="inlineStr">
        <is>
          <t>Net working capital - year 1</t>
        </is>
      </c>
      <c r="E115" s="42">
        <f>E105-E110</f>
        <v/>
      </c>
      <c r="F115" s="42">
        <f>F105-F110</f>
        <v/>
      </c>
      <c r="G115" s="42">
        <f>G105-G110</f>
        <v/>
      </c>
    </row>
    <row r="116">
      <c r="A116" s="41" t="inlineStr">
        <is>
          <t>Net working capital - year 2</t>
        </is>
      </c>
      <c r="E116" s="42">
        <f>E106-E111</f>
        <v/>
      </c>
      <c r="F116" s="42">
        <f>F106-F111</f>
        <v/>
      </c>
      <c r="G116" s="42">
        <f>G106-G111</f>
        <v/>
      </c>
    </row>
    <row r="117">
      <c r="A117" s="41" t="inlineStr">
        <is>
          <t>Net working capital - year 3</t>
        </is>
      </c>
      <c r="E117" s="42">
        <f>E107-E112</f>
        <v/>
      </c>
      <c r="F117" s="42">
        <f>F107-F112</f>
        <v/>
      </c>
      <c r="G117" s="42">
        <f>G107-G112</f>
        <v/>
      </c>
    </row>
    <row r="118">
      <c r="A118" s="41" t="inlineStr">
        <is>
          <t>Net working capital - year 4</t>
        </is>
      </c>
      <c r="E118" s="42">
        <f>E108-E113</f>
        <v/>
      </c>
      <c r="F118" s="42">
        <f>F108-F113</f>
        <v/>
      </c>
      <c r="G118" s="42">
        <f>G108-G113</f>
        <v/>
      </c>
    </row>
    <row r="119">
      <c r="A119" s="41" t="inlineStr">
        <is>
          <t>Net working capital - year 5</t>
        </is>
      </c>
      <c r="E119" s="42">
        <f>E109-E114</f>
        <v/>
      </c>
      <c r="F119" s="42">
        <f>F109-F114</f>
        <v/>
      </c>
      <c r="G119" s="42">
        <f>G109-G114</f>
        <v/>
      </c>
    </row>
    <row r="120">
      <c r="A120" s="41" t="inlineStr">
        <is>
          <t>Delta NWC (prior yr - current yr) - year 1</t>
        </is>
      </c>
      <c r="E120" s="42">
        <f>1461096-E115</f>
        <v/>
      </c>
      <c r="F120" s="42">
        <f>1461096-F115</f>
        <v/>
      </c>
      <c r="G120" s="42">
        <f>1461096-G115</f>
        <v/>
      </c>
    </row>
    <row r="121">
      <c r="A121" s="41" t="inlineStr">
        <is>
          <t>Delta NWC (prior yr - current yr) - year 2</t>
        </is>
      </c>
      <c r="E121" s="42">
        <f>E115-E116</f>
        <v/>
      </c>
      <c r="F121" s="42">
        <f>F115-F116</f>
        <v/>
      </c>
      <c r="G121" s="42">
        <f>G115-G116</f>
        <v/>
      </c>
    </row>
    <row r="122">
      <c r="A122" s="41" t="inlineStr">
        <is>
          <t>Delta NWC (prior yr - current yr) - year 3</t>
        </is>
      </c>
      <c r="E122" s="42">
        <f>E116-E117</f>
        <v/>
      </c>
      <c r="F122" s="42">
        <f>F116-F117</f>
        <v/>
      </c>
      <c r="G122" s="42">
        <f>G116-G117</f>
        <v/>
      </c>
    </row>
    <row r="123">
      <c r="A123" s="41" t="inlineStr">
        <is>
          <t>Delta NWC (prior yr - current yr) - year 4</t>
        </is>
      </c>
      <c r="E123" s="42">
        <f>E117-E118</f>
        <v/>
      </c>
      <c r="F123" s="42">
        <f>F117-F118</f>
        <v/>
      </c>
      <c r="G123" s="42">
        <f>G117-G118</f>
        <v/>
      </c>
    </row>
    <row r="124">
      <c r="A124" s="41" t="inlineStr">
        <is>
          <t>Delta NWC (prior yr - current yr) - year 5</t>
        </is>
      </c>
      <c r="E124" s="42">
        <f>E118-E119</f>
        <v/>
      </c>
      <c r="F124" s="42">
        <f>F118-F119</f>
        <v/>
      </c>
      <c r="G124" s="42">
        <f>G118-G119</f>
        <v/>
      </c>
    </row>
    <row r="125">
      <c r="A125" s="41" t="inlineStr">
        <is>
          <t>Unlevered FCF - year 1</t>
        </is>
      </c>
      <c r="E125" s="42">
        <f>E50+E55-E60+E120</f>
        <v/>
      </c>
      <c r="F125" s="42">
        <f>F50+F55-F60+F120</f>
        <v/>
      </c>
      <c r="G125" s="42">
        <f>G50+G55-G60+G120</f>
        <v/>
      </c>
    </row>
    <row r="126">
      <c r="A126" s="41" t="inlineStr">
        <is>
          <t>Unlevered FCF - year 2</t>
        </is>
      </c>
      <c r="E126" s="42">
        <f>E51+E56-E61+E121</f>
        <v/>
      </c>
      <c r="F126" s="42">
        <f>F51+F56-F61+F121</f>
        <v/>
      </c>
      <c r="G126" s="42">
        <f>G51+G56-G61+G121</f>
        <v/>
      </c>
    </row>
    <row r="127">
      <c r="A127" s="41" t="inlineStr">
        <is>
          <t>Unlevered FCF - year 3</t>
        </is>
      </c>
      <c r="E127" s="42">
        <f>E52+E57-E62+E122</f>
        <v/>
      </c>
      <c r="F127" s="42">
        <f>F52+F57-F62+F122</f>
        <v/>
      </c>
      <c r="G127" s="42">
        <f>G52+G57-G62+G122</f>
        <v/>
      </c>
    </row>
    <row r="128">
      <c r="A128" s="41" t="inlineStr">
        <is>
          <t>Unlevered FCF - year 4</t>
        </is>
      </c>
      <c r="E128" s="42">
        <f>E53+E58-E63+E123</f>
        <v/>
      </c>
      <c r="F128" s="42">
        <f>F53+F58-F63+F123</f>
        <v/>
      </c>
      <c r="G128" s="42">
        <f>G53+G58-G63+G123</f>
        <v/>
      </c>
    </row>
    <row r="129">
      <c r="A129" s="41" t="inlineStr">
        <is>
          <t>Unlevered FCF - year 5</t>
        </is>
      </c>
      <c r="E129" s="42">
        <f>E54+E59-E64+E124</f>
        <v/>
      </c>
      <c r="F129" s="42">
        <f>F54+F59-F64+F124</f>
        <v/>
      </c>
      <c r="G129" s="42">
        <f>G54+G59-G64+G124</f>
        <v/>
      </c>
    </row>
    <row r="130"/>
    <row r="131">
      <c r="A131" s="23" t="inlineStr">
        <is>
          <t>Enterprise value (DCF)</t>
        </is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25">
        <f>NPV(G9,G125,G126,G127,G128,G129)+(G129*(1+G10)/(G9-G10))/(1+G9)^5</f>
        <v/>
      </c>
    </row>
    <row r="132">
      <c r="A132" s="45" t="inlineStr">
        <is>
          <t>Implied share price</t>
        </is>
      </c>
      <c r="E132" s="46">
        <f>(E131+1807202-1798441)/111380</f>
        <v/>
      </c>
      <c r="F132" s="47">
        <f>(F131+1807202-1798441)/111380</f>
        <v/>
      </c>
      <c r="G132" s="46">
        <f>(G131+1807202-1798441)/111380</f>
        <v/>
      </c>
    </row>
    <row r="133">
      <c r="A133" s="23" t="inlineStr">
        <is>
          <t>Upside / (downside) vs current</t>
        </is>
      </c>
      <c r="E133" s="48">
        <f>E132/100.0-1</f>
        <v/>
      </c>
      <c r="F133" s="48">
        <f>F132/100.0-1</f>
        <v/>
      </c>
      <c r="G133" s="48">
        <f>G132/100.0-1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-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-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-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-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- year 1</t>
        </is>
      </c>
      <c r="E143" s="42">
        <f>(E45+E138)*(1-E11)</f>
        <v/>
      </c>
      <c r="F143" s="42">
        <f>(F45+F138)*(1-F11)</f>
        <v/>
      </c>
      <c r="G143" s="42">
        <f>(G45+G138)*(1-G11)</f>
        <v/>
      </c>
    </row>
    <row r="144">
      <c r="A144" s="41" t="inlineStr">
        <is>
          <t>Net income - year 2</t>
        </is>
      </c>
      <c r="E144" s="42">
        <f>(E46+E139)*(1-E11)</f>
        <v/>
      </c>
      <c r="F144" s="42">
        <f>(F46+F139)*(1-F11)</f>
        <v/>
      </c>
      <c r="G144" s="42">
        <f>(G46+G139)*(1-G11)</f>
        <v/>
      </c>
    </row>
    <row r="145">
      <c r="A145" s="41" t="inlineStr">
        <is>
          <t>Net income - year 3</t>
        </is>
      </c>
      <c r="E145" s="42">
        <f>(E47+E140)*(1-E11)</f>
        <v/>
      </c>
      <c r="F145" s="42">
        <f>(F47+F140)*(1-F11)</f>
        <v/>
      </c>
      <c r="G145" s="42">
        <f>(G47+G140)*(1-G11)</f>
        <v/>
      </c>
    </row>
    <row r="146">
      <c r="A146" s="41" t="inlineStr">
        <is>
          <t>Net income - year 4</t>
        </is>
      </c>
      <c r="E146" s="42">
        <f>(E48+E141)*(1-E11)</f>
        <v/>
      </c>
      <c r="F146" s="42">
        <f>(F48+F141)*(1-F11)</f>
        <v/>
      </c>
      <c r="G146" s="42">
        <f>(G48+G141)*(1-G11)</f>
        <v/>
      </c>
    </row>
    <row r="147">
      <c r="A147" s="41" t="inlineStr">
        <is>
          <t>Net income - year 5</t>
        </is>
      </c>
      <c r="E147" s="42">
        <f>(E49+E142)*(1-E11)</f>
        <v/>
      </c>
      <c r="F147" s="42">
        <f>(F49+F142)*(1-F11)</f>
        <v/>
      </c>
      <c r="G147" s="42">
        <f>(G49+G142)*(1-G11)</f>
        <v/>
      </c>
    </row>
    <row r="148">
      <c r="A148" s="41" t="inlineStr">
        <is>
          <t>Cash from operations - year 1</t>
        </is>
      </c>
      <c r="E148" s="42">
        <f>E143+E55+E120</f>
        <v/>
      </c>
      <c r="F148" s="42">
        <f>F143+F55+F120</f>
        <v/>
      </c>
      <c r="G148" s="42">
        <f>G143+G55+G120</f>
        <v/>
      </c>
    </row>
    <row r="149">
      <c r="A149" s="41" t="inlineStr">
        <is>
          <t>Cash from operations - year 2</t>
        </is>
      </c>
      <c r="E149" s="42">
        <f>E144+E56+E121</f>
        <v/>
      </c>
      <c r="F149" s="42">
        <f>F144+F56+F121</f>
        <v/>
      </c>
      <c r="G149" s="42">
        <f>G144+G56+G121</f>
        <v/>
      </c>
    </row>
    <row r="150">
      <c r="A150" s="41" t="inlineStr">
        <is>
          <t>Cash from operations - year 3</t>
        </is>
      </c>
      <c r="E150" s="42">
        <f>E145+E57+E122</f>
        <v/>
      </c>
      <c r="F150" s="42">
        <f>F145+F57+F122</f>
        <v/>
      </c>
      <c r="G150" s="42">
        <f>G145+G57+G122</f>
        <v/>
      </c>
    </row>
    <row r="151">
      <c r="A151" s="41" t="inlineStr">
        <is>
          <t>Cash from operations - year 4</t>
        </is>
      </c>
      <c r="E151" s="42">
        <f>E146+E58+E123</f>
        <v/>
      </c>
      <c r="F151" s="42">
        <f>F146+F58+F123</f>
        <v/>
      </c>
      <c r="G151" s="42">
        <f>G146+G58+G123</f>
        <v/>
      </c>
    </row>
    <row r="152">
      <c r="A152" s="41" t="inlineStr">
        <is>
          <t>Cash from operations - year 5</t>
        </is>
      </c>
      <c r="E152" s="42">
        <f>E147+E59+E124</f>
        <v/>
      </c>
      <c r="F152" s="42">
        <f>F147+F59+F124</f>
        <v/>
      </c>
      <c r="G152" s="42">
        <f>G147+G59+G124</f>
        <v/>
      </c>
    </row>
    <row r="153">
      <c r="A153" s="41" t="inlineStr">
        <is>
          <t>Free cash flow (CFS) - year 1</t>
        </is>
      </c>
      <c r="E153" s="42">
        <f>E148-E60</f>
        <v/>
      </c>
      <c r="F153" s="42">
        <f>F148-F60</f>
        <v/>
      </c>
      <c r="G153" s="42">
        <f>G148-G60</f>
        <v/>
      </c>
    </row>
    <row r="154">
      <c r="A154" s="41" t="inlineStr">
        <is>
          <t>Free cash flow (CFS) - year 2</t>
        </is>
      </c>
      <c r="E154" s="42">
        <f>E149-E61</f>
        <v/>
      </c>
      <c r="F154" s="42">
        <f>F149-F61</f>
        <v/>
      </c>
      <c r="G154" s="42">
        <f>G149-G61</f>
        <v/>
      </c>
    </row>
    <row r="155">
      <c r="A155" s="41" t="inlineStr">
        <is>
          <t>Free cash flow (CFS) - year 3</t>
        </is>
      </c>
      <c r="E155" s="42">
        <f>E150-E62</f>
        <v/>
      </c>
      <c r="F155" s="42">
        <f>F150-F62</f>
        <v/>
      </c>
      <c r="G155" s="42">
        <f>G150-G62</f>
        <v/>
      </c>
    </row>
    <row r="156">
      <c r="A156" s="41" t="inlineStr">
        <is>
          <t>Free cash flow (CFS) - year 4</t>
        </is>
      </c>
      <c r="E156" s="42">
        <f>E151-E63</f>
        <v/>
      </c>
      <c r="F156" s="42">
        <f>F151-F63</f>
        <v/>
      </c>
      <c r="G156" s="42">
        <f>G151-G63</f>
        <v/>
      </c>
    </row>
    <row r="157">
      <c r="A157" s="41" t="inlineStr">
        <is>
          <t>Free cash flow (CFS) - year 5</t>
        </is>
      </c>
      <c r="E157" s="42">
        <f>E152-E64</f>
        <v/>
      </c>
      <c r="F157" s="42">
        <f>F152-F64</f>
        <v/>
      </c>
      <c r="G157" s="42">
        <f>G152-G64</f>
        <v/>
      </c>
    </row>
    <row r="158">
      <c r="A158" s="41" t="inlineStr">
        <is>
          <t>Share repurchases - year 1</t>
        </is>
      </c>
      <c r="E158" s="42">
        <f>-E21</f>
        <v/>
      </c>
      <c r="F158" s="42">
        <f>-F21</f>
        <v/>
      </c>
      <c r="G158" s="42">
        <f>-ROUND(G22*G153,0)</f>
        <v/>
      </c>
    </row>
    <row r="159">
      <c r="A159" s="41" t="inlineStr">
        <is>
          <t>Share repurchases - year 2</t>
        </is>
      </c>
      <c r="E159" s="42">
        <f>-E21</f>
        <v/>
      </c>
      <c r="F159" s="42">
        <f>-F21</f>
        <v/>
      </c>
      <c r="G159" s="42">
        <f>-ROUND(G22*G154,0)</f>
        <v/>
      </c>
    </row>
    <row r="160">
      <c r="A160" s="41" t="inlineStr">
        <is>
          <t>Share repurchases - year 3</t>
        </is>
      </c>
      <c r="E160" s="42">
        <f>-E21</f>
        <v/>
      </c>
      <c r="F160" s="42">
        <f>-F21</f>
        <v/>
      </c>
      <c r="G160" s="42">
        <f>-ROUND(G22*G155,0)</f>
        <v/>
      </c>
    </row>
    <row r="161">
      <c r="A161" s="41" t="inlineStr">
        <is>
          <t>Share repurchases - year 4</t>
        </is>
      </c>
      <c r="E161" s="42">
        <f>-E21</f>
        <v/>
      </c>
      <c r="F161" s="42">
        <f>-F21</f>
        <v/>
      </c>
      <c r="G161" s="42">
        <f>-ROUND(G22*G156,0)</f>
        <v/>
      </c>
    </row>
    <row r="162">
      <c r="A162" s="41" t="inlineStr">
        <is>
          <t>Share repurchases - year 5</t>
        </is>
      </c>
      <c r="E162" s="42">
        <f>-E21</f>
        <v/>
      </c>
      <c r="F162" s="42">
        <f>-F21</f>
        <v/>
      </c>
      <c r="G162" s="42">
        <f>-ROUND(G22*G157,0)</f>
        <v/>
      </c>
    </row>
    <row r="163">
      <c r="A163" s="41" t="inlineStr">
        <is>
          <t>Cash &amp; equivalents - year 1</t>
        </is>
      </c>
      <c r="E163" s="42">
        <f>1807202+E153+E158</f>
        <v/>
      </c>
      <c r="F163" s="42">
        <f>1807202+F153+F158</f>
        <v/>
      </c>
      <c r="G163" s="42">
        <f>1807202+G153+G158</f>
        <v/>
      </c>
    </row>
    <row r="164">
      <c r="A164" s="41" t="inlineStr">
        <is>
          <t>Cash &amp; equivalents - year 2</t>
        </is>
      </c>
      <c r="E164" s="42">
        <f>E163+E154+E159</f>
        <v/>
      </c>
      <c r="F164" s="42">
        <f>F163+F154+F159</f>
        <v/>
      </c>
      <c r="G164" s="42">
        <f>G163+G154+G159</f>
        <v/>
      </c>
    </row>
    <row r="165">
      <c r="A165" s="41" t="inlineStr">
        <is>
          <t>Cash &amp; equivalents - year 3</t>
        </is>
      </c>
      <c r="E165" s="42">
        <f>E164+E155+E160</f>
        <v/>
      </c>
      <c r="F165" s="42">
        <f>F164+F155+F160</f>
        <v/>
      </c>
      <c r="G165" s="42">
        <f>G164+G155+G160</f>
        <v/>
      </c>
    </row>
    <row r="166">
      <c r="A166" s="41" t="inlineStr">
        <is>
          <t>Cash &amp; equivalents - year 4</t>
        </is>
      </c>
      <c r="E166" s="42">
        <f>E165+E156+E161</f>
        <v/>
      </c>
      <c r="F166" s="42">
        <f>F165+F156+F161</f>
        <v/>
      </c>
      <c r="G166" s="42">
        <f>G165+G156+G161</f>
        <v/>
      </c>
    </row>
    <row r="167">
      <c r="A167" s="41" t="inlineStr">
        <is>
          <t>Cash &amp; equivalents - year 5</t>
        </is>
      </c>
      <c r="E167" s="42">
        <f>E166+E157+E162</f>
        <v/>
      </c>
      <c r="F167" s="42">
        <f>F166+F157+F162</f>
        <v/>
      </c>
      <c r="G167" s="42">
        <f>G166+G157+G162</f>
        <v/>
      </c>
    </row>
    <row r="168">
      <c r="A168" s="41" t="inlineStr">
        <is>
          <t>Total assets - year 1</t>
        </is>
      </c>
      <c r="E168" s="42">
        <f>8456743*E25/11102600</f>
        <v/>
      </c>
      <c r="F168" s="42">
        <f>8456743*F25/11102600</f>
        <v/>
      </c>
      <c r="G168" s="42">
        <f>8456743*G25/11102600</f>
        <v/>
      </c>
    </row>
    <row r="169">
      <c r="A169" s="41" t="inlineStr">
        <is>
          <t>Total assets - year 2</t>
        </is>
      </c>
      <c r="E169" s="42">
        <f>8456743*E26/11102600</f>
        <v/>
      </c>
      <c r="F169" s="42">
        <f>8456743*F26/11102600</f>
        <v/>
      </c>
      <c r="G169" s="42">
        <f>8456743*G26/11102600</f>
        <v/>
      </c>
    </row>
    <row r="170">
      <c r="A170" s="41" t="inlineStr">
        <is>
          <t>Total assets - year 3</t>
        </is>
      </c>
      <c r="E170" s="42">
        <f>8456743*E27/11102600</f>
        <v/>
      </c>
      <c r="F170" s="42">
        <f>8456743*F27/11102600</f>
        <v/>
      </c>
      <c r="G170" s="42">
        <f>8456743*G27/11102600</f>
        <v/>
      </c>
    </row>
    <row r="171">
      <c r="A171" s="41" t="inlineStr">
        <is>
          <t>Total assets - year 4</t>
        </is>
      </c>
      <c r="E171" s="42">
        <f>8456743*E28/11102600</f>
        <v/>
      </c>
      <c r="F171" s="42">
        <f>8456743*F28/11102600</f>
        <v/>
      </c>
      <c r="G171" s="42">
        <f>8456743*G28/11102600</f>
        <v/>
      </c>
    </row>
    <row r="172">
      <c r="A172" s="41" t="inlineStr">
        <is>
          <t>Total assets - year 5</t>
        </is>
      </c>
      <c r="E172" s="42">
        <f>8456743*E29/11102600</f>
        <v/>
      </c>
      <c r="F172" s="42">
        <f>8456743*F29/11102600</f>
        <v/>
      </c>
      <c r="G172" s="42">
        <f>8456743*G29/11102600</f>
        <v/>
      </c>
    </row>
    <row r="173">
      <c r="A173" s="41" t="inlineStr">
        <is>
          <t>Total liabilities - year 1</t>
        </is>
      </c>
      <c r="E173" s="42">
        <f>3494903*E25/11102600</f>
        <v/>
      </c>
      <c r="F173" s="42">
        <f>3494903*F25/11102600</f>
        <v/>
      </c>
      <c r="G173" s="42">
        <f>3494903*G25/11102600</f>
        <v/>
      </c>
    </row>
    <row r="174">
      <c r="A174" s="41" t="inlineStr">
        <is>
          <t>Total liabilities - year 2</t>
        </is>
      </c>
      <c r="E174" s="42">
        <f>3494903*E26/11102600</f>
        <v/>
      </c>
      <c r="F174" s="42">
        <f>3494903*F26/11102600</f>
        <v/>
      </c>
      <c r="G174" s="42">
        <f>3494903*G26/11102600</f>
        <v/>
      </c>
    </row>
    <row r="175">
      <c r="A175" s="41" t="inlineStr">
        <is>
          <t>Total liabilities - year 3</t>
        </is>
      </c>
      <c r="E175" s="42">
        <f>3494903*E27/11102600</f>
        <v/>
      </c>
      <c r="F175" s="42">
        <f>3494903*F27/11102600</f>
        <v/>
      </c>
      <c r="G175" s="42">
        <f>3494903*G27/11102600</f>
        <v/>
      </c>
    </row>
    <row r="176">
      <c r="A176" s="41" t="inlineStr">
        <is>
          <t>Total liabilities - year 4</t>
        </is>
      </c>
      <c r="E176" s="42">
        <f>3494903*E28/11102600</f>
        <v/>
      </c>
      <c r="F176" s="42">
        <f>3494903*F28/11102600</f>
        <v/>
      </c>
      <c r="G176" s="42">
        <f>3494903*G28/11102600</f>
        <v/>
      </c>
    </row>
    <row r="177">
      <c r="A177" s="41" t="inlineStr">
        <is>
          <t>Total liabilities - year 5</t>
        </is>
      </c>
      <c r="E177" s="42">
        <f>3494903*E29/11102600</f>
        <v/>
      </c>
      <c r="F177" s="42">
        <f>3494903*F29/11102600</f>
        <v/>
      </c>
      <c r="G177" s="42">
        <f>3494903*G29/11102600</f>
        <v/>
      </c>
    </row>
    <row r="178">
      <c r="A178" s="41" t="inlineStr">
        <is>
          <t>Total equity - year 1</t>
        </is>
      </c>
      <c r="E178" s="42">
        <f>4961840*E25/11102600</f>
        <v/>
      </c>
      <c r="F178" s="42">
        <f>4961840*F25/11102600</f>
        <v/>
      </c>
      <c r="G178" s="42">
        <f>4961840*G25/11102600</f>
        <v/>
      </c>
    </row>
    <row r="179">
      <c r="A179" s="41" t="inlineStr">
        <is>
          <t>Total equity - year 2</t>
        </is>
      </c>
      <c r="E179" s="42">
        <f>4961840*E26/11102600</f>
        <v/>
      </c>
      <c r="F179" s="42">
        <f>4961840*F26/11102600</f>
        <v/>
      </c>
      <c r="G179" s="42">
        <f>4961840*G26/11102600</f>
        <v/>
      </c>
    </row>
    <row r="180">
      <c r="A180" s="41" t="inlineStr">
        <is>
          <t>Total equity - year 3</t>
        </is>
      </c>
      <c r="E180" s="42">
        <f>4961840*E27/11102600</f>
        <v/>
      </c>
      <c r="F180" s="42">
        <f>4961840*F27/11102600</f>
        <v/>
      </c>
      <c r="G180" s="42">
        <f>4961840*G27/11102600</f>
        <v/>
      </c>
    </row>
    <row r="181">
      <c r="A181" s="41" t="inlineStr">
        <is>
          <t>Total equity - year 4</t>
        </is>
      </c>
      <c r="E181" s="42">
        <f>4961840*E28/11102600</f>
        <v/>
      </c>
      <c r="F181" s="42">
        <f>4961840*F28/11102600</f>
        <v/>
      </c>
      <c r="G181" s="42">
        <f>4961840*G28/11102600</f>
        <v/>
      </c>
    </row>
    <row r="182">
      <c r="A182" s="41" t="inlineStr">
        <is>
          <t>Total equity - year 5</t>
        </is>
      </c>
      <c r="E182" s="42">
        <f>4961840*E29/11102600</f>
        <v/>
      </c>
      <c r="F182" s="42">
        <f>4961840*F29/11102600</f>
        <v/>
      </c>
      <c r="G182" s="42">
        <f>4961840*G29/11102600</f>
        <v/>
      </c>
    </row>
    <row r="183">
      <c r="A183" s="41" t="inlineStr">
        <is>
          <t>Diluted shares (000) - year 1</t>
        </is>
      </c>
      <c r="E183" s="42">
        <f>119068-E21/100</f>
        <v/>
      </c>
      <c r="F183" s="42">
        <f>119068-F21/100</f>
        <v/>
      </c>
      <c r="G183" s="42">
        <f>119068-ROUND(G22*G153,0)/100</f>
        <v/>
      </c>
    </row>
    <row r="184">
      <c r="A184" s="41" t="inlineStr">
        <is>
          <t>Diluted shares (000) - year 2</t>
        </is>
      </c>
      <c r="E184" s="42">
        <f>E183-E21/108</f>
        <v/>
      </c>
      <c r="F184" s="42">
        <f>F183-F21/108</f>
        <v/>
      </c>
      <c r="G184" s="42">
        <f>G183-ROUND(G22*G154,0)/108</f>
        <v/>
      </c>
    </row>
    <row r="185">
      <c r="A185" s="41" t="inlineStr">
        <is>
          <t>Diluted shares (000) - year 3</t>
        </is>
      </c>
      <c r="E185" s="42">
        <f>E184-E21/115</f>
        <v/>
      </c>
      <c r="F185" s="42">
        <f>F184-F21/115</f>
        <v/>
      </c>
      <c r="G185" s="42">
        <f>G184-ROUND(G22*G155,0)/115</f>
        <v/>
      </c>
    </row>
    <row r="186">
      <c r="A186" s="41" t="inlineStr">
        <is>
          <t>Diluted shares (000) - year 4</t>
        </is>
      </c>
      <c r="E186" s="42">
        <f>E185-E21/122</f>
        <v/>
      </c>
      <c r="F186" s="42">
        <f>F185-F21/122</f>
        <v/>
      </c>
      <c r="G186" s="42">
        <f>G185-ROUND(G22*G156,0)/122</f>
        <v/>
      </c>
    </row>
    <row r="187">
      <c r="A187" s="41" t="inlineStr">
        <is>
          <t>Diluted shares (000) - year 5</t>
        </is>
      </c>
      <c r="E187" s="42">
        <f>E186-E21/130</f>
        <v/>
      </c>
      <c r="F187" s="42">
        <f>F186-F21/130</f>
        <v/>
      </c>
      <c r="G187" s="42">
        <f>G186-ROUND(G22*G157,0)/130</f>
        <v/>
      </c>
    </row>
    <row r="188">
      <c r="A188" s="41" t="inlineStr">
        <is>
          <t>Diluted EPS ($) - year 1</t>
        </is>
      </c>
      <c r="E188" s="49">
        <f>E143/E183</f>
        <v/>
      </c>
      <c r="F188" s="49">
        <f>F143/F183</f>
        <v/>
      </c>
      <c r="G188" s="49">
        <f>G143/G183</f>
        <v/>
      </c>
    </row>
    <row r="189">
      <c r="A189" s="41" t="inlineStr">
        <is>
          <t>Diluted EPS ($) - year 2</t>
        </is>
      </c>
      <c r="E189" s="49">
        <f>E144/E184</f>
        <v/>
      </c>
      <c r="F189" s="49">
        <f>F144/F184</f>
        <v/>
      </c>
      <c r="G189" s="49">
        <f>G144/G184</f>
        <v/>
      </c>
    </row>
    <row r="190">
      <c r="A190" s="41" t="inlineStr">
        <is>
          <t>Diluted EPS ($) - year 3</t>
        </is>
      </c>
      <c r="E190" s="49">
        <f>E145/E185</f>
        <v/>
      </c>
      <c r="F190" s="49">
        <f>F145/F185</f>
        <v/>
      </c>
      <c r="G190" s="49">
        <f>G145/G185</f>
        <v/>
      </c>
    </row>
    <row r="191">
      <c r="A191" s="41" t="inlineStr">
        <is>
          <t>Diluted EPS ($) - year 4</t>
        </is>
      </c>
      <c r="E191" s="49">
        <f>E146/E186</f>
        <v/>
      </c>
      <c r="F191" s="49">
        <f>F146/F186</f>
        <v/>
      </c>
      <c r="G191" s="49">
        <f>G146/G186</f>
        <v/>
      </c>
    </row>
    <row r="192">
      <c r="A192" s="41" t="inlineStr">
        <is>
          <t>Diluted EPS ($) - year 5</t>
        </is>
      </c>
      <c r="E192" s="49">
        <f>E147/E187</f>
        <v/>
      </c>
      <c r="F192" s="49">
        <f>F147/F187</f>
        <v/>
      </c>
      <c r="G192" s="4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t="inlineStr">
        <is>
          <t>Beginning stores = last year's ending count. Same.</t>
        </is>
      </c>
      <c r="J6" s="126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t="inlineStr">
        <is>
          <t>Store openings skew to China (+20 FY26) vs.</t>
        </is>
      </c>
      <c r="J7" s="126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t="inlineStr">
        <is>
          <t>Closures assume 2–3 per mature region annually as.</t>
        </is>
      </c>
      <c r="J8" s="126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t="inlineStr">
        <is>
          <t>Simple roll-forward: where you started, plus openings, minus.</t>
        </is>
      </c>
      <c r="J9" s="126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t="inlineStr">
        <is>
          <t>Beginning stores = last year's ending count. Same.</t>
        </is>
      </c>
      <c r="J10" s="126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t="inlineStr">
        <is>
          <t>Store openings skew to China (+20 FY26) vs.</t>
        </is>
      </c>
      <c r="J11" s="126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t="inlineStr">
        <is>
          <t>Closures assume 2–3 per mature region annually as.</t>
        </is>
      </c>
      <c r="J12" s="126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t="inlineStr">
        <is>
          <t>Simple roll-forward: where you started, plus openings, minus.</t>
        </is>
      </c>
      <c r="J13" s="126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t="inlineStr">
        <is>
          <t>Beginning stores = last year's ending count. Same.</t>
        </is>
      </c>
      <c r="J14" s="126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t="inlineStr">
        <is>
          <t>Store openings skew to China (+20 FY26) vs.</t>
        </is>
      </c>
      <c r="J15" s="126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t="inlineStr">
        <is>
          <t>Closures assume 2–3 per mature region annually as.</t>
        </is>
      </c>
      <c r="J16" s="126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t="inlineStr">
        <is>
          <t>Simple roll-forward: where you started, plus openings, minus.</t>
        </is>
      </c>
      <c r="J17" s="126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t="inlineStr">
        <is>
          <t>Add up Americas + China + RoW ending.</t>
        </is>
      </c>
      <c r="J18" s="126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t="inlineStr">
        <is>
          <t>4,367 avg sq ft/store = implied FY25 total.</t>
        </is>
      </c>
      <c r="J19" s="126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t="inlineStr">
        <is>
          <t>Ending stores times avg sq ft per box..</t>
        </is>
      </c>
      <c r="J20" s="126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t="inlineStr">
        <is>
          <t>Justification [cols I–L: click + to expand]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t="inlineStr">
        <is>
          <t>FY26 SPSF $1,380 reflects Americas traffic/conversion pressure; recovers.</t>
        </is>
      </c>
      <c r="J24" s="126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t="inlineStr">
        <is>
          <t>FY25 Americas comp −3% per 10-K (traffic, conversion,.</t>
        </is>
      </c>
      <c r="J25" s="126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t="inlineStr">
        <is>
          <t>FY25 China comp +20% (+19% CCY) per 10-K..</t>
        </is>
      </c>
      <c r="J26" s="126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t="inlineStr">
        <is>
          <t>FY25 RoW comp +9% (+7% CCY) per 10-K..</t>
        </is>
      </c>
      <c r="J27" s="126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t="inlineStr">
        <is>
          <t>Last year's total store-channel revenue; the base you're.</t>
        </is>
      </c>
      <c r="J28" s="126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t="inlineStr">
        <is>
          <t>Existing-store sales only; prior store rev grown by.</t>
        </is>
      </c>
      <c r="J29" s="126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t="inlineStr">
        <is>
          <t>Net new doors × sq ft × $/sq.</t>
        </is>
      </c>
      <c r="J30" s="126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t="inlineStr">
        <is>
          <t>Brick-and-mortar channel = comp store sales plus whatever.</t>
        </is>
      </c>
      <c r="J31" s="126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t="inlineStr">
        <is>
          <t>Fleet traffic memo line; not a separate FCF.</t>
        </is>
      </c>
      <c r="J32" s="126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t="inlineStr">
        <is>
          <t>In-store conversion memo; 10-K cites lower conversion in.</t>
        </is>
      </c>
      <c r="J33" s="126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t="inlineStr">
        <is>
          <t>In-store average transaction $115–$122; supports SPSF and comp-sales.</t>
        </is>
      </c>
      <c r="J34" s="126" t="inlineStr">
        <is>
          <t>FY2025 10-K: average order value commentary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t="inlineStr">
        <is>
          <t>Justification [cols I–L: click + to expand]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t="inlineStr">
        <is>
          <t>485M FY25 sessions implied from reported e-comm revenue.</t>
        </is>
      </c>
      <c r="J38" s="126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t="inlineStr">
        <is>
          <t>3.3% FY26 digital conversion vs 3.5% pressure cited.</t>
        </is>
      </c>
      <c r="J39" s="126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t="inlineStr">
        <is>
          <t>AOV $305 FY26 on promo intensity; steps to.</t>
        </is>
      </c>
      <c r="J40" s="126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t="inlineStr">
        <is>
          <t>Traffic × conversion × AOV is dollars. ×1M.</t>
        </is>
      </c>
      <c r="J41" s="126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t="inlineStr">
        <is>
          <t>Justification [cols I–L: click + to expand]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t="inlineStr">
        <is>
          <t>Other channels (wholesale/license/outlets) held at FY25 $1.13B base;.</t>
        </is>
      </c>
      <c r="J45" s="126" t="inlineStr">
        <is>
          <t>FY2025 10-K: channel revenue table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t="inlineStr">
        <is>
          <t>Geographic split scales with consolidated growth; FY25 Americas.</t>
        </is>
      </c>
      <c r="J46" s="126" t="inlineStr">
        <is>
          <t>FY2025 10-K: segmented net revenue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t="inlineStr">
        <is>
          <t>China 15.8% of FY25 revenue; fastest comp and.</t>
        </is>
      </c>
      <c r="J47" s="126" t="inlineStr">
        <is>
          <t>FY2025 10-K: segmented net revenue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t="inlineStr">
        <is>
          <t>Rest of World 13.5% of FY25 revenue; mid-single-digit.</t>
        </is>
      </c>
      <c r="J48" s="126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t="inlineStr">
        <is>
          <t>Women's mix fades 62.5% to 60% as men's penetrates; FY25.</t>
        </is>
      </c>
      <c r="J49" s="126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t="inlineStr">
        <is>
          <t>Men's mix rises 24.5% to 27%; FY25 men's grew 4%.</t>
        </is>
      </c>
      <c r="J50" s="126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t="inlineStr">
        <is>
          <t>Accessories steady at 13% of revenue; FY25 accessories.</t>
        </is>
      </c>
      <c r="J51" s="126" t="inlineStr">
        <is>
          <t>FY2025 10-K: product category mix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t="inlineStr">
        <is>
          <t>Justification [cols I–L: click + to expand]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t="inlineStr">
        <is>
          <t>Bottom-up total = store channel + e-comm +.</t>
        </is>
      </c>
      <c r="J55" s="126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Scenarios!F25</f>
        <v/>
      </c>
      <c r="D56" s="42">
        <f>Scenarios!F26</f>
        <v/>
      </c>
      <c r="E56" s="42">
        <f>Scenarios!F27</f>
        <v/>
      </c>
      <c r="F56" s="42">
        <f>Scenarios!F28</f>
        <v/>
      </c>
      <c r="G56" s="42">
        <f>Scenarios!F29</f>
        <v/>
      </c>
      <c r="I56" t="inlineStr">
        <is>
          <t>Pulls the Scenarios base-case revenue path; that's still.</t>
        </is>
      </c>
      <c r="J56" s="126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t="inlineStr">
        <is>
          <t>Driver-built revenue minus Scenarios revenue. Shows you how.</t>
        </is>
      </c>
      <c r="J57" s="126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t="inlineStr">
        <is>
          <t>Variance as a percent of Scenarios revenue. Easy.</t>
        </is>
      </c>
      <c r="J58" s="126" t="inlineStr">
        <is>
          <t>Revenue Drivers: variance % formula</t>
        </is>
      </c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t="inlineStr">
        <is>
          <t>Not % of consolidated revenue; EBIT as %.</t>
        </is>
      </c>
      <c r="C9" s="126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E-commerce EBIT margin %</t>
        </is>
      </c>
      <c r="B10" t="inlineStr">
        <is>
          <t>Not % of consolidated revenue; EBIT as %.</t>
        </is>
      </c>
      <c r="C10" s="126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Other-channels EBIT margin %</t>
        </is>
      </c>
      <c r="B11" t="inlineStr">
        <is>
          <t>Not % of consolidated revenue; EBIT as %.</t>
        </is>
      </c>
      <c r="C11" s="126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Terminal marginal tax rate</t>
        </is>
      </c>
      <c r="B12" t="inlineStr">
        <is>
          <t>30% statutory marginal rate. t_operating transitions here over.</t>
        </is>
      </c>
      <c r="C12" s="126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R&amp;D / software amortization period (years)</t>
        </is>
      </c>
      <c r="B13" t="inlineStr">
        <is>
          <t>Not % of revenue; amortization period (years) if.</t>
        </is>
      </c>
      <c r="C13" s="126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t="inlineStr">
        <is>
          <t>10-K EBIT / Scenarios forecast.</t>
        </is>
      </c>
      <c r="C16" s="126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t="28" customHeight="1">
      <c r="A17" s="16" t="inlineStr">
        <is>
          <t>+ Impairment / intangible amortization (add-back)</t>
        </is>
      </c>
      <c r="B17" t="inlineStr">
        <is>
          <t>Run-rate intangible amort add-back.</t>
        </is>
      </c>
      <c r="C17" s="126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t="28" customHeight="1">
      <c r="A18" s="16" t="inlineStr">
        <is>
          <t>+ Restructuring costs (add-back)</t>
        </is>
      </c>
      <c r="B18" t="inlineStr">
        <is>
          <t>Non-recurring restructuring add-back.</t>
        </is>
      </c>
      <c r="C18" s="126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t="28" customHeight="1">
      <c r="A19" s="16" t="inlineStr">
        <is>
          <t>+ Legal / M&amp;A one-offs (add-back)</t>
        </is>
      </c>
      <c r="B19" t="inlineStr">
        <is>
          <t>One-off legal / M&amp;A strip.</t>
        </is>
      </c>
      <c r="C19" s="126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t="42" customHeight="1">
      <c r="A20" s="16" t="inlineStr">
        <is>
          <t>+ Stock-based compensation (add-back only if flag = 1)</t>
        </is>
      </c>
      <c r="B20" t="inlineStr">
        <is>
          <t>SBC add-back (if flag = 1).</t>
        </is>
      </c>
      <c r="C20" s="126" t="inlineStr">
        <is>
          <t>LULU CF statement (10-K): stock-based compensation</t>
        </is>
      </c>
      <c r="D20" s="75">
        <f>62203*$D$7</f>
        <v/>
      </c>
      <c r="E20" s="75">
        <f>Scenarios!F25/11102600*62203*$D$7</f>
        <v/>
      </c>
      <c r="F20" s="75">
        <f>Scenarios!F26/11102600*62203*$D$7</f>
        <v/>
      </c>
      <c r="G20" s="75">
        <f>Scenarios!F27/11102600*62203*$D$7</f>
        <v/>
      </c>
      <c r="H20" s="75">
        <f>Scenarios!F28/11102600*62203*$D$7</f>
        <v/>
      </c>
      <c r="I20" s="75">
        <f>Scenarios!F29/11102600*62203*$D$7</f>
        <v/>
      </c>
    </row>
    <row r="21" ht="28" customHeight="1">
      <c r="A21" s="23">
        <f> Adjusted EBIT (Phase 1)</f>
        <v/>
      </c>
      <c r="B21" t="inlineStr">
        <is>
          <t>Reported EBIT plus non-recurring add-backs.</t>
        </is>
      </c>
      <c r="C21" s="126" t="inlineStr">
        <is>
          <t>NOPAT Bridge tab: Phase 1 subtotal</t>
        </is>
      </c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</row>
    <row r="22">
      <c r="A22" s="73" t="inlineStr">
        <is>
          <t>Lease &amp; capitalization</t>
        </is>
      </c>
    </row>
    <row r="23" ht="42" customHeight="1">
      <c r="A23" s="16" t="inlineStr">
        <is>
          <t>+ Implied lease interest expense (reclass from rent)</t>
        </is>
      </c>
      <c r="B23" t="inlineStr">
        <is>
          <t>Lease interest reclass (memo).</t>
        </is>
      </c>
      <c r="C23" s="126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t="inlineStr">
        <is>
          <t>R&amp;D cap immaterial this yr.</t>
        </is>
      </c>
      <c r="C24" s="126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t="28" customHeight="1">
      <c r="A25" s="16" t="inlineStr">
        <is>
          <t>Amortization of prior capitalized intangibles</t>
        </is>
      </c>
      <c r="B25" t="inlineStr">
        <is>
          <t>Amortization of prior capitalized intangibles. LULU: flows through.</t>
        </is>
      </c>
      <c r="C25" s="126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t="28" customHeight="1">
      <c r="A26" s="23">
        <f> EBIT after lease &amp; capitalization (Phase 2)</f>
        <v/>
      </c>
      <c r="B26" t="inlineStr">
        <is>
          <t>Phase 1 plus lease / R&amp;D adjustments.</t>
        </is>
      </c>
      <c r="C26" s="126" t="inlineStr">
        <is>
          <t>NOPAT Bridge tab: Phase 2 subtotal</t>
        </is>
      </c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t="inlineStr">
        <is>
          <t>Store rev from Revenue Drivers.</t>
        </is>
      </c>
      <c r="C28" s="126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Drivers'!J31</f>
        <v/>
      </c>
    </row>
    <row r="29" ht="28" customHeight="1">
      <c r="A29" s="16" t="inlineStr">
        <is>
          <t>E-commerce revenue</t>
        </is>
      </c>
      <c r="B29" t="inlineStr">
        <is>
          <t>E-comm rev from Revenue Drivers.</t>
        </is>
      </c>
      <c r="C29" s="126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Drivers'!J41</f>
        <v/>
      </c>
    </row>
    <row r="30" ht="28" customHeight="1">
      <c r="A30" s="16" t="inlineStr">
        <is>
          <t>Other channels revenue</t>
        </is>
      </c>
      <c r="B30" t="inlineStr">
        <is>
          <t>Other rev from Revenue Drivers.</t>
        </is>
      </c>
      <c r="C30" s="126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Drivers'!J45</f>
        <v/>
      </c>
    </row>
    <row r="31" ht="70" customHeight="1">
      <c r="A31" s="16" t="inlineStr">
        <is>
          <t>Store-channel EBIT (= Rev x store margin)</t>
        </is>
      </c>
      <c r="B31" t="inlineStr">
        <is>
          <t>Not % of consolidated revenue; store EBIT ÷.</t>
        </is>
      </c>
      <c r="C31" s="126" t="inlineStr">
        <is>
          <t>FY2025 10-K: company-operated stores net revenue</t>
        </is>
      </c>
      <c r="D31" s="75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70" customHeight="1">
      <c r="A32" s="16" t="inlineStr">
        <is>
          <t>E-commerce EBIT (= Rev x e-comm margin)</t>
        </is>
      </c>
      <c r="B32" t="inlineStr">
        <is>
          <t>Not % of consolidated revenue; e-commerce EBIT ÷.</t>
        </is>
      </c>
      <c r="C32" s="126" t="inlineStr">
        <is>
          <t>FY2025 10-K: e-commerce net revenue</t>
        </is>
      </c>
      <c r="D32" s="75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56" customHeight="1">
      <c r="A33" s="16" t="inlineStr">
        <is>
          <t>Other-channels EBIT (= Rev x other margin)</t>
        </is>
      </c>
      <c r="B33" t="inlineStr">
        <is>
          <t>Not % of consolidated revenue; other-channel EBIT ÷.</t>
        </is>
      </c>
      <c r="C33" s="126" t="inlineStr">
        <is>
          <t>FY2025 10-K: other channels (residual)</t>
        </is>
      </c>
      <c r="D33" s="75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t="inlineStr">
        <is>
          <t>Sum of sector EBIT (Phase 3).</t>
        </is>
      </c>
      <c r="C34" s="126" t="inlineStr">
        <is>
          <t>NOPAT Bridge tab: sector EBIT subtotal</t>
        </is>
      </c>
      <c r="E34" s="70">
        <f>E31+E32+E33+Scenarios!F7</f>
        <v/>
      </c>
      <c r="F34" s="70">
        <f>F31+F32+F33</f>
        <v/>
      </c>
      <c r="G34" s="70">
        <f>G31+G32+G33</f>
        <v/>
      </c>
      <c r="H34" s="70">
        <f>H31+H32+H33</f>
        <v/>
      </c>
      <c r="I34" s="70">
        <f>I31+I32+I33</f>
        <v/>
      </c>
    </row>
    <row r="35" ht="28" customHeight="1">
      <c r="A35" s="23">
        <f> EBIT after channel mix (Phase 3)</f>
        <v/>
      </c>
      <c r="B35" t="inlineStr">
        <is>
          <t>Channel-mix EBIT output (Phase 3).</t>
        </is>
      </c>
      <c r="C35" s="126" t="inlineStr">
        <is>
          <t>NOPAT Bridge tab: Phase 3 subtotal</t>
        </is>
      </c>
      <c r="D35" s="76" t="n">
        <v>2203273.345</v>
      </c>
      <c r="E35" s="25">
        <f>E34</f>
        <v/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</row>
    <row r="36" ht="28" customHeight="1">
      <c r="A36" s="23">
        <f> Normalized EBIT (tax base for NOPAT)</f>
        <v/>
      </c>
      <c r="B36" t="inlineStr">
        <is>
          <t>FY25 walk-through Phases 1–2.</t>
        </is>
      </c>
      <c r="C36" s="126" t="inlineStr">
        <is>
          <t>Scenarios tab: base-case EBIT (forecast)</t>
        </is>
      </c>
      <c r="D36" s="25">
        <f>D21+D23+D24-D25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>
      <c r="A37" s="16" t="inlineStr">
        <is>
          <t>EBIT variance vs Scenarios ($000)</t>
        </is>
      </c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>
      <c r="A38" s="73" t="inlineStr">
        <is>
          <t>Tax normalization</t>
        </is>
      </c>
    </row>
    <row r="39" ht="70" customHeight="1">
      <c r="A39" s="16" t="inlineStr">
        <is>
          <t>Operating effective tax rate (t_operating)</t>
        </is>
      </c>
      <c r="B39" t="inlineStr">
        <is>
          <t>Operating ETR with interest shield.</t>
        </is>
      </c>
      <c r="C39" s="126" t="inlineStr">
        <is>
          <t>LULU FY2025 10-K: income tax &amp; interest expense</t>
        </is>
      </c>
      <c r="D39" s="77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t="inlineStr">
        <is>
          <t>Normalized EBIT × t_operating.</t>
        </is>
      </c>
      <c r="C40" s="126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t="inlineStr">
        <is>
          <t>EBIT_norm × (1 − t_operating).</t>
        </is>
      </c>
      <c r="C41" s="126" t="inlineStr">
        <is>
          <t>NOPAT Bridge tab: normalized NOPAT</t>
        </is>
      </c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</row>
    <row r="42"/>
    <row r="43">
      <c r="A43" s="73" t="inlineStr">
        <is>
          <t>Reconciliation (execution steps)</t>
        </is>
      </c>
    </row>
    <row r="44">
      <c r="E44" s="78" t="inlineStr">
        <is>
          <t>Output</t>
        </is>
      </c>
    </row>
    <row r="45">
      <c r="A45" s="61" t="inlineStr">
        <is>
          <t>1. Clean base</t>
        </is>
      </c>
      <c r="B45" t="inlineStr">
        <is>
          <t>SEC 10-K income statement</t>
        </is>
      </c>
      <c r="C45" s="126" t="inlineStr">
        <is>
          <t>EBIT = 13.2% × rev + tariff; SBC stays expensed (flag = 0).</t>
        </is>
      </c>
      <c r="E45" s="80" t="inlineStr">
        <is>
          <t>Adjusted EBIT</t>
        </is>
      </c>
    </row>
    <row r="46">
      <c r="A46" s="61" t="inlineStr">
        <is>
          <t>2. Capitalize R&amp;D</t>
        </is>
      </c>
      <c r="B46" t="inlineStr">
        <is>
          <t>SG&amp;A footnotes</t>
        </is>
      </c>
      <c r="C46" s="126" t="inlineStr">
        <is>
          <t>R&amp;D/software expensed in full each year ($0 for LULU).</t>
        </is>
      </c>
      <c r="E46" s="80" t="inlineStr">
        <is>
          <t>EBIT_capitalized</t>
        </is>
      </c>
    </row>
    <row r="47">
      <c r="A47" s="61" t="inlineStr">
        <is>
          <t>3. Lease shift</t>
        </is>
      </c>
      <c r="B47" t="inlineStr">
        <is>
          <t>ASC 842 lease footnote</t>
        </is>
      </c>
      <c r="C47" s="126" t="inlineStr">
        <is>
          <t>Rent in opex; no implied lease-interest add-back.</t>
        </is>
      </c>
      <c r="E47" s="80" t="inlineStr">
        <is>
          <t>EBIT_lease-adj</t>
        </is>
      </c>
    </row>
    <row r="48">
      <c r="A48" s="61" t="inlineStr">
        <is>
          <t>4. Segment mix</t>
        </is>
      </c>
      <c r="B48" t="inlineStr">
        <is>
          <t>Revenue Drivers tab</t>
        </is>
      </c>
      <c r="C48" s="126" t="inlineStr">
        <is>
          <t>DCF uses consolidated 13.2% on total revenue (+ tariff).</t>
        </is>
      </c>
      <c r="E48" s="80" t="inlineStr">
        <is>
          <t>Forecast EBIT</t>
        </is>
      </c>
    </row>
    <row r="49">
      <c r="A49" s="61" t="inlineStr">
        <is>
          <t>5. NOPAT bridge</t>
        </is>
      </c>
      <c r="B49" t="inlineStr">
        <is>
          <t>Normalized EBIT &amp; t_operating</t>
        </is>
      </c>
      <c r="C49" s="126" t="inlineStr">
        <is>
          <t>NOPAT = EBIT × (1 − 30%) flat sc_tax.</t>
        </is>
      </c>
      <c r="E49" s="80" t="inlineStr">
        <is>
          <t>Normalized NOPAT</t>
        </is>
      </c>
    </row>
    <row r="50">
      <c r="A50" s="61" t="inlineStr">
        <is>
          <t>6. Tariff refund (Scenarios)</t>
        </is>
      </c>
      <c r="B50" t="inlineStr">
        <is>
          <t>Q2 FY2026 earnings release</t>
        </is>
      </c>
      <c r="C50" s="126" t="inlineStr">
        <is>
          <t>EBIT = Rev × 13.2% only (no refund).</t>
        </is>
      </c>
      <c r="E50" s="80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 ht="28" customHeight="1">
      <c r="A3" s="82" t="n"/>
      <c r="D3" s="83" t="n"/>
    </row>
    <row r="4" ht="36" customHeight="1">
      <c r="A4" s="38" t="n"/>
    </row>
    <row r="5">
      <c r="A5" s="16" t="inlineStr">
        <is>
          <t>Net revenue</t>
        </is>
      </c>
      <c r="D5" s="74" t="n">
        <v>11102600</v>
      </c>
      <c r="E5" s="75">
        <f>Scenarios!F25</f>
        <v/>
      </c>
      <c r="F5" s="75">
        <f>Scenarios!F26</f>
        <v/>
      </c>
      <c r="G5" s="75">
        <f>Scenarios!F27</f>
        <v/>
      </c>
      <c r="H5" s="75">
        <f>Scenarios!F28</f>
        <v/>
      </c>
      <c r="I5" s="75">
        <f>Scenarios!F29</f>
        <v/>
      </c>
    </row>
    <row r="6" ht="42" customHeight="1">
      <c r="A6" s="16" t="inlineStr">
        <is>
          <t>Revenue growth %</t>
        </is>
      </c>
      <c r="B6" t="inlineStr">
        <is>
          <t>−6.1% FY2026 revenue growth matches company guidance midpoint.</t>
        </is>
      </c>
      <c r="C6" s="126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12" customHeight="1">
      <c r="A7" s="16" t="inlineStr">
        <is>
          <t>Gross margin %</t>
        </is>
      </c>
      <c r="B7" t="inlineStr">
        <is>
          <t>56.6% of revenue (gross margin). Isolates COGS for.</t>
        </is>
      </c>
      <c r="C7" s="126" t="inlineStr">
        <is>
          <t>LULU FY2025 10-K: Gross profit &amp; COGS</t>
        </is>
      </c>
      <c r="D7" s="77" t="n">
        <v>0.566005440167168</v>
      </c>
      <c r="E7" s="20">
        <f>Scenarios!$H$14</f>
        <v/>
      </c>
      <c r="F7" s="20">
        <f>Scenarios!$H$14</f>
        <v/>
      </c>
      <c r="G7" s="20">
        <f>Scenarios!$H$14</f>
        <v/>
      </c>
      <c r="H7" s="20">
        <f>Scenarios!$H$14</f>
        <v/>
      </c>
      <c r="I7" s="20">
        <f>Scenarios!$H$14</f>
        <v/>
      </c>
    </row>
    <row r="8">
      <c r="A8" s="16" t="inlineStr">
        <is>
          <t>Cost of goods sold (COGS)</t>
        </is>
      </c>
      <c r="D8" s="74" t="n">
        <v>4818468</v>
      </c>
      <c r="E8" s="75">
        <f>Scenarios!F35</f>
        <v/>
      </c>
      <c r="F8" s="75">
        <f>Scenarios!F36</f>
        <v/>
      </c>
      <c r="G8" s="75">
        <f>Scenarios!F37</f>
        <v/>
      </c>
      <c r="H8" s="75">
        <f>Scenarios!F38</f>
        <v/>
      </c>
      <c r="I8" s="75">
        <f>Scenarios!F39</f>
        <v/>
      </c>
    </row>
    <row r="9" ht="42" customHeight="1">
      <c r="A9" s="16" t="inlineStr">
        <is>
          <t>Clean / run-rate EBIT margin %</t>
        </is>
      </c>
      <c r="B9" t="inlineStr">
        <is>
          <t>13.2% is the real/run-rate OM: Q2 18.8% minus.</t>
        </is>
      </c>
      <c r="C9" s="126" t="inlineStr">
        <is>
          <t>Q2 FY2026 release: 18.8% OM minus 560bps tariffs Also: FY2025 10-K: Operating margin 19.9% (one hit)</t>
        </is>
      </c>
      <c r="E9" s="32">
        <f>Scenarios!F40</f>
        <v/>
      </c>
      <c r="F9" s="32">
        <f>Scenarios!F41</f>
        <v/>
      </c>
      <c r="G9" s="32">
        <f>Scenarios!F42</f>
        <v/>
      </c>
      <c r="H9" s="32">
        <f>Scenarios!F43</f>
        <v/>
      </c>
      <c r="I9" s="32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$134.5M in FY26 only; already recognized.</t>
        </is>
      </c>
      <c r="C10" s="126" t="inlineStr">
        <is>
          <t>Q2 FY2026 release: $134.5M IEEPA tariff refunds</t>
        </is>
      </c>
      <c r="D10" s="74" t="n">
        <v>0</v>
      </c>
      <c r="E10" s="37">
        <f>Scenarios!$H$7</f>
        <v/>
      </c>
      <c r="F10" s="37" t="n">
        <v>0</v>
      </c>
      <c r="G10" s="37" t="n">
        <v>0</v>
      </c>
      <c r="H10" s="37" t="n">
        <v>0</v>
      </c>
      <c r="I10" s="37" t="n">
        <v>0</v>
      </c>
    </row>
    <row r="11">
      <c r="A11" s="23" t="inlineStr">
        <is>
          <t>EBIT (incl. FY26 refund)</t>
        </is>
      </c>
      <c r="D11" s="76" t="n">
        <v>2210615</v>
      </c>
      <c r="E11" s="25">
        <f>Scenarios!F45</f>
        <v/>
      </c>
      <c r="F11" s="25">
        <f>Scenarios!F46</f>
        <v/>
      </c>
      <c r="G11" s="25">
        <f>Scenarios!F47</f>
        <v/>
      </c>
      <c r="H11" s="25">
        <f>Scenarios!F48</f>
        <v/>
      </c>
      <c r="I11" s="25">
        <f>Scenarios!F49</f>
        <v/>
      </c>
    </row>
    <row r="12">
      <c r="A12" s="16" t="inlineStr">
        <is>
          <t>Reported EBIT margin % (incl. FY26 refund)</t>
        </is>
      </c>
      <c r="D12" s="77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75">
        <f>-'NOPAT Bridge'!E40</f>
        <v/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</row>
    <row r="14">
      <c r="A14" s="23" t="inlineStr">
        <is>
          <t>NOPAT</t>
        </is>
      </c>
      <c r="E14" s="25">
        <f>Scenarios!F50</f>
        <v/>
      </c>
      <c r="F14" s="25">
        <f>Scenarios!F51</f>
        <v/>
      </c>
      <c r="G14" s="25">
        <f>Scenarios!F52</f>
        <v/>
      </c>
      <c r="H14" s="25">
        <f>Scenarios!F53</f>
        <v/>
      </c>
      <c r="I14" s="25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D&amp;A / sales = FY25 496,228 /.</t>
        </is>
      </c>
      <c r="C15" s="126" t="inlineStr">
        <is>
          <t>LULU CF statement (10-K)</t>
        </is>
      </c>
      <c r="E15" s="20">
        <f>Scenarios!$H$12</f>
        <v/>
      </c>
      <c r="F15" s="20">
        <f>Scenarios!$H$12</f>
        <v/>
      </c>
      <c r="G15" s="20">
        <f>Scenarios!$H$12</f>
        <v/>
      </c>
      <c r="H15" s="20">
        <f>Scenarios!$H$12</f>
        <v/>
      </c>
      <c r="I15" s="20">
        <f>Scenarios!$H$12</f>
        <v/>
      </c>
    </row>
    <row r="16">
      <c r="A16" s="16" t="inlineStr">
        <is>
          <t>Plus: depreciation &amp; amortization</t>
        </is>
      </c>
      <c r="E16" s="75">
        <f>Scenarios!F55</f>
        <v/>
      </c>
      <c r="F16" s="75">
        <f>Scenarios!F56</f>
        <v/>
      </c>
      <c r="G16" s="75">
        <f>Scenarios!F57</f>
        <v/>
      </c>
      <c r="H16" s="75">
        <f>Scenarios!F58</f>
        <v/>
      </c>
      <c r="I16" s="75">
        <f>Scenarios!F59</f>
        <v/>
      </c>
    </row>
    <row r="17" ht="150" customHeight="1">
      <c r="A17" s="16" t="inlineStr">
        <is>
          <t>Capex % of revenue</t>
        </is>
      </c>
      <c r="B17" t="inlineStr">
        <is>
          <t>FY26 7.0% is $735M on $10.4B sales, not.</t>
        </is>
      </c>
      <c r="C17" s="126" t="inlineStr">
        <is>
          <t>LULU 10-K: 2026 capex guide $725–745M Also: Q2 FY2026 outlook: $10.350B–$10.500B sales</t>
        </is>
      </c>
      <c r="E17" s="20">
        <f>Scenarios!$H$13</f>
        <v/>
      </c>
      <c r="F17" s="20">
        <f>Scenarios!$H$13</f>
        <v/>
      </c>
      <c r="G17" s="20">
        <f>Scenarios!$H$13</f>
        <v/>
      </c>
      <c r="H17" s="20">
        <f>Scenarios!$H$13</f>
        <v/>
      </c>
      <c r="I17" s="20">
        <f>Scenarios!$H$13</f>
        <v/>
      </c>
    </row>
    <row r="18">
      <c r="A18" s="16" t="inlineStr">
        <is>
          <t>Less: capital expenditures</t>
        </is>
      </c>
      <c r="E18" s="75">
        <f>-Scenarios!F60</f>
        <v/>
      </c>
      <c r="F18" s="75">
        <f>-Scenarios!F61</f>
        <v/>
      </c>
      <c r="G18" s="75">
        <f>-Scenarios!F62</f>
        <v/>
      </c>
      <c r="H18" s="75">
        <f>-Scenarios!F63</f>
        <v/>
      </c>
      <c r="I18" s="75">
        <f>-Scenarios!F64</f>
        <v/>
      </c>
    </row>
    <row r="19">
      <c r="A19" s="52" t="inlineStr">
        <is>
          <t>Working capital</t>
        </is>
      </c>
      <c r="B19" t="inlineStr">
        <is>
          <t>Not one %; net ≈13.2% of FY25 sales.</t>
        </is>
      </c>
      <c r="C19" s="126" t="inlineStr">
        <is>
          <t>LULU FY2025 10-K: working-capital components</t>
        </is>
      </c>
    </row>
    <row r="20" ht="150" customHeight="1">
      <c r="A20" s="16" t="inlineStr">
        <is>
          <t>DSO (days) - flat vs FY25</t>
        </is>
      </c>
      <c r="B20" t="inlineStr">
        <is>
          <t>Not % of revenue; DSO (days), flat ~6.3..</t>
        </is>
      </c>
      <c r="C20" s="126" t="inlineStr">
        <is>
          <t>LULU FY2025 10-K: Accounts receivable, net</t>
        </is>
      </c>
      <c r="D20" s="88" t="n">
        <v>6.267883648875038</v>
      </c>
      <c r="E20" s="28">
        <f>Scenarios!F65</f>
        <v/>
      </c>
      <c r="F20" s="28">
        <f>Scenarios!F66</f>
        <v/>
      </c>
      <c r="G20" s="28">
        <f>Scenarios!F67</f>
        <v/>
      </c>
      <c r="H20" s="28">
        <f>Scenarios!F68</f>
        <v/>
      </c>
      <c r="I20" s="28">
        <f>Scenarios!F69</f>
        <v/>
      </c>
    </row>
    <row r="21" ht="98" customHeight="1">
      <c r="A21" s="16" t="inlineStr">
        <is>
          <t>Accounts receivable, net</t>
        </is>
      </c>
      <c r="B21" t="inlineStr">
        <is>
          <t>Implied ~1.7% of revenue (not a direct %.</t>
        </is>
      </c>
      <c r="C21" s="126" t="inlineStr">
        <is>
          <t>LULU FY2025 10-K: Accounts receivable, net</t>
        </is>
      </c>
      <c r="D21" s="74" t="n">
        <v>190657</v>
      </c>
      <c r="E21" s="75">
        <f>Scenarios!F70</f>
        <v/>
      </c>
      <c r="F21" s="75">
        <f>Scenarios!F71</f>
        <v/>
      </c>
      <c r="G21" s="75">
        <f>Scenarios!F72</f>
        <v/>
      </c>
      <c r="H21" s="75">
        <f>Scenarios!F73</f>
        <v/>
      </c>
      <c r="I21" s="75">
        <f>Scenarios!F74</f>
        <v/>
      </c>
    </row>
    <row r="22" ht="150" customHeight="1">
      <c r="A22" s="16" t="inlineStr">
        <is>
          <t>DIO (days) - FY25 anchor, -1 day/yr</t>
        </is>
      </c>
      <c r="B22" t="inlineStr">
        <is>
          <t>Not % of revenue; DIO (days). FY25 anchor:.</t>
        </is>
      </c>
      <c r="C22" s="126" t="inlineStr">
        <is>
          <t>LULU FY2025 10-K: Inventories &amp; COGS Also: LULU FY2025 10-K: inventory &amp; markdown outlook</t>
        </is>
      </c>
      <c r="D22" s="88" t="n">
        <v>128.8324100108167</v>
      </c>
      <c r="E22" s="28">
        <f>Scenarios!F75</f>
        <v/>
      </c>
      <c r="F22" s="28">
        <f>Scenarios!F76</f>
        <v/>
      </c>
      <c r="G22" s="28">
        <f>Scenarios!F77</f>
        <v/>
      </c>
      <c r="H22" s="28">
        <f>Scenarios!F78</f>
        <v/>
      </c>
      <c r="I22" s="28">
        <f>Scenarios!F79</f>
        <v/>
      </c>
    </row>
    <row r="23" ht="112" customHeight="1">
      <c r="A23" s="16" t="inlineStr">
        <is>
          <t>Inventories</t>
        </is>
      </c>
      <c r="B23" t="inlineStr">
        <is>
          <t>Not % of revenue; $ balance (not a.</t>
        </is>
      </c>
      <c r="C23" s="126" t="inlineStr">
        <is>
          <t>LULU FY2025 10-K: Inventories</t>
        </is>
      </c>
      <c r="D23" s="74" t="n">
        <v>1700753</v>
      </c>
      <c r="E23" s="75">
        <f>Scenarios!F80</f>
        <v/>
      </c>
      <c r="F23" s="75">
        <f>Scenarios!F81</f>
        <v/>
      </c>
      <c r="G23" s="75">
        <f>Scenarios!F82</f>
        <v/>
      </c>
      <c r="H23" s="75">
        <f>Scenarios!F83</f>
        <v/>
      </c>
      <c r="I23" s="75">
        <f>Scenarios!F84</f>
        <v/>
      </c>
    </row>
    <row r="24" ht="84" customHeight="1">
      <c r="A24" s="16" t="inlineStr">
        <is>
          <t>DPO (days) - flat vs FY25</t>
        </is>
      </c>
      <c r="B24" t="inlineStr">
        <is>
          <t>Not % of revenue; DPO (days), flat ~25.1..</t>
        </is>
      </c>
      <c r="C24" s="126" t="inlineStr">
        <is>
          <t>LULU FY2025 10-K: Accounts payable &amp; COGS</t>
        </is>
      </c>
      <c r="D24" s="88" t="n">
        <v>25.10521290169407</v>
      </c>
      <c r="E24" s="28">
        <f>Scenarios!F85</f>
        <v/>
      </c>
      <c r="F24" s="28">
        <f>Scenarios!F86</f>
        <v/>
      </c>
      <c r="G24" s="28">
        <f>Scenarios!F87</f>
        <v/>
      </c>
      <c r="H24" s="28">
        <f>Scenarios!F88</f>
        <v/>
      </c>
      <c r="I24" s="28">
        <f>Scenarios!F89</f>
        <v/>
      </c>
    </row>
    <row r="25" ht="84" customHeight="1">
      <c r="A25" s="16" t="inlineStr">
        <is>
          <t>Accounts payable</t>
        </is>
      </c>
      <c r="B25" t="inlineStr">
        <is>
          <t>Implied ~3.0% of revenue (not a direct %.</t>
        </is>
      </c>
      <c r="C25" s="126" t="inlineStr">
        <is>
          <t>LULU FY2025 10-K: Accounts payable</t>
        </is>
      </c>
      <c r="D25" s="74" t="n">
        <v>331421</v>
      </c>
      <c r="E25" s="75">
        <f>Scenarios!F90</f>
        <v/>
      </c>
      <c r="F25" s="75">
        <f>Scenarios!F91</f>
        <v/>
      </c>
      <c r="G25" s="75">
        <f>Scenarios!F92</f>
        <v/>
      </c>
      <c r="H25" s="75">
        <f>Scenarios!F93</f>
        <v/>
      </c>
      <c r="I25" s="75">
        <f>Scenarios!F94</f>
        <v/>
      </c>
    </row>
    <row r="26" ht="84" customHeight="1">
      <c r="A26" s="16" t="inlineStr">
        <is>
          <t>Prepaid expenses (% of revenue)</t>
        </is>
      </c>
      <c r="B26" t="inlineStr">
        <is>
          <t>5.1% of revenue (flat). FY25 other current assets.</t>
        </is>
      </c>
      <c r="C26" s="126" t="inlineStr">
        <is>
          <t>LULU FY2025 10-K: other current assets (residual)</t>
        </is>
      </c>
      <c r="D26" s="77" t="n">
        <v>0.05080692810692991</v>
      </c>
      <c r="E26" s="20">
        <f>Scenarios!$H$19</f>
        <v/>
      </c>
      <c r="F26" s="20">
        <f>Scenarios!$H$19</f>
        <v/>
      </c>
      <c r="G26" s="20">
        <f>Scenarios!$H$19</f>
        <v/>
      </c>
      <c r="H26" s="20">
        <f>Scenarios!$H$19</f>
        <v/>
      </c>
      <c r="I26" s="20">
        <f>Scenarios!$H$19</f>
        <v/>
      </c>
    </row>
    <row r="27" ht="84" customHeight="1">
      <c r="A27" s="16" t="inlineStr">
        <is>
          <t>Prepaid expenses (other current assets)</t>
        </is>
      </c>
      <c r="B27" t="inlineStr">
        <is>
          <t>5.1% of revenue (flat). FY25 other current assets.</t>
        </is>
      </c>
      <c r="C27" s="126" t="inlineStr">
        <is>
          <t>LULU FY2025 10-K: other current assets (residual)</t>
        </is>
      </c>
      <c r="D27" s="74" t="n">
        <v>564089</v>
      </c>
      <c r="E27" s="75">
        <f>Scenarios!F95</f>
        <v/>
      </c>
      <c r="F27" s="75">
        <f>Scenarios!F96</f>
        <v/>
      </c>
      <c r="G27" s="75">
        <f>Scenarios!F97</f>
        <v/>
      </c>
      <c r="H27" s="75">
        <f>Scenarios!F98</f>
        <v/>
      </c>
      <c r="I27" s="75">
        <f>Scenarios!F99</f>
        <v/>
      </c>
    </row>
    <row r="28" ht="84" customHeight="1">
      <c r="A28" s="16" t="inlineStr">
        <is>
          <t>Accrued liabilities (% of revenue)</t>
        </is>
      </c>
      <c r="B28" t="inlineStr">
        <is>
          <t>6.0% of revenue (flat). FY25 accrued liabilities ÷.</t>
        </is>
      </c>
      <c r="C28" s="126" t="inlineStr">
        <is>
          <t>LULU FY2025 10-K: Accrued liabilities and other</t>
        </is>
      </c>
      <c r="D28" s="77" t="n">
        <v>0.05971412101669879</v>
      </c>
      <c r="E28" s="20">
        <f>Scenarios!$H$20</f>
        <v/>
      </c>
      <c r="F28" s="20">
        <f>Scenarios!$H$20</f>
        <v/>
      </c>
      <c r="G28" s="20">
        <f>Scenarios!$H$20</f>
        <v/>
      </c>
      <c r="H28" s="20">
        <f>Scenarios!$H$20</f>
        <v/>
      </c>
      <c r="I28" s="20">
        <f>Scenarios!$H$20</f>
        <v/>
      </c>
    </row>
    <row r="29" ht="84" customHeight="1">
      <c r="A29" s="16" t="inlineStr">
        <is>
          <t>Accrued liabilities and other</t>
        </is>
      </c>
      <c r="B29" t="inlineStr">
        <is>
          <t>6.0% of revenue (flat). FY25 accrued liabilities ÷.</t>
        </is>
      </c>
      <c r="C29" s="126" t="inlineStr">
        <is>
          <t>LULU FY2025 10-K: Accrued liabilities and other</t>
        </is>
      </c>
      <c r="D29" s="74" t="n">
        <v>662982</v>
      </c>
      <c r="E29" s="75">
        <f>Scenarios!F100</f>
        <v/>
      </c>
      <c r="F29" s="75">
        <f>Scenarios!F101</f>
        <v/>
      </c>
      <c r="G29" s="75">
        <f>Scenarios!F102</f>
        <v/>
      </c>
      <c r="H29" s="75">
        <f>Scenarios!F103</f>
        <v/>
      </c>
      <c r="I29" s="75">
        <f>Scenarios!F104</f>
        <v/>
      </c>
    </row>
    <row r="30" ht="42" customHeight="1">
      <c r="A30" s="16" t="inlineStr">
        <is>
          <t>Current operating assets (AR + inv + prepaids)</t>
        </is>
      </c>
      <c r="B30" t="inlineStr">
        <is>
          <t>Not one %; sum ≈22.1% of FY25 sales.</t>
        </is>
      </c>
      <c r="C30" s="126" t="inlineStr">
        <is>
          <t>Scenarios tab: AR + inventory + prepaids</t>
        </is>
      </c>
      <c r="E30" s="75">
        <f>Scenarios!F105</f>
        <v/>
      </c>
      <c r="F30" s="75">
        <f>Scenarios!F106</f>
        <v/>
      </c>
      <c r="G30" s="75">
        <f>Scenarios!F107</f>
        <v/>
      </c>
      <c r="H30" s="75">
        <f>Scenarios!F108</f>
        <v/>
      </c>
      <c r="I30" s="75">
        <f>Scenarios!F109</f>
        <v/>
      </c>
    </row>
    <row r="31" ht="42" customHeight="1">
      <c r="A31" s="16" t="inlineStr">
        <is>
          <t>Current operating liabilities (AP + accruals)</t>
        </is>
      </c>
      <c r="B31" t="inlineStr">
        <is>
          <t>Not one %; sum ≈9.0% of FY25 sales.</t>
        </is>
      </c>
      <c r="C31" s="126" t="inlineStr">
        <is>
          <t>Scenarios tab: AP + accrued liabilities</t>
        </is>
      </c>
      <c r="E31" s="75">
        <f>Scenarios!F110</f>
        <v/>
      </c>
      <c r="F31" s="75">
        <f>Scenarios!F111</f>
        <v/>
      </c>
      <c r="G31" s="75">
        <f>Scenarios!F112</f>
        <v/>
      </c>
      <c r="H31" s="75">
        <f>Scenarios!F113</f>
        <v/>
      </c>
      <c r="I31" s="75">
        <f>Scenarios!F114</f>
        <v/>
      </c>
    </row>
    <row r="32" ht="42" customHeight="1">
      <c r="A32" s="23" t="inlineStr">
        <is>
          <t>Net working capital</t>
        </is>
      </c>
      <c r="B32" t="inlineStr">
        <is>
          <t>Not one %; net ≈13.2% of FY25 sales.</t>
        </is>
      </c>
      <c r="C32" s="126" t="inlineStr">
        <is>
          <t>LULU FY2025 10-K: working-capital components</t>
        </is>
      </c>
      <c r="D32" s="76" t="n">
        <v>1461096</v>
      </c>
      <c r="E32" s="25">
        <f>Scenarios!F115</f>
        <v/>
      </c>
      <c r="F32" s="25">
        <f>Scenarios!F116</f>
        <v/>
      </c>
      <c r="G32" s="25">
        <f>Scenarios!F117</f>
        <v/>
      </c>
      <c r="H32" s="25">
        <f>Scenarios!F118</f>
        <v/>
      </c>
      <c r="I32" s="25">
        <f>Scenarios!F119</f>
        <v/>
      </c>
    </row>
    <row r="33" ht="56" customHeight="1">
      <c r="A33" s="23" t="inlineStr">
        <is>
          <t>Delta NWC (prior yr - current yr)</t>
        </is>
      </c>
      <c r="B33" t="inlineStr">
        <is>
          <t>Not % of revenue; $ change in NWC.</t>
        </is>
      </c>
      <c r="C33" s="126" t="inlineStr">
        <is>
          <t>Scenarios tab: NWC roll-forward (driver schedule)</t>
        </is>
      </c>
      <c r="E33" s="25">
        <f>Scenarios!F120</f>
        <v/>
      </c>
      <c r="F33" s="25">
        <f>Scenarios!F121</f>
        <v/>
      </c>
      <c r="G33" s="25">
        <f>Scenarios!F122</f>
        <v/>
      </c>
      <c r="H33" s="25">
        <f>Scenarios!F123</f>
        <v/>
      </c>
      <c r="I33" s="25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89">
        <f>Scenarios!F125</f>
        <v/>
      </c>
      <c r="F35" s="89">
        <f>Scenarios!F126</f>
        <v/>
      </c>
      <c r="G35" s="89">
        <f>Scenarios!F127</f>
        <v/>
      </c>
      <c r="H35" s="89">
        <f>Scenarios!F128</f>
        <v/>
      </c>
      <c r="I35" s="89">
        <f>Scenarios!F129</f>
        <v/>
      </c>
    </row>
    <row r="36">
      <c r="A36" s="16" t="inlineStr">
        <is>
          <t>Discount period (years)</t>
        </is>
      </c>
      <c r="E36" s="90" t="n">
        <v>1</v>
      </c>
      <c r="F36" s="90" t="n">
        <v>2</v>
      </c>
      <c r="G36" s="90" t="n">
        <v>3</v>
      </c>
      <c r="H36" s="90" t="n">
        <v>4</v>
      </c>
      <c r="I36" s="90" t="n">
        <v>5</v>
      </c>
    </row>
    <row r="37">
      <c r="A37" s="16" t="inlineStr">
        <is>
          <t>Discount factor @ WACC</t>
        </is>
      </c>
      <c r="E37" s="91">
        <f>1/(1+Scenarios!$H$9)^E36</f>
        <v/>
      </c>
      <c r="F37" s="91">
        <f>1/(1+Scenarios!$H$9)^F36</f>
        <v/>
      </c>
      <c r="G37" s="91">
        <f>1/(1+Scenarios!$H$9)^G36</f>
        <v/>
      </c>
      <c r="H37" s="91">
        <f>1/(1+Scenarios!$H$9)^H36</f>
        <v/>
      </c>
      <c r="I37" s="91">
        <f>1/(1+Scenarios!$H$9)^I36</f>
        <v/>
      </c>
    </row>
    <row r="38">
      <c r="A38" s="23" t="inlineStr">
        <is>
          <t>PV of unlevered FCF</t>
        </is>
      </c>
      <c r="E38" s="25">
        <f>E35*E37</f>
        <v/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0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sits next to FRED GDPC1.</t>
        </is>
      </c>
      <c r="C43" s="126" t="inlineStr">
        <is>
          <t>FRED: Real GDP (GDPC1)</t>
        </is>
      </c>
      <c r="D43" s="32">
        <f>Scenarios!$H$10</f>
        <v/>
      </c>
    </row>
    <row r="44">
      <c r="A44" s="23" t="inlineStr">
        <is>
          <t>Terminal EBITDA (FY2030E EBIT + D&amp;A)</t>
        </is>
      </c>
      <c r="D44" s="25">
        <f>I11+I16</f>
        <v/>
      </c>
    </row>
    <row r="45">
      <c r="A45" s="16" t="inlineStr">
        <is>
          <t>Terminal value = FCF5x(1+g)/(WACC-g)</t>
        </is>
      </c>
      <c r="D45" s="75">
        <f>I35*(1+Scenarios!$H$10)/(Scenarios!$H$9-Scenarios!$H$10)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94">
        <f>I35/D44*(1+Scenarios!$H$10)/(Scenarios!$H$9-Scenarios!$H$10)</f>
        <v/>
      </c>
    </row>
    <row r="48">
      <c r="A48" s="23" t="inlineStr">
        <is>
          <t>PV of terminal value</t>
        </is>
      </c>
      <c r="D48" s="70">
        <f>D45/(1+Scenarios!$H$9)^I36</f>
        <v/>
      </c>
    </row>
    <row r="49">
      <c r="A49" s="23" t="inlineStr">
        <is>
          <t>Enterprise value</t>
        </is>
      </c>
      <c r="D49" s="25">
        <f>D42+D48</f>
        <v/>
      </c>
    </row>
    <row r="50" ht="28" customHeight="1">
      <c r="A50" s="16" t="inlineStr">
        <is>
          <t>Plus: cash &amp; equivalents (FY2025)</t>
        </is>
      </c>
      <c r="C50" s="126" t="inlineStr">
        <is>
          <t>10-K</t>
        </is>
      </c>
      <c r="D50" s="74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26" t="inlineStr">
        <is>
          <t>LULU FY2025 10-K: operating lease liabilities</t>
        </is>
      </c>
      <c r="D51" s="74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25">
        <f>D49+D50+D51</f>
        <v/>
      </c>
    </row>
    <row r="55" ht="28" customHeight="1">
      <c r="A55" s="16" t="inlineStr">
        <is>
          <t>Shares outstanding (000)</t>
        </is>
      </c>
      <c r="C55" s="126" t="inlineStr">
        <is>
          <t>10-K</t>
        </is>
      </c>
      <c r="D55" s="74" t="n">
        <v>111380</v>
      </c>
    </row>
    <row r="56">
      <c r="A56" s="23" t="inlineStr">
        <is>
          <t>Implied value per share</t>
        </is>
      </c>
      <c r="D56" s="96">
        <f>D54/D55</f>
        <v/>
      </c>
    </row>
    <row r="57" ht="28" customHeight="1">
      <c r="A57" s="16" t="inlineStr">
        <is>
          <t>Current share price</t>
        </is>
      </c>
      <c r="C57" s="126" t="inlineStr">
        <is>
          <t>NASDAQ</t>
        </is>
      </c>
      <c r="D57" s="97" t="n">
        <v>100.61</v>
      </c>
    </row>
    <row r="58">
      <c r="A58" s="23" t="inlineStr">
        <is>
          <t>Implied upside / (downside)</t>
        </is>
      </c>
      <c r="D58" s="98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0"/>
    <row r="61"/>
    <row r="62">
      <c r="A62" s="93" t="inlineStr">
        <is>
          <t>SHARE REPURCHASE &amp; EPS ACCRETION SCHEDULE</t>
        </is>
      </c>
      <c r="D62" s="13" t="n"/>
    </row>
    <row r="63">
      <c r="A63" s="26" t="n"/>
    </row>
    <row r="64"/>
    <row r="65">
      <c r="A65" s="16" t="inlineStr">
        <is>
          <t>Annual repurchase budget ($000) - base case</t>
        </is>
      </c>
      <c r="D65" s="37" t="n">
        <v>500000</v>
      </c>
      <c r="E65" s="37">
        <f>$D$65</f>
        <v/>
      </c>
      <c r="F65" s="37">
        <f>$D$65</f>
        <v/>
      </c>
      <c r="G65" s="37">
        <f>$D$65</f>
        <v/>
      </c>
      <c r="H65" s="37">
        <f>$D$65</f>
        <v/>
      </c>
      <c r="I65" s="37">
        <f>$D$65</f>
        <v/>
      </c>
    </row>
    <row r="66">
      <c r="A66" s="16" t="inlineStr">
        <is>
          <t>Cost of equity - share-price growth rate</t>
        </is>
      </c>
      <c r="D66" s="20" t="n">
        <v>0.105</v>
      </c>
      <c r="E66" s="20">
        <f>$D$66</f>
        <v/>
      </c>
      <c r="F66" s="20">
        <f>$D$66</f>
        <v/>
      </c>
      <c r="G66" s="20">
        <f>$D$66</f>
        <v/>
      </c>
      <c r="H66" s="20">
        <f>$D$66</f>
        <v/>
      </c>
      <c r="I66" s="20">
        <f>$D$66</f>
        <v/>
      </c>
    </row>
    <row r="67"/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75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/>
    <row r="72">
      <c r="A72" s="16" t="inlineStr">
        <is>
          <t>Projected share price ($)</t>
        </is>
      </c>
      <c r="D72" s="99" t="n">
        <v>100.61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75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22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00" t="n">
        <v>111380</v>
      </c>
      <c r="E75" s="25">
        <f>E74-E73</f>
        <v/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</row>
    <row r="76"/>
    <row r="77">
      <c r="A77" s="16" t="inlineStr">
        <is>
          <t>Projected net income ($000)</t>
        </is>
      </c>
      <c r="D77" s="22" t="n">
        <v>1579183</v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01" t="n">
        <v>14.1783354282636</v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Selected exit is Gordon TV / FY30 EBITDA..</t>
        </is>
      </c>
      <c r="C82" s="126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75">
        <f>D83/(1+Scenarios!$H$9)^I36</f>
        <v/>
      </c>
    </row>
    <row r="85">
      <c r="A85" s="23" t="inlineStr">
        <is>
          <t>Enterprise value (exit method)</t>
        </is>
      </c>
      <c r="D85" s="25">
        <f>D42+D84</f>
        <v/>
      </c>
    </row>
    <row r="86">
      <c r="A86" s="23" t="inlineStr">
        <is>
          <t>Implied value per share (exit method)</t>
        </is>
      </c>
      <c r="D86" s="102">
        <f>(D85+D50+D51)/D55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  <c r="B90">
        <f>E45</f>
        <v/>
      </c>
      <c r="C90" s="126">
        <f>E83</f>
        <v/>
      </c>
    </row>
    <row r="91">
      <c r="A91" s="23" t="inlineStr">
        <is>
          <t>Exit EV/EBITDA (implied vs selected)</t>
        </is>
      </c>
      <c r="B91">
        <f>E46</f>
        <v/>
      </c>
      <c r="C91" s="126">
        <f>E82</f>
        <v/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  <c r="B93">
        <f>E56</f>
        <v/>
      </c>
      <c r="C93" s="126">
        <f>E86</f>
        <v/>
      </c>
    </row>
    <row r="94">
      <c r="A94" s="68" t="n"/>
    </row>
    <row r="95"/>
    <row r="96"/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Terminal-g axis 1.5–3.0% brackets 2.25% base; bounded by.</t>
        </is>
      </c>
      <c r="C98" s="126" t="inlineStr">
        <is>
          <t>FRED: Real GDP (GDPC1)</t>
        </is>
      </c>
      <c r="E98" s="109" t="n">
        <v>0.015</v>
      </c>
      <c r="F98" s="109" t="n">
        <v>0.02</v>
      </c>
      <c r="G98" s="109" t="n">
        <v>0.0225</v>
      </c>
      <c r="H98" s="109" t="n">
        <v>0.025</v>
      </c>
      <c r="I98" s="109" t="n">
        <v>0.03</v>
      </c>
    </row>
    <row r="99" ht="28" customHeight="1">
      <c r="A99" s="109" t="n">
        <v>0.095</v>
      </c>
      <c r="C99" s="126" t="inlineStr">
        <is>
          <t>Damodaran: Historical Implied ERP</t>
        </is>
      </c>
      <c r="E99" s="110">
        <f>(NPV(0.095,E35:I35)+(I35*(1+0.015)/(0.095-0.015))/(1+0.095)^5+D50+D51)/D55</f>
        <v/>
      </c>
      <c r="F99" s="110">
        <f>(NPV(0.095,E35:I35)+(I35*(1+0.02)/(0.095-0.02))/(1+0.095)^5+D50+D51)/D55</f>
        <v/>
      </c>
      <c r="G99" s="110">
        <f>(NPV(0.095,E35:I35)+(I35*(1+0.0225)/(0.095-0.0225))/(1+0.095)^5+D50+D51)/D55</f>
        <v/>
      </c>
      <c r="H99" s="110">
        <f>(NPV(0.095,E35:I35)+(I35*(1+0.025)/(0.095-0.025))/(1+0.095)^5+D50+D51)/D55</f>
        <v/>
      </c>
      <c r="I99" s="110">
        <f>(NPV(0.095,E35:I35)+(I35*(1+0.03)/(0.095-0.03))/(1+0.095)^5+D50+D51)/D55</f>
        <v/>
      </c>
    </row>
    <row r="100" ht="28" customHeight="1">
      <c r="A100" s="109" t="n">
        <v>0.1</v>
      </c>
      <c r="E100" s="110">
        <f>(NPV(0.1,E35:I35)+(I35*(1+0.015)/(0.1-0.015))/(1+0.1)^5+D50+D51)/D55</f>
        <v/>
      </c>
      <c r="F100" s="110">
        <f>(NPV(0.1,E35:I35)+(I35*(1+0.02)/(0.1-0.02))/(1+0.1)^5+D50+D51)/D55</f>
        <v/>
      </c>
      <c r="G100" s="110">
        <f>(NPV(0.1,E35:I35)+(I35*(1+0.0225)/(0.1-0.0225))/(1+0.1)^5+D50+D51)/D55</f>
        <v/>
      </c>
      <c r="H100" s="110">
        <f>(NPV(0.1,E35:I35)+(I35*(1+0.025)/(0.1-0.025))/(1+0.1)^5+D50+D51)/D55</f>
        <v/>
      </c>
      <c r="I100" s="110">
        <f>(NPV(0.1,E35:I35)+(I35*(1+0.03)/(0.1-0.03))/(1+0.1)^5+D50+D51)/D55</f>
        <v/>
      </c>
    </row>
    <row r="101" ht="28" customHeight="1">
      <c r="A101" s="109" t="n">
        <v>0.105</v>
      </c>
      <c r="E101" s="110">
        <f>(NPV(0.105,E35:I35)+(I35*(1+0.015)/(0.105-0.015))/(1+0.105)^5+D50+D51)/D55</f>
        <v/>
      </c>
      <c r="F101" s="110">
        <f>(NPV(0.105,E35:I35)+(I35*(1+0.02)/(0.105-0.02))/(1+0.105)^5+D50+D51)/D55</f>
        <v/>
      </c>
      <c r="G101" s="111">
        <f>(NPV(0.105,E35:I35)+(I35*(1+0.0225)/(0.105-0.0225))/(1+0.105)^5+D50+D51)/D55</f>
        <v/>
      </c>
      <c r="H101" s="110">
        <f>(NPV(0.105,E35:I35)+(I35*(1+0.025)/(0.105-0.025))/(1+0.105)^5+D50+D51)/D55</f>
        <v/>
      </c>
      <c r="I101" s="110">
        <f>(NPV(0.105,E35:I35)+(I35*(1+0.03)/(0.105-0.03))/(1+0.105)^5+D50+D51)/D55</f>
        <v/>
      </c>
    </row>
    <row r="102" ht="28" customHeight="1">
      <c r="A102" s="109" t="n">
        <v>0.11</v>
      </c>
      <c r="E102" s="110">
        <f>(NPV(0.11,E35:I35)+(I35*(1+0.015)/(0.11-0.015))/(1+0.11)^5+D50+D51)/D55</f>
        <v/>
      </c>
      <c r="F102" s="110">
        <f>(NPV(0.11,E35:I35)+(I35*(1+0.02)/(0.11-0.02))/(1+0.11)^5+D50+D51)/D55</f>
        <v/>
      </c>
      <c r="G102" s="110">
        <f>(NPV(0.11,E35:I35)+(I35*(1+0.0225)/(0.11-0.0225))/(1+0.11)^5+D50+D51)/D55</f>
        <v/>
      </c>
      <c r="H102" s="110">
        <f>(NPV(0.11,E35:I35)+(I35*(1+0.025)/(0.11-0.025))/(1+0.11)^5+D50+D51)/D55</f>
        <v/>
      </c>
      <c r="I102" s="110">
        <f>(NPV(0.11,E35:I35)+(I35*(1+0.03)/(0.11-0.03))/(1+0.11)^5+D50+D51)/D55</f>
        <v/>
      </c>
    </row>
    <row r="103" ht="28" customHeight="1">
      <c r="A103" s="109" t="n">
        <v>0.115</v>
      </c>
      <c r="E103" s="110">
        <f>(NPV(0.115,E35:I35)+(I35*(1+0.015)/(0.115-0.015))/(1+0.115)^5+D50+D51)/D55</f>
        <v/>
      </c>
      <c r="F103" s="110">
        <f>(NPV(0.115,E35:I35)+(I35*(1+0.02)/(0.115-0.02))/(1+0.115)^5+D50+D51)/D55</f>
        <v/>
      </c>
      <c r="G103" s="110">
        <f>(NPV(0.115,E35:I35)+(I35*(1+0.0225)/(0.115-0.0225))/(1+0.115)^5+D50+D51)/D55</f>
        <v/>
      </c>
      <c r="H103" s="110">
        <f>(NPV(0.115,E35:I35)+(I35*(1+0.025)/(0.115-0.025))/(1+0.115)^5+D50+D51)/D55</f>
        <v/>
      </c>
      <c r="I103" s="110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26" t="inlineStr">
        <is>
          <t>10-K</t>
        </is>
      </c>
      <c r="D4" s="74" t="n">
        <v>11102600</v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126" t="inlineStr">
        <is>
          <t>↳ DCF base case</t>
        </is>
      </c>
      <c r="D6" s="75">
        <f>DCF!D44</f>
        <v/>
      </c>
    </row>
    <row r="7" ht="28" customHeight="1">
      <c r="A7" s="16" t="inlineStr">
        <is>
          <t>FY2026E diluted EPS (guidance midpoint)</t>
        </is>
      </c>
      <c r="C7" s="126" t="inlineStr">
        <is>
          <t>Release</t>
        </is>
      </c>
      <c r="D7" s="97" t="n">
        <v>9.609999999999999</v>
      </c>
    </row>
    <row r="8" ht="28" customHeight="1">
      <c r="A8" s="16" t="inlineStr">
        <is>
          <t>Cash &amp; equivalents</t>
        </is>
      </c>
      <c r="C8" s="126" t="inlineStr">
        <is>
          <t>10-K</t>
        </is>
      </c>
      <c r="D8" s="74" t="n">
        <v>1807202</v>
      </c>
    </row>
    <row r="9" ht="28" customHeight="1">
      <c r="A9" s="16" t="inlineStr">
        <is>
          <t>Shares outstanding (000)</t>
        </is>
      </c>
      <c r="C9" s="126" t="inlineStr">
        <is>
          <t>10-K</t>
        </is>
      </c>
      <c r="D9" s="74" t="n">
        <v>111380</v>
      </c>
    </row>
    <row r="10" ht="28" customHeight="1">
      <c r="A10" s="16" t="inlineStr">
        <is>
          <t>Current share price</t>
        </is>
      </c>
      <c r="C10" s="126" t="inlineStr">
        <is>
          <t>NASDAQ</t>
        </is>
      </c>
      <c r="D10" s="97" t="n">
        <v>100.61</v>
      </c>
    </row>
    <row r="11">
      <c r="A11" s="107" t="inlineStr">
        <is>
          <t>current EV / EBITDA</t>
        </is>
      </c>
      <c r="D11" s="112">
        <f>(D10*D9-D8)/D5</f>
        <v/>
      </c>
    </row>
    <row r="12">
      <c r="A12" s="107" t="inlineStr">
        <is>
          <t>current P / E (FY2026E)</t>
        </is>
      </c>
      <c r="D12" s="112">
        <f>D10/D7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t="inlineStr">
        <is>
          <t>Justification</t>
        </is>
      </c>
      <c r="C18" s="126" t="inlineStr">
        <is>
          <t>Source</t>
        </is>
      </c>
      <c r="D18" s="114" t="inlineStr">
        <is>
          <t>EV/EBITDA</t>
        </is>
      </c>
      <c r="H18" s="114" t="inlineStr">
        <is>
          <t>EV ($000)</t>
        </is>
      </c>
      <c r="I18" s="114" t="inlineStr">
        <is>
          <t>EBITDA ($000)</t>
        </is>
      </c>
    </row>
    <row r="19" ht="28" customHeight="1">
      <c r="A19" s="16" t="inlineStr">
        <is>
          <t>lululemon (LULU)</t>
        </is>
      </c>
      <c r="B19" t="inlineStr">
        <is>
          <t>PitchBook EV/TTM EBITDA comp.</t>
        </is>
      </c>
      <c r="C19" s="126" t="inlineStr">
        <is>
          <t>PitchBook Comps Set 04-Sep-2026</t>
        </is>
      </c>
      <c r="D19" s="115">
        <f>IF(I19&lt;=0,"n.m.",H19/I19)</f>
        <v/>
      </c>
      <c r="H19" s="116" t="n">
        <v>11890440</v>
      </c>
      <c r="I19" s="116" t="n">
        <v>2548084</v>
      </c>
    </row>
    <row r="20" ht="28" customHeight="1">
      <c r="A20" s="16" t="inlineStr">
        <is>
          <t>Under Armour (UAA)</t>
        </is>
      </c>
      <c r="B20" t="inlineStr">
        <is>
          <t>PitchBook EV/TTM EBITDA comp.</t>
        </is>
      </c>
      <c r="C20" s="126" t="inlineStr">
        <is>
          <t>PitchBook Comps Set 04-Sep-2026</t>
        </is>
      </c>
      <c r="D20" s="115">
        <f>IF(I20&lt;=0,"n.m.",H20/I20)</f>
        <v/>
      </c>
      <c r="H20" s="116" t="n">
        <v>3208397</v>
      </c>
      <c r="I20" s="116" t="n">
        <v>-23230</v>
      </c>
    </row>
    <row r="21" ht="28" customHeight="1">
      <c r="A21" s="16" t="inlineStr">
        <is>
          <t>adidas (ADS)</t>
        </is>
      </c>
      <c r="B21" t="inlineStr">
        <is>
          <t>PitchBook EV/TTM EBITDA comp.</t>
        </is>
      </c>
      <c r="C21" s="126" t="inlineStr">
        <is>
          <t>PitchBook Comps Set 04-Sep-2026</t>
        </is>
      </c>
      <c r="D21" s="115">
        <f>IF(I21&lt;=0,"n.m.",H21/I21)</f>
        <v/>
      </c>
      <c r="H21" s="116" t="n">
        <v>35661944</v>
      </c>
      <c r="I21" s="116" t="n">
        <v>3857684</v>
      </c>
    </row>
    <row r="22" ht="28" customHeight="1">
      <c r="A22" s="16" t="inlineStr">
        <is>
          <t>Nike (NKE)</t>
        </is>
      </c>
      <c r="B22" t="inlineStr">
        <is>
          <t>PitchBook EV/TTM EBITDA comp.</t>
        </is>
      </c>
      <c r="C22" s="126" t="inlineStr">
        <is>
          <t>PitchBook Comps Set 04-Sep-2026</t>
        </is>
      </c>
      <c r="D22" s="115">
        <f>IF(I22&lt;=0,"n.m.",H22/I22)</f>
        <v/>
      </c>
      <c r="H22" s="116" t="n">
        <v>58972350</v>
      </c>
      <c r="I22" s="116" t="n">
        <v>4647000</v>
      </c>
    </row>
    <row r="23" ht="28" customHeight="1">
      <c r="A23" s="16" t="inlineStr">
        <is>
          <t>Deckers (DECK)</t>
        </is>
      </c>
      <c r="B23" t="inlineStr">
        <is>
          <t>PitchBook EV/TTM EBITDA comp.</t>
        </is>
      </c>
      <c r="C23" s="126" t="inlineStr">
        <is>
          <t>PitchBook Comps Set 04-Sep-2026</t>
        </is>
      </c>
      <c r="D23" s="115">
        <f>IF(I23&lt;=0,"n.m.",H23/I23)</f>
        <v/>
      </c>
      <c r="H23" s="116" t="n">
        <v>10555510</v>
      </c>
      <c r="I23" s="116" t="n">
        <v>1329439</v>
      </c>
    </row>
    <row r="24" ht="28" customHeight="1">
      <c r="A24" s="16" t="inlineStr">
        <is>
          <t>Williams-Sonoma (WSM)</t>
        </is>
      </c>
      <c r="B24" t="inlineStr">
        <is>
          <t>PitchBook EV/TTM EBITDA comp.</t>
        </is>
      </c>
      <c r="C24" s="126" t="inlineStr">
        <is>
          <t>PitchBook Comps Set 04-Sep-2026</t>
        </is>
      </c>
      <c r="D24" s="115">
        <f>IF(I24&lt;=0,"n.m.",H24/I24)</f>
        <v/>
      </c>
      <c r="H24" s="116" t="n">
        <v>27284350</v>
      </c>
      <c r="I24" s="116" t="n">
        <v>1768400</v>
      </c>
    </row>
    <row r="25" ht="28" customHeight="1">
      <c r="A25" s="16" t="inlineStr">
        <is>
          <t>Crocs (CROX)</t>
        </is>
      </c>
      <c r="B25" t="inlineStr">
        <is>
          <t>PitchBook EV/TTM EBITDA comp.</t>
        </is>
      </c>
      <c r="C25" s="126" t="inlineStr">
        <is>
          <t>PitchBook Comps Set 04-Sep-2026</t>
        </is>
      </c>
      <c r="D25" s="115">
        <f>IF(I25&lt;=0,"n.m.",H25/I25)</f>
        <v/>
      </c>
      <c r="H25" s="116" t="n">
        <v>7153911</v>
      </c>
      <c r="I25" s="116" t="n">
        <v>922278</v>
      </c>
    </row>
    <row r="26" ht="28" customHeight="1">
      <c r="A26" s="16" t="inlineStr">
        <is>
          <t>Movado (MOV)</t>
        </is>
      </c>
      <c r="B26" t="inlineStr">
        <is>
          <t>PitchBook EV/TTM EBITDA comp.</t>
        </is>
      </c>
      <c r="C26" s="126" t="inlineStr">
        <is>
          <t>PitchBook Comps Set 04-Sep-2026</t>
        </is>
      </c>
      <c r="D26" s="115">
        <f>IF(I26&lt;=0,"n.m.",H26/I26)</f>
        <v/>
      </c>
      <c r="H26" s="116" t="n">
        <v>616045</v>
      </c>
      <c r="I26" s="116" t="n">
        <v>62010</v>
      </c>
    </row>
    <row r="27" ht="28" customHeight="1">
      <c r="A27" s="16" t="inlineStr">
        <is>
          <t>Levi Strauss (LEVI)</t>
        </is>
      </c>
      <c r="B27" t="inlineStr">
        <is>
          <t>PitchBook EV/TTM EBITDA comp.</t>
        </is>
      </c>
      <c r="C27" s="126" t="inlineStr">
        <is>
          <t>PitchBook Comps Set 04-Sep-2026</t>
        </is>
      </c>
      <c r="D27" s="115">
        <f>IF(I27&lt;=0,"n.m.",H27/I27)</f>
        <v/>
      </c>
      <c r="H27" s="116" t="n">
        <v>9422753</v>
      </c>
      <c r="I27" s="116" t="n">
        <v>976700</v>
      </c>
    </row>
    <row r="28" ht="28" customHeight="1">
      <c r="A28" s="16" t="inlineStr">
        <is>
          <t>La-Z-Boy (LZB)</t>
        </is>
      </c>
      <c r="B28" t="inlineStr">
        <is>
          <t>PitchBook EV/TTM EBITDA comp.</t>
        </is>
      </c>
      <c r="C28" s="126" t="inlineStr">
        <is>
          <t>PitchBook Comps Set 04-Sep-2026</t>
        </is>
      </c>
      <c r="D28" s="115">
        <f>IF(I28&lt;=0,"n.m.",H28/I28)</f>
        <v/>
      </c>
      <c r="H28" s="116" t="n">
        <v>1598873</v>
      </c>
      <c r="I28" s="116" t="n">
        <v>235723</v>
      </c>
    </row>
    <row r="29" ht="28" customHeight="1">
      <c r="A29" s="16" t="inlineStr">
        <is>
          <t>Kontoor (KTB)</t>
        </is>
      </c>
      <c r="B29" t="inlineStr">
        <is>
          <t>PitchBook EV/TTM EBITDA comp.</t>
        </is>
      </c>
      <c r="C29" s="126" t="inlineStr">
        <is>
          <t>PitchBook Comps Set 04-Sep-2026</t>
        </is>
      </c>
      <c r="D29" s="115">
        <f>IF(I29&lt;=0,"n.m.",H29/I29)</f>
        <v/>
      </c>
      <c r="H29" s="116" t="n">
        <v>5236269</v>
      </c>
      <c r="I29" s="116" t="n">
        <v>407521</v>
      </c>
    </row>
    <row r="30"/>
    <row r="31">
      <c r="A31" s="14" t="inlineStr">
        <is>
          <t>Alo Yoga implied valuation (reference only)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t="inlineStr">
        <is>
          <t>Reuters: about $10 billion Moelis ask for Color.</t>
        </is>
      </c>
      <c r="C33" s="126" t="inlineStr">
        <is>
          <t>Reuters: Alo parent $10bn Moelis ask Also: Reuters: Alo 2023 process; no deal</t>
        </is>
      </c>
      <c r="D33" s="117" t="n">
        <v>10</v>
      </c>
    </row>
    <row r="34" ht="28" customHeight="1">
      <c r="A34" s="16" t="inlineStr">
        <is>
          <t>Color Image parent sales, Forbes est. ($bn)</t>
        </is>
      </c>
      <c r="B34" t="inlineStr">
        <is>
          <t>Forbes estimates Color Image parent sales nearly $2.</t>
        </is>
      </c>
      <c r="C34" s="126" t="inlineStr">
        <is>
          <t>Forbes: Color Image nearly $2bn sales</t>
        </is>
      </c>
      <c r="D34" s="117" t="n">
        <v>2</v>
      </c>
    </row>
    <row r="35" ht="28" customHeight="1">
      <c r="A35" s="68" t="inlineStr">
        <is>
          <t>Alo implied EV/Sales (ask / parent sales)</t>
        </is>
      </c>
      <c r="B35" t="inlineStr">
        <is>
          <t>5.0x = 10 / 2. Implied EV/Sales on.</t>
        </is>
      </c>
      <c r="C35" s="126" t="inlineStr">
        <is>
          <t>Comps: Alo ask / parent sales</t>
        </is>
      </c>
      <c r="D35" s="118">
        <f>D33/D34</f>
        <v/>
      </c>
    </row>
    <row r="36" ht="28" customHeight="1">
      <c r="A36" s="16" t="inlineStr">
        <is>
          <t>Alo EV/EBITDA</t>
        </is>
      </c>
      <c r="B36" t="inlineStr">
        <is>
          <t>No page prints Alo or Color Image EBITDA..</t>
        </is>
      </c>
      <c r="C36" s="126" t="inlineStr">
        <is>
          <t>None — no EBITDA source</t>
        </is>
      </c>
      <c r="D36" s="119" t="inlineStr">
        <is>
          <t>n.a.</t>
        </is>
      </c>
    </row>
    <row r="37"/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t="inlineStr">
        <is>
          <t>PitchBook core set ex-UAA.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t="inlineStr">
        <is>
          <t>Wider tape incl. adjacent retail.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94">
        <f>DCF!D46</f>
        <v/>
      </c>
    </row>
    <row r="45">
      <c r="A45" s="68" t="inlineStr">
        <is>
          <t>Selected exit multiple (base case)</t>
        </is>
      </c>
      <c r="D45" s="104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t="inlineStr">
        <is>
          <t>Justification</t>
        </is>
      </c>
      <c r="C56" s="126" t="inlineStr">
        <is>
          <t>Source</t>
        </is>
      </c>
      <c r="D56" s="114" t="inlineStr">
        <is>
          <t>Low mult.</t>
        </is>
      </c>
      <c r="E56" s="114" t="inlineStr">
        <is>
          <t>High mult.</t>
        </is>
      </c>
      <c r="F56" s="114" t="inlineStr">
        <is>
          <t>Implied px (low)</t>
        </is>
      </c>
      <c r="G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t="inlineStr">
        <is>
          <t>Lo 5.0x FY30E EBITDA trough.
Hi 8.0x DECK high-end cap.</t>
        </is>
      </c>
      <c r="C57" s="126" t="inlineStr">
        <is>
          <t>Lo: StockAnalysis: LULU EV/EBITDA Hi: StockAnalysis: DECK EV/EBITDA</t>
        </is>
      </c>
      <c r="D57" s="120" t="n">
        <v>5</v>
      </c>
      <c r="E57" s="120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t="inlineStr">
        <is>
          <t>Gordon TV / FY30 EBITDA exit.</t>
        </is>
      </c>
      <c r="C58" s="126" t="inlineStr">
        <is>
          <t>DCF: Gordon implied exit (TV / FY30 EBITDA)</t>
        </is>
      </c>
      <c r="D58" s="118">
        <f>DCF!D82</f>
        <v/>
      </c>
      <c r="F58" s="122">
        <f>(D6*D58+D8)/D9</f>
        <v/>
      </c>
    </row>
    <row r="59" ht="42" customHeight="1">
      <c r="A59" s="16" t="inlineStr">
        <is>
          <t>P / E (FY2026E EPS)</t>
        </is>
      </c>
      <c r="B59" t="inlineStr">
        <is>
          <t>Lo 10x FY26E EPS trough.
Hi 18x FY26E EPS recovery.</t>
        </is>
      </c>
      <c r="C59" s="126" t="inlineStr">
        <is>
          <t>Lo: StockAnalysis: LULU Forward P/E Hi: StockAnalysis: NKE Forward P/E</t>
        </is>
      </c>
      <c r="D59" s="120" t="n">
        <v>10</v>
      </c>
      <c r="E59" s="120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21">
        <f>Scenarios!E132</f>
        <v/>
      </c>
      <c r="G60" s="121">
        <f>Scenarios!G132</f>
        <v/>
      </c>
    </row>
    <row r="61"/>
    <row r="62" ht="28" customHeight="1">
      <c r="A62" s="124" t="inlineStr">
        <is>
          <t>Current price</t>
        </is>
      </c>
      <c r="C62" s="126" t="inlineStr">
        <is>
          <t>NASDAQ</t>
        </is>
      </c>
      <c r="D62" s="125" t="n">
        <v>100.61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2026-09-10T02:46:33Z</dcterms:modified>
</cp:coreProperties>
</file>
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9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  <font>
      <name val="Garamond"/>
      <color rgb="00000000"/>
      <sz val="10"/>
      <u val="single"/>
    </font>
    <font>
      <name val="Garamond"/>
      <family val="2"/>
      <color theme="1"/>
      <sz val="11"/>
      <scheme val="minor"/>
    </font>
    <font>
      <name val="Garamond"/>
      <b val="1"/>
      <sz val="9"/>
    </font>
    <font>
      <name val="Garamond"/>
      <i val="1"/>
      <color rgb="00404040"/>
      <sz val="9"/>
    </font>
    <font>
      <name val="Garamond"/>
      <i val="1"/>
      <sz val="9"/>
    </font>
    <font>
      <name val="Garamond"/>
      <i val="1"/>
      <sz val="8"/>
    </font>
    <font>
      <name val="Garamond"/>
      <b val="1"/>
      <sz val="10"/>
    </font>
    <font>
      <name val="Garamond"/>
      <i val="1"/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  <xf numFmtId="165" fontId="61" fillId="0" borderId="0" applyAlignment="1" pivotButton="0" quotePrefix="0" xfId="0">
      <alignment horizontal="right" vertical="center"/>
    </xf>
    <xf numFmtId="0" fontId="62" fillId="0" borderId="0" pivotButton="0" quotePrefix="0" xfId="0"/>
    <xf numFmtId="0" fontId="62" fillId="2" borderId="0" pivotButton="0" quotePrefix="0" xfId="0"/>
    <xf numFmtId="0" fontId="62" fillId="2" borderId="3" pivotButton="0" quotePrefix="0" xfId="0"/>
    <xf numFmtId="0" fontId="62" fillId="0" borderId="3" pivotButton="0" quotePrefix="0" xfId="0"/>
    <xf numFmtId="0" fontId="36" fillId="7" borderId="3" applyAlignment="1" pivotButton="0" quotePrefix="0" xfId="0">
      <alignment horizontal="center" vertical="center" wrapText="1"/>
    </xf>
    <xf numFmtId="0" fontId="36" fillId="8" borderId="3" applyAlignment="1" pivotButton="0" quotePrefix="0" xfId="0">
      <alignment horizontal="center" vertical="center" wrapText="1"/>
    </xf>
    <xf numFmtId="0" fontId="36" fillId="9" borderId="3" applyAlignment="1" pivotButton="0" quotePrefix="0" xfId="0">
      <alignment horizontal="center" vertical="center" wrapText="1"/>
    </xf>
    <xf numFmtId="0" fontId="63" fillId="0" borderId="3" applyAlignment="1" pivotButton="0" quotePrefix="0" xfId="0">
      <alignment horizontal="left" wrapText="1"/>
    </xf>
    <xf numFmtId="0" fontId="64" fillId="0" borderId="3" applyAlignment="1" pivotButton="0" quotePrefix="0" xfId="0">
      <alignment horizontal="left" vertical="top" wrapText="1"/>
    </xf>
    <xf numFmtId="3" fontId="62" fillId="0" borderId="3" pivotButton="0" quotePrefix="0" xfId="0"/>
    <xf numFmtId="0" fontId="65" fillId="0" borderId="0" pivotButton="0" quotePrefix="0" xfId="0"/>
    <xf numFmtId="0" fontId="66" fillId="0" borderId="0" pivotButton="0" quotePrefix="0" xfId="0"/>
    <xf numFmtId="0" fontId="63" fillId="2" borderId="0" applyAlignment="1" pivotButton="0" quotePrefix="0" xfId="0">
      <alignment horizontal="left" wrapText="1"/>
    </xf>
    <xf numFmtId="0" fontId="67" fillId="2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68" fillId="0" borderId="0" applyAlignment="1" pivotButton="0" quotePrefix="0" xfId="0">
      <alignment horizontal="left" vertical="center"/>
    </xf>
    <xf numFmtId="0" fontId="68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1" t="n"/>
      <c r="B1" s="171" t="n"/>
    </row>
    <row r="2" ht="26" customHeight="1">
      <c r="A2" s="171" t="n"/>
      <c r="B2" s="1" t="inlineStr">
        <is>
          <t>GLOBAL INVESTMENT SOCIETY | INVESTMENT RESEARCH DIVISION</t>
        </is>
      </c>
    </row>
    <row r="3">
      <c r="A3" s="171" t="n"/>
      <c r="B3" s="171" t="n"/>
    </row>
    <row r="4">
      <c r="A4" s="171" t="n"/>
      <c r="B4" s="2" t="inlineStr">
        <is>
          <t>lululemon athletica inc. (NASDAQ: LULU)</t>
        </is>
      </c>
    </row>
    <row r="5">
      <c r="A5" s="171" t="n"/>
      <c r="B5" s="3" t="inlineStr">
        <is>
          <t>Discounted Cash Flow Valuation — Unlevered Free Cash Flow</t>
        </is>
      </c>
    </row>
    <row r="6">
      <c r="A6" s="171" t="n"/>
      <c r="B6" s="171" t="n"/>
    </row>
    <row r="7">
      <c r="A7" s="171" t="n"/>
      <c r="B7" s="4" t="inlineStr">
        <is>
          <t>Recommendation: LONG / OVERWEIGHT</t>
        </is>
      </c>
    </row>
    <row r="8">
      <c r="A8" s="171" t="n"/>
      <c r="B8" s="171" t="n"/>
    </row>
    <row r="9">
      <c r="A9" s="171" t="n"/>
      <c r="B9" s="5" t="inlineStr">
        <is>
          <t>FONT / COLOR CONVENTION</t>
        </is>
      </c>
    </row>
    <row r="10">
      <c r="A10" s="171" t="n"/>
      <c r="B10" s="6" t="inlineStr">
        <is>
          <t>Blue font = figures reported by the company (click value or source link)</t>
        </is>
      </c>
    </row>
    <row r="11">
      <c r="A11" s="171" t="n"/>
      <c r="B11" s="7" t="n"/>
    </row>
    <row r="12">
      <c r="A12" s="171" t="n"/>
      <c r="B12" s="171" t="n"/>
    </row>
    <row r="13">
      <c r="A13" s="171" t="n"/>
      <c r="B13" s="5" t="inlineStr">
        <is>
          <t>TABS</t>
        </is>
      </c>
    </row>
    <row r="14">
      <c r="A14" s="171" t="n"/>
      <c r="B14" s="9" t="inlineStr">
        <is>
          <t>WACC • Revenue Drivers • Scenarios • DCF • Comps / Football Field</t>
        </is>
      </c>
    </row>
    <row r="15">
      <c r="A15" s="171" t="n"/>
      <c r="B15" s="5" t="n"/>
    </row>
    <row r="16">
      <c r="A16" s="171" t="n"/>
      <c r="B16" s="171" t="n"/>
    </row>
    <row r="17" ht="36" customHeight="1">
      <c r="A17" s="171" t="n"/>
      <c r="B17" s="5" t="n"/>
    </row>
    <row r="18">
      <c r="A18" s="171" t="n"/>
      <c r="B18" s="171" t="n"/>
    </row>
    <row r="19">
      <c r="A19" s="171" t="n"/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72" t="n"/>
      <c r="C1" s="172" t="n"/>
      <c r="D1" s="172" t="n"/>
      <c r="E1" s="172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  <c r="E2" s="171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>
      <c r="A6" s="171" t="n"/>
      <c r="B6" s="171" t="n"/>
      <c r="C6" s="171" t="n"/>
      <c r="D6" s="171" t="n"/>
      <c r="E6" s="171" t="n"/>
    </row>
    <row r="7">
      <c r="A7" s="14" t="inlineStr">
        <is>
          <t>Capital structure (market values)</t>
        </is>
      </c>
      <c r="B7" s="171" t="n"/>
      <c r="C7" s="171" t="n"/>
      <c r="D7" s="171" t="n"/>
      <c r="E7" s="171" t="n"/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  <c r="B12" s="171" t="n"/>
      <c r="C12" s="171" t="n"/>
      <c r="D12" s="171" t="n"/>
      <c r="E12" s="171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B14" s="171" t="n"/>
      <c r="C14" s="171" t="n"/>
      <c r="D14" s="171" t="n"/>
      <c r="E14" s="25">
        <f>E11+E13</f>
        <v/>
      </c>
    </row>
    <row r="15">
      <c r="A15" s="171" t="n"/>
      <c r="B15" s="171" t="n"/>
      <c r="C15" s="171" t="n"/>
      <c r="D15" s="171" t="n"/>
      <c r="E15" s="171" t="n"/>
    </row>
    <row r="16">
      <c r="A16" s="14" t="inlineStr">
        <is>
          <t>Beta (unlever → relever)</t>
        </is>
      </c>
      <c r="B16" s="171" t="n"/>
      <c r="C16" s="171" t="n"/>
      <c r="D16" s="171" t="n"/>
      <c r="E16" s="171" t="n"/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  <c r="B26" s="171" t="n"/>
      <c r="C26" s="171" t="n"/>
      <c r="D26" s="171" t="n"/>
      <c r="E26" s="171" t="n"/>
    </row>
    <row r="27">
      <c r="A27" s="26" t="inlineStr">
        <is>
          <t>Yahoo βL = 0.86 (Beta 5Y Monthly). No vendor publishes D/E inside the regression.</t>
        </is>
      </c>
      <c r="B27" s="171" t="n"/>
      <c r="C27" s="171" t="n"/>
      <c r="D27" s="171" t="n"/>
      <c r="E27" s="171" t="n"/>
    </row>
    <row r="28">
      <c r="A28" s="26" t="inlineStr">
        <is>
          <t>Unlever at Yahoo market D/E = $2.14B debt (mrq) ÷ $11.14B mkt cap ≈ 0.19 → βu ≈ 0.76.</t>
        </is>
      </c>
      <c r="B28" s="171" t="n"/>
      <c r="C28" s="171" t="n"/>
      <c r="D28" s="171" t="n"/>
      <c r="E28" s="171" t="n"/>
    </row>
    <row r="29">
      <c r="A29" s="26" t="inlineStr">
        <is>
          <t>Relever at WACC D/E = FY25 10-K leases ÷ our market cap ≈ 0.16 → β used ≈ 0.84.</t>
        </is>
      </c>
      <c r="B29" s="171" t="n"/>
      <c r="C29" s="171" t="n"/>
      <c r="D29" s="171" t="n"/>
      <c r="E29" s="171" t="n"/>
    </row>
    <row r="30">
      <c r="A30" s="26" t="n"/>
      <c r="B30" s="171" t="n"/>
      <c r="C30" s="171" t="n"/>
      <c r="D30" s="171" t="n"/>
      <c r="E30" s="171" t="n"/>
    </row>
    <row r="31">
      <c r="A31" s="14" t="inlineStr">
        <is>
          <t>Cost of equity (CAPM)</t>
        </is>
      </c>
      <c r="B31" s="171" t="n"/>
      <c r="C31" s="171" t="n"/>
      <c r="D31" s="171" t="n"/>
      <c r="E31" s="171" t="n"/>
    </row>
    <row r="32">
      <c r="A32" s="23" t="inlineStr">
        <is>
          <t>Cost of equity = rf + β × ERP</t>
        </is>
      </c>
      <c r="B32" s="171" t="n"/>
      <c r="C32" s="171" t="n"/>
      <c r="D32" s="171" t="n"/>
      <c r="E32" s="30">
        <f>E3+E25*E4</f>
        <v/>
      </c>
    </row>
    <row r="33">
      <c r="A33" s="171" t="n"/>
      <c r="B33" s="171" t="n"/>
      <c r="C33" s="171" t="n"/>
      <c r="D33" s="171" t="n"/>
      <c r="E33" s="171" t="n"/>
    </row>
    <row r="34">
      <c r="A34" s="14" t="inlineStr">
        <is>
          <t>Cost of debt (lease-equivalent)</t>
        </is>
      </c>
      <c r="B34" s="171" t="n"/>
      <c r="C34" s="171" t="n"/>
      <c r="D34" s="171" t="n"/>
      <c r="E34" s="171" t="n"/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B36" s="171" t="n"/>
      <c r="C36" s="171" t="n"/>
      <c r="D36" s="171" t="n"/>
      <c r="E36" s="31">
        <f>E35*(1-E5)</f>
        <v/>
      </c>
    </row>
    <row r="37">
      <c r="A37" s="171" t="n"/>
      <c r="B37" s="171" t="n"/>
      <c r="C37" s="171" t="n"/>
      <c r="D37" s="171" t="n"/>
      <c r="E37" s="171" t="n"/>
    </row>
    <row r="38">
      <c r="A38" s="14" t="inlineStr">
        <is>
          <t>WACC weights</t>
        </is>
      </c>
      <c r="B38" s="171" t="n"/>
      <c r="C38" s="171" t="n"/>
      <c r="D38" s="171" t="n"/>
      <c r="E38" s="171" t="n"/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B41" s="171" t="n"/>
      <c r="C41" s="171" t="n"/>
      <c r="D41" s="171" t="n"/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73" t="n"/>
      <c r="C1" s="173" t="n"/>
      <c r="D1" s="173" t="n"/>
      <c r="E1" s="173" t="n"/>
      <c r="F1" s="173" t="n"/>
      <c r="G1" s="172" t="n"/>
      <c r="H1" s="172" t="n"/>
    </row>
    <row r="2">
      <c r="A2" s="174" t="n"/>
      <c r="B2" s="175" t="inlineStr">
        <is>
          <t>Bear</t>
        </is>
      </c>
      <c r="C2" s="176" t="inlineStr">
        <is>
          <t>Base</t>
        </is>
      </c>
      <c r="D2" s="177" t="inlineStr">
        <is>
          <t>Bull</t>
        </is>
      </c>
      <c r="E2" s="174" t="n"/>
      <c r="F2" s="174" t="n"/>
      <c r="G2" s="35" t="n"/>
      <c r="H2" s="36" t="n"/>
    </row>
    <row r="3">
      <c r="A3" s="142" t="inlineStr">
        <is>
          <t>Key assumptions (5-yr forecast)</t>
        </is>
      </c>
      <c r="B3" s="174" t="n"/>
      <c r="C3" s="174" t="n"/>
      <c r="D3" s="174" t="n"/>
      <c r="E3" s="178" t="inlineStr">
        <is>
          <t>Source (click)</t>
        </is>
      </c>
      <c r="F3" s="178" t="inlineStr">
        <is>
          <t>How it moves</t>
        </is>
      </c>
      <c r="G3" s="171" t="n"/>
      <c r="H3" s="171" t="n"/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79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79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79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79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79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79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79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79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79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79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79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79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79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79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79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79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79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74" t="n"/>
      <c r="F21" s="179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74" t="n"/>
      <c r="F22" s="179" t="inlineStr">
        <is>
          <t>Bull spends set percent of free cash.</t>
        </is>
      </c>
      <c r="G22" s="20" t="n"/>
      <c r="H22" s="20" t="n"/>
    </row>
    <row r="23">
      <c r="A23" s="174" t="n"/>
      <c r="B23" s="174" t="n"/>
      <c r="C23" s="174" t="n"/>
      <c r="D23" s="174" t="n"/>
      <c r="E23" s="174" t="n"/>
      <c r="F23" s="174" t="n"/>
      <c r="G23" s="171" t="n"/>
      <c r="H23" s="171" t="n"/>
    </row>
    <row r="24">
      <c r="A24" s="142" t="inlineStr">
        <is>
          <t>5-year forecast paths (by scenario)</t>
        </is>
      </c>
      <c r="B24" s="174" t="n"/>
      <c r="C24" s="174" t="n"/>
      <c r="D24" s="174" t="n"/>
      <c r="E24" s="174" t="n"/>
      <c r="F24" s="174" t="n"/>
      <c r="G24" s="171" t="n"/>
      <c r="H24" s="171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74" t="n"/>
      <c r="F25" s="179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74" t="n"/>
      <c r="F26" s="174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74" t="n"/>
      <c r="F27" s="174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74" t="n"/>
      <c r="F28" s="174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74" t="n"/>
      <c r="F29" s="174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74" t="n"/>
      <c r="F30" s="179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74" t="n"/>
      <c r="F31" s="174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74" t="n"/>
      <c r="F32" s="174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74" t="n"/>
      <c r="F33" s="174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74" t="n"/>
      <c r="F34" s="174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74" t="n"/>
      <c r="F35" s="179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74" t="n"/>
      <c r="F36" s="174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74" t="n"/>
      <c r="F37" s="174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74" t="n"/>
      <c r="F38" s="174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74" t="n"/>
      <c r="F39" s="174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74" t="n"/>
      <c r="F40" s="179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74" t="n"/>
      <c r="F41" s="174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74" t="n"/>
      <c r="F42" s="174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74" t="n"/>
      <c r="F43" s="174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74" t="n"/>
      <c r="F44" s="174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74" t="n"/>
      <c r="F45" s="179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74" t="n"/>
      <c r="F46" s="174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74" t="n"/>
      <c r="F47" s="174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74" t="n"/>
      <c r="F48" s="174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74" t="n"/>
      <c r="F49" s="174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74" t="n"/>
      <c r="F50" s="179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74" t="n"/>
      <c r="F51" s="174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74" t="n"/>
      <c r="F52" s="174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74" t="n"/>
      <c r="F53" s="174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74" t="n"/>
      <c r="F54" s="174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74" t="n"/>
      <c r="F55" s="179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74" t="n"/>
      <c r="F56" s="174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74" t="n"/>
      <c r="F57" s="174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74" t="n"/>
      <c r="F58" s="174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74" t="n"/>
      <c r="F59" s="174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74" t="n"/>
      <c r="F60" s="179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74" t="n"/>
      <c r="F61" s="174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74" t="n"/>
      <c r="F62" s="174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74" t="n"/>
      <c r="F63" s="174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74" t="n"/>
      <c r="F64" s="174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74" t="n"/>
      <c r="F65" s="179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74" t="n"/>
      <c r="F66" s="174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74" t="n"/>
      <c r="F67" s="174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74" t="n"/>
      <c r="F68" s="174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74" t="n"/>
      <c r="F69" s="174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74" t="n"/>
      <c r="F70" s="179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74" t="n"/>
      <c r="F71" s="174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74" t="n"/>
      <c r="F72" s="174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74" t="n"/>
      <c r="F73" s="174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74" t="n"/>
      <c r="F74" s="174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74" t="n"/>
      <c r="F75" s="179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74" t="n"/>
      <c r="F76" s="174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74" t="n"/>
      <c r="F77" s="174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74" t="n"/>
      <c r="F78" s="174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74" t="n"/>
      <c r="F79" s="174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74" t="n"/>
      <c r="F80" s="179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74" t="n"/>
      <c r="F81" s="174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74" t="n"/>
      <c r="F82" s="174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74" t="n"/>
      <c r="F83" s="174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74" t="n"/>
      <c r="F84" s="174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74" t="n"/>
      <c r="F85" s="179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74" t="n"/>
      <c r="F86" s="174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74" t="n"/>
      <c r="F87" s="174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74" t="n"/>
      <c r="F88" s="174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74" t="n"/>
      <c r="F89" s="174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74" t="n"/>
      <c r="F90" s="179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74" t="n"/>
      <c r="F91" s="174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74" t="n"/>
      <c r="F92" s="174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74" t="n"/>
      <c r="F93" s="174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74" t="n"/>
      <c r="F94" s="174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74" t="n"/>
      <c r="F95" s="179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74" t="n"/>
      <c r="F96" s="174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74" t="n"/>
      <c r="F97" s="174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74" t="n"/>
      <c r="F98" s="174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74" t="n"/>
      <c r="F99" s="174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74" t="n"/>
      <c r="F100" s="179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74" t="n"/>
      <c r="F101" s="174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74" t="n"/>
      <c r="F102" s="174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74" t="n"/>
      <c r="F103" s="174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74" t="n"/>
      <c r="F104" s="174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74" t="n"/>
      <c r="F105" s="179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74" t="n"/>
      <c r="F106" s="174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74" t="n"/>
      <c r="F107" s="174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74" t="n"/>
      <c r="F108" s="174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74" t="n"/>
      <c r="F109" s="174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74" t="n"/>
      <c r="F110" s="179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74" t="n"/>
      <c r="F111" s="174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74" t="n"/>
      <c r="F112" s="174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74" t="n"/>
      <c r="F113" s="174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74" t="n"/>
      <c r="F114" s="174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74" t="n"/>
      <c r="F115" s="179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74" t="n"/>
      <c r="F116" s="174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74" t="n"/>
      <c r="F117" s="174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74" t="n"/>
      <c r="F118" s="174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74" t="n"/>
      <c r="F119" s="174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74" t="n"/>
      <c r="F120" s="179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74" t="n"/>
      <c r="F121" s="174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74" t="n"/>
      <c r="F122" s="174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74" t="n"/>
      <c r="F123" s="174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74" t="n"/>
      <c r="F124" s="174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74" t="n"/>
      <c r="F125" s="179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74" t="n"/>
      <c r="F126" s="174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74" t="n"/>
      <c r="F127" s="174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74" t="n"/>
      <c r="F128" s="174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74" t="n"/>
      <c r="F129" s="174" t="n"/>
      <c r="G129" s="42" t="n"/>
      <c r="H129" s="42" t="n"/>
    </row>
    <row r="130">
      <c r="A130" s="174" t="n"/>
      <c r="B130" s="174" t="n"/>
      <c r="C130" s="174" t="n"/>
      <c r="D130" s="174" t="n"/>
      <c r="E130" s="174" t="n"/>
      <c r="F130" s="174" t="n"/>
      <c r="G130" s="171" t="n"/>
      <c r="H130" s="171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74" t="n"/>
      <c r="F131" s="174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74" t="n"/>
      <c r="F132" s="174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74" t="n"/>
      <c r="F133" s="174" t="n"/>
      <c r="G133" s="48" t="n"/>
      <c r="H133" s="48" t="n"/>
    </row>
    <row r="134">
      <c r="A134" s="174" t="n"/>
      <c r="B134" s="174" t="n"/>
      <c r="C134" s="174" t="n"/>
      <c r="D134" s="174" t="n"/>
      <c r="E134" s="174" t="n"/>
      <c r="F134" s="174" t="n"/>
      <c r="G134" s="171" t="n"/>
      <c r="H134" s="171" t="n"/>
    </row>
    <row r="135">
      <c r="A135" s="163" t="inlineStr">
        <is>
          <t>Current price $100.00; cash $1,807,202 k; lease debt $1,798,441 k; funded debt $0; net cash $8,761 k.</t>
        </is>
      </c>
      <c r="B135" s="174" t="n"/>
      <c r="C135" s="174" t="n"/>
      <c r="D135" s="174" t="n"/>
      <c r="E135" s="174" t="n"/>
      <c r="F135" s="174" t="n"/>
      <c r="G135" s="171" t="n"/>
      <c r="H135" s="171" t="n"/>
    </row>
    <row r="136">
      <c r="A136" s="174" t="n"/>
      <c r="B136" s="174" t="n"/>
      <c r="C136" s="174" t="n"/>
      <c r="D136" s="174" t="n"/>
      <c r="E136" s="174" t="n"/>
      <c r="F136" s="174" t="n"/>
      <c r="G136" s="171" t="n"/>
      <c r="H136" s="171" t="n"/>
    </row>
    <row r="137">
      <c r="A137" s="142" t="inlineStr">
        <is>
          <t>Pitch deck bridge (IS / CFS / BS)</t>
        </is>
      </c>
      <c r="B137" s="174" t="n"/>
      <c r="C137" s="174" t="n"/>
      <c r="D137" s="174" t="n"/>
      <c r="E137" s="174" t="n"/>
      <c r="F137" s="174" t="n"/>
      <c r="G137" s="171" t="n"/>
      <c r="H137" s="171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74" t="n"/>
      <c r="F138" s="174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74" t="n"/>
      <c r="F139" s="174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74" t="n"/>
      <c r="F140" s="174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74" t="n"/>
      <c r="F141" s="174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74" t="n"/>
      <c r="F142" s="174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74" t="n"/>
      <c r="F143" s="174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74" t="n"/>
      <c r="F144" s="174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74" t="n"/>
      <c r="F145" s="174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74" t="n"/>
      <c r="F146" s="174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74" t="n"/>
      <c r="F147" s="174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74" t="n"/>
      <c r="F148" s="174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74" t="n"/>
      <c r="F149" s="174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74" t="n"/>
      <c r="F150" s="174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74" t="n"/>
      <c r="F151" s="174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74" t="n"/>
      <c r="F152" s="174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74" t="n"/>
      <c r="F153" s="174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74" t="n"/>
      <c r="F154" s="174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74" t="n"/>
      <c r="F155" s="174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74" t="n"/>
      <c r="F156" s="174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74" t="n"/>
      <c r="F157" s="174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74" t="n"/>
      <c r="F158" s="174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74" t="n"/>
      <c r="F159" s="174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74" t="n"/>
      <c r="F160" s="174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74" t="n"/>
      <c r="F161" s="174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74" t="n"/>
      <c r="F162" s="174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74" t="n"/>
      <c r="F163" s="174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74" t="n"/>
      <c r="F164" s="174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74" t="n"/>
      <c r="F165" s="174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74" t="n"/>
      <c r="F166" s="174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74" t="n"/>
      <c r="F167" s="174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74" t="n"/>
      <c r="F168" s="174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74" t="n"/>
      <c r="F169" s="174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74" t="n"/>
      <c r="F170" s="174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74" t="n"/>
      <c r="F171" s="174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74" t="n"/>
      <c r="F172" s="174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74" t="n"/>
      <c r="F173" s="174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74" t="n"/>
      <c r="F174" s="174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74" t="n"/>
      <c r="F175" s="174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74" t="n"/>
      <c r="F176" s="174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74" t="n"/>
      <c r="F177" s="174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74" t="n"/>
      <c r="F178" s="174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74" t="n"/>
      <c r="F179" s="174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74" t="n"/>
      <c r="F180" s="174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74" t="n"/>
      <c r="F181" s="174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74" t="n"/>
      <c r="F182" s="174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74" t="n"/>
      <c r="F183" s="174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74" t="n"/>
      <c r="F184" s="174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74" t="n"/>
      <c r="F185" s="174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74" t="n"/>
      <c r="F186" s="174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74" t="n"/>
      <c r="F187" s="174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74" t="n"/>
      <c r="F188" s="174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74" t="n"/>
      <c r="F189" s="174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74" t="n"/>
      <c r="F190" s="174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74" t="n"/>
      <c r="F191" s="174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74" t="n"/>
      <c r="F192" s="174" t="n"/>
      <c r="G192" s="49" t="n"/>
      <c r="H192" s="49" t="n"/>
    </row>
    <row r="193">
      <c r="A193" s="163" t="inlineStr">
        <is>
          <t>FY25 anchors (drivers — do not edit without source)</t>
        </is>
      </c>
      <c r="B193" s="174" t="n"/>
      <c r="C193" s="174" t="n"/>
      <c r="D193" s="174" t="n"/>
      <c r="E193" s="174" t="n"/>
      <c r="F193" s="174" t="n"/>
      <c r="G193" s="171" t="n"/>
      <c r="H193" s="171" t="n"/>
    </row>
    <row r="194">
      <c r="A194" s="174" t="inlineStr">
        <is>
          <t>FY25 total assets ($000)</t>
        </is>
      </c>
      <c r="B194" s="180" t="n">
        <v>8456743</v>
      </c>
      <c r="C194" s="174" t="n"/>
      <c r="D194" s="174" t="n"/>
      <c r="E194" s="174" t="n"/>
      <c r="F194" s="174" t="n">
        <v>8456743</v>
      </c>
      <c r="G194" s="171" t="n"/>
      <c r="H194" s="171" t="n"/>
    </row>
    <row r="195">
      <c r="A195" s="174" t="inlineStr">
        <is>
          <t>FY25 total liabilities ($000)</t>
        </is>
      </c>
      <c r="B195" s="180" t="n">
        <v>3494903</v>
      </c>
      <c r="C195" s="174" t="n"/>
      <c r="D195" s="174" t="n"/>
      <c r="E195" s="174" t="n"/>
      <c r="F195" s="174" t="n">
        <v>3494903</v>
      </c>
      <c r="G195" s="171" t="n"/>
      <c r="H195" s="171" t="n"/>
    </row>
    <row r="196">
      <c r="A196" s="174" t="inlineStr">
        <is>
          <t>FY25 total equity ($000)</t>
        </is>
      </c>
      <c r="B196" s="180" t="n">
        <v>4961840</v>
      </c>
      <c r="C196" s="174" t="n"/>
      <c r="D196" s="174" t="n"/>
      <c r="E196" s="174" t="n"/>
      <c r="F196" s="174" t="n">
        <v>4961840</v>
      </c>
      <c r="G196" s="171" t="n"/>
      <c r="H196" s="171" t="n"/>
    </row>
    <row r="197">
      <c r="A197" s="174" t="inlineStr">
        <is>
          <t>FY25 diluted shares (000)</t>
        </is>
      </c>
      <c r="B197" s="180" t="n">
        <v>119068</v>
      </c>
      <c r="C197" s="174" t="n"/>
      <c r="D197" s="174" t="n"/>
      <c r="E197" s="174" t="n"/>
      <c r="F197" s="174" t="n">
        <v>119068</v>
      </c>
      <c r="G197" s="171" t="n"/>
      <c r="H197" s="171" t="n"/>
    </row>
    <row r="198">
      <c r="A198" s="174" t="inlineStr">
        <is>
          <t>FY25 net revenue ($000)</t>
        </is>
      </c>
      <c r="B198" s="180" t="n">
        <v>11102600</v>
      </c>
      <c r="C198" s="174" t="n"/>
      <c r="D198" s="174" t="n"/>
      <c r="E198" s="174" t="n"/>
      <c r="F198" s="174" t="n">
        <v>11102600</v>
      </c>
      <c r="G198" s="171" t="n"/>
      <c r="H198" s="171" t="n"/>
    </row>
    <row r="199">
      <c r="A199" s="174" t="n"/>
      <c r="B199" s="174" t="n"/>
      <c r="C199" s="174" t="n"/>
      <c r="D199" s="174" t="n"/>
      <c r="E199" s="174" t="n"/>
      <c r="F199" s="174" t="n"/>
      <c r="G199" s="171" t="n"/>
      <c r="H199" s="171" t="n"/>
    </row>
    <row r="200">
      <c r="A200" s="174" t="n"/>
      <c r="B200" s="174" t="n"/>
      <c r="C200" s="174" t="n"/>
      <c r="D200" s="174" t="n"/>
      <c r="E200" s="174" t="n"/>
      <c r="F200" s="174" t="n"/>
      <c r="G200" s="171" t="n"/>
      <c r="H200" s="171" t="n"/>
    </row>
    <row r="201">
      <c r="A201" s="174" t="n"/>
      <c r="B201" s="174" t="n"/>
      <c r="C201" s="174" t="n"/>
      <c r="D201" s="174" t="n"/>
      <c r="E201" s="174" t="n"/>
      <c r="F201" s="174" t="n"/>
      <c r="G201" s="171" t="n"/>
      <c r="H201" s="171" t="n"/>
    </row>
    <row r="202">
      <c r="A202" s="174" t="inlineStr">
        <is>
          <t>FY25 stock-based compensation ($000)</t>
        </is>
      </c>
      <c r="B202" s="180" t="n">
        <v>62203</v>
      </c>
      <c r="C202" s="174" t="n"/>
      <c r="D202" s="174" t="n"/>
      <c r="E202" s="174" t="n"/>
      <c r="F202" s="174" t="n">
        <v>62203</v>
      </c>
      <c r="G202" s="171" t="n"/>
      <c r="H202" s="171" t="n"/>
    </row>
    <row r="203">
      <c r="A203" s="174" t="inlineStr">
        <is>
          <t>FY25 implied lease interest ($000)</t>
        </is>
      </c>
      <c r="B203" s="180" t="n">
        <v>1028</v>
      </c>
      <c r="C203" s="174" t="n"/>
      <c r="D203" s="174" t="n"/>
      <c r="E203" s="174" t="n"/>
      <c r="F203" s="174" t="n">
        <v>1028</v>
      </c>
      <c r="G203" s="171" t="n"/>
      <c r="H203" s="171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  <c r="K1" s="172" t="n"/>
    </row>
    <row r="2">
      <c r="A2" s="26" t="n"/>
      <c r="B2" s="181" t="inlineStr">
        <is>
          <t>×1,000,000 (sessions in millions → count)</t>
        </is>
      </c>
      <c r="C2" s="181" t="inlineStr">
        <is>
          <t>÷1,000 ($ → $000 on this tab)</t>
        </is>
      </c>
      <c r="D2" s="171" t="n"/>
      <c r="E2" s="171" t="n"/>
      <c r="F2" s="171" t="n"/>
      <c r="G2" s="171" t="n"/>
      <c r="H2" s="171" t="n"/>
      <c r="I2" s="171" t="n"/>
      <c r="J2" s="171" t="n"/>
      <c r="K2" s="171" t="n"/>
    </row>
    <row r="3">
      <c r="A3" s="171" t="inlineStr">
        <is>
          <t>Unit conversions (drivers)</t>
        </is>
      </c>
      <c r="B3" s="171" t="n">
        <v>1000000</v>
      </c>
      <c r="C3" s="171" t="n">
        <v>1000</v>
      </c>
      <c r="D3" s="171" t="n"/>
      <c r="E3" s="171" t="n"/>
      <c r="F3" s="171" t="n"/>
      <c r="G3" s="171" t="n"/>
      <c r="H3" s="182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83" t="inlineStr">
        <is>
          <t>How it moves</t>
        </is>
      </c>
      <c r="J5" s="184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85" t="inlineStr">
        <is>
          <t>Prior-year ending count carried into this year.</t>
        </is>
      </c>
      <c r="J6" s="18" t="inlineStr">
        <is>
          <t>Revenue Drivers: beginning-stores formula</t>
        </is>
      </c>
      <c r="K6" s="171" t="n"/>
    </row>
    <row r="7" ht="28" customHeight="1">
      <c r="A7" s="41" t="inlineStr">
        <is>
          <t>Americas — openings</t>
        </is>
      </c>
      <c r="B7" s="171" t="n"/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8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B8" s="171" t="n"/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8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85" t="inlineStr">
        <is>
          <t>Beginning plus openings minus closures each year.</t>
        </is>
      </c>
      <c r="J9" s="18" t="inlineStr">
        <is>
          <t>Revenue Drivers: ending-stores formula</t>
        </is>
      </c>
      <c r="K9" s="171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85" t="inlineStr">
        <is>
          <t>Prior-year ending count carried into this year.</t>
        </is>
      </c>
      <c r="J10" s="18" t="inlineStr">
        <is>
          <t>Revenue Drivers: beginning-stores formula</t>
        </is>
      </c>
      <c r="K10" s="171" t="n"/>
    </row>
    <row r="11" ht="28" customHeight="1">
      <c r="A11" s="41" t="inlineStr">
        <is>
          <t>China Mainland — openings</t>
        </is>
      </c>
      <c r="B11" s="171" t="n"/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8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B12" s="171" t="n"/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8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85" t="inlineStr">
        <is>
          <t>Beginning plus openings minus closures each year.</t>
        </is>
      </c>
      <c r="J13" s="18" t="inlineStr">
        <is>
          <t>Revenue Drivers: ending-stores formula</t>
        </is>
      </c>
      <c r="K13" s="171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85" t="inlineStr">
        <is>
          <t>Prior-year ending count carried into this year.</t>
        </is>
      </c>
      <c r="J14" s="18" t="inlineStr">
        <is>
          <t>Revenue Drivers: beginning-stores formula</t>
        </is>
      </c>
      <c r="K14" s="171" t="n"/>
    </row>
    <row r="15" ht="28" customHeight="1">
      <c r="A15" s="41" t="inlineStr">
        <is>
          <t>Rest of World — openings</t>
        </is>
      </c>
      <c r="B15" s="171" t="n"/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8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B16" s="171" t="n"/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8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85" t="inlineStr">
        <is>
          <t>Beginning plus openings minus closures each year.</t>
        </is>
      </c>
      <c r="J17" s="18" t="inlineStr">
        <is>
          <t>Revenue Drivers: ending-stores formula</t>
        </is>
      </c>
      <c r="K17" s="171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H18" s="171" t="n"/>
      <c r="I18" s="185" t="inlineStr">
        <is>
          <t>Sum of Americas, China, and Rest of World.</t>
        </is>
      </c>
      <c r="J18" s="18" t="inlineStr">
        <is>
          <t>Revenue Drivers: total-stores formula</t>
        </is>
      </c>
      <c r="K18" s="171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8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85" t="inlineStr">
        <is>
          <t>Ending stores times average square feet per store.</t>
        </is>
      </c>
      <c r="J20" s="186" t="inlineStr">
        <is>
          <t>Revenue Drivers: total-sqft formula</t>
        </is>
      </c>
      <c r="K20" s="171" t="n"/>
    </row>
    <row r="21">
      <c r="A21" s="171" t="n"/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</row>
    <row r="22">
      <c r="A22" s="52" t="inlineStr">
        <is>
          <t>II. STORE PRODUCTIVITY (brick &amp; mortar channel)</t>
        </is>
      </c>
      <c r="B22" s="171" t="n"/>
      <c r="C22" s="171" t="n"/>
      <c r="D22" s="171" t="n"/>
      <c r="E22" s="171" t="n"/>
      <c r="F22" s="171" t="n"/>
      <c r="G22" s="171" t="n"/>
      <c r="H22" s="171" t="n"/>
      <c r="I22" s="171" t="n"/>
      <c r="J22" s="171" t="n"/>
      <c r="K22" s="171" t="n"/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87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8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8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8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8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85" t="inlineStr">
        <is>
          <t>Last year's store revenue rolled forward annually.</t>
        </is>
      </c>
      <c r="J28" s="18" t="inlineStr">
        <is>
          <t>Revenue Drivers: prior store-rev formula</t>
        </is>
      </c>
      <c r="K28" s="171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H29" s="171" t="n"/>
      <c r="I29" s="185" t="inlineStr">
        <is>
          <t>Prior revenue grown by weighted geographic comp rates.</t>
        </is>
      </c>
      <c r="J29" s="18" t="inlineStr">
        <is>
          <t>Revenue Drivers: comp-store formula</t>
        </is>
      </c>
      <c r="K29" s="171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H30" s="171" t="n"/>
      <c r="I30" s="185" t="inlineStr">
        <is>
          <t>Net new doors times sq ft, productivity, ramp.</t>
        </is>
      </c>
      <c r="J30" s="186" t="inlineStr">
        <is>
          <t>Revenue Drivers: net-new-store formula</t>
        </is>
      </c>
      <c r="K30" s="171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H31" s="171" t="n"/>
      <c r="I31" s="185" t="inlineStr">
        <is>
          <t>Comparable store sales plus new store contribution.</t>
        </is>
      </c>
      <c r="J31" s="18" t="inlineStr">
        <is>
          <t>Revenue Drivers: store-channel formula</t>
        </is>
      </c>
      <c r="K31" s="171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H33" s="171" t="n"/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H34" s="171" t="n"/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>
      <c r="A35" s="171" t="n"/>
      <c r="B35" s="171" t="n"/>
      <c r="C35" s="171" t="n"/>
      <c r="D35" s="171" t="n"/>
      <c r="E35" s="171" t="n"/>
      <c r="F35" s="171" t="n"/>
      <c r="G35" s="171" t="n"/>
      <c r="H35" s="171" t="n"/>
      <c r="I35" s="171" t="n"/>
      <c r="J35" s="171" t="n"/>
      <c r="K35" s="171" t="n"/>
    </row>
    <row r="36">
      <c r="A36" s="52" t="inlineStr">
        <is>
          <t>III. DIRECT-TO-CONSUMER (e-commerce / digital)</t>
        </is>
      </c>
      <c r="B36" s="171" t="n"/>
      <c r="C36" s="171" t="n"/>
      <c r="D36" s="171" t="n"/>
      <c r="E36" s="171" t="n"/>
      <c r="F36" s="171" t="n"/>
      <c r="G36" s="171" t="n"/>
      <c r="H36" s="171" t="n"/>
      <c r="I36" s="171" t="n"/>
      <c r="J36" s="171" t="n"/>
      <c r="K36" s="171" t="n"/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87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8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H39" s="171" t="n"/>
      <c r="I39" s="18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H40" s="171" t="n"/>
      <c r="I40" s="18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H41" s="171" t="n"/>
      <c r="I41" s="185" t="inlineStr">
        <is>
          <t>Sessions times conversion times average order value.</t>
        </is>
      </c>
      <c r="J41" s="18" t="inlineStr">
        <is>
          <t>Revenue Drivers: e-comm formula</t>
        </is>
      </c>
      <c r="K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</row>
    <row r="43">
      <c r="A43" s="52" t="inlineStr">
        <is>
          <t>IV. OTHER CHANNELS, GEOGRAPHY &amp; PRODUCT MIX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87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8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8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8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8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H49" s="171" t="n"/>
      <c r="I49" s="18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H50" s="171" t="n"/>
      <c r="I50" s="18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H51" s="171" t="n"/>
      <c r="I51" s="18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>
      <c r="A52" s="171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</row>
    <row r="53">
      <c r="A53" s="52" t="inlineStr">
        <is>
          <t>V. CONSOLIDATED REVENUE &amp; RECONCILIATION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87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H55" s="171" t="n"/>
      <c r="I55" s="185" t="inlineStr">
        <is>
          <t>Store channel plus e-comm plus other channels.</t>
        </is>
      </c>
      <c r="J55" s="18" t="inlineStr">
        <is>
          <t>Revenue Drivers: total-rev formula</t>
        </is>
      </c>
      <c r="K55" s="171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H56" s="171" t="n"/>
      <c r="I56" s="185" t="inlineStr">
        <is>
          <t>Pulls Scenarios base revenue path used by DCF.</t>
        </is>
      </c>
      <c r="J56" s="18" t="inlineStr">
        <is>
          <t>Scenarios tab: base revenue</t>
        </is>
      </c>
      <c r="K56" s="171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H57" s="171" t="n"/>
      <c r="I57" s="185" t="inlineStr">
        <is>
          <t>Driver-built revenue minus Scenarios base-case revenue.</t>
        </is>
      </c>
      <c r="J57" s="186" t="inlineStr">
        <is>
          <t>Revenue Drivers: variance formula</t>
        </is>
      </c>
      <c r="K57" s="171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H58" s="171" t="n"/>
      <c r="I58" s="185" t="inlineStr">
        <is>
          <t>Variance as percent of Scenarios consolidated revenue.</t>
        </is>
      </c>
      <c r="J58" s="186" t="inlineStr">
        <is>
          <t>Revenue Drivers: variance % formula</t>
        </is>
      </c>
      <c r="K58" s="171" t="n"/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  <c r="B59" s="171" t="n"/>
      <c r="C59" s="171" t="n"/>
      <c r="D59" s="171" t="n"/>
      <c r="E59" s="171" t="n"/>
      <c r="F59" s="171" t="n"/>
      <c r="G59" s="171" t="n"/>
      <c r="H59" s="171" t="n"/>
      <c r="I59" s="171" t="n"/>
      <c r="J59" s="171" t="n"/>
      <c r="K59" s="171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</row>
    <row r="2">
      <c r="A2" s="171" t="n"/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B3" s="171" t="n"/>
      <c r="C3" s="19" t="n"/>
      <c r="D3" s="171" t="n"/>
      <c r="E3" s="83" t="inlineStr">
        <is>
          <t>10-K</t>
        </is>
      </c>
      <c r="F3" s="171" t="n"/>
      <c r="G3" s="171" t="n"/>
      <c r="H3" s="171" t="n"/>
      <c r="I3" s="171" t="n"/>
      <c r="J3" s="171" t="n"/>
    </row>
    <row r="4" ht="15" customHeight="1">
      <c r="A4" s="38" t="n"/>
      <c r="B4" s="171" t="n"/>
      <c r="C4" s="85" t="n"/>
      <c r="D4" s="85" t="inlineStr">
        <is>
          <t>Revenue Drivers tab</t>
        </is>
      </c>
      <c r="E4" s="171" t="n"/>
      <c r="F4" s="171" t="n"/>
      <c r="G4" s="171" t="n"/>
      <c r="H4" s="171" t="n"/>
      <c r="I4" s="171" t="n"/>
      <c r="J4" s="171" t="n"/>
    </row>
    <row r="5">
      <c r="A5" s="16" t="inlineStr">
        <is>
          <t>Net revenue</t>
        </is>
      </c>
      <c r="B5" s="171" t="n"/>
      <c r="C5" s="171" t="n"/>
      <c r="D5" s="171" t="n"/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E6" s="171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B8" s="171" t="n"/>
      <c r="C8" s="171" t="n"/>
      <c r="D8" s="171" t="n"/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E9" s="171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B11" s="171" t="n"/>
      <c r="C11" s="171" t="n"/>
      <c r="D11" s="171" t="n"/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B12" s="171" t="n"/>
      <c r="C12" s="171" t="n"/>
      <c r="D12" s="171" t="n"/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B13" s="171" t="n"/>
      <c r="C13" s="171" t="n"/>
      <c r="D13" s="171" t="n"/>
      <c r="E13" s="171" t="n"/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B14" s="171" t="n"/>
      <c r="C14" s="171" t="n"/>
      <c r="D14" s="171" t="n"/>
      <c r="E14" s="171" t="n"/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E15" s="171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B16" s="171" t="n"/>
      <c r="C16" s="171" t="n"/>
      <c r="D16" s="171" t="n"/>
      <c r="E16" s="171" t="n"/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E17" s="171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B18" s="171" t="n"/>
      <c r="C18" s="171" t="n"/>
      <c r="D18" s="171" t="n"/>
      <c r="E18" s="171" t="n"/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E30" s="171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E31" s="171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E33" s="171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</row>
    <row r="35">
      <c r="A35" s="23" t="inlineStr">
        <is>
          <t>Unlevered free cash flow</t>
        </is>
      </c>
      <c r="B35" s="171" t="n"/>
      <c r="C35" s="171" t="n"/>
      <c r="D35" s="171" t="n"/>
      <c r="E35" s="171" t="n"/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B36" s="171" t="n"/>
      <c r="C36" s="171" t="n"/>
      <c r="D36" s="171" t="n"/>
      <c r="E36" s="171" t="n"/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B37" s="171" t="n"/>
      <c r="C37" s="171" t="n"/>
      <c r="D37" s="171" t="n"/>
      <c r="E37" s="171" t="n"/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B38" s="171" t="n"/>
      <c r="C38" s="171" t="n"/>
      <c r="D38" s="171" t="n"/>
      <c r="E38" s="171" t="n"/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>
      <c r="A39" s="171" t="n"/>
      <c r="B39" s="171" t="n"/>
      <c r="C39" s="171" t="n"/>
      <c r="D39" s="171" t="n"/>
      <c r="E39" s="171" t="n"/>
      <c r="F39" s="171" t="n"/>
      <c r="G39" s="171" t="n"/>
      <c r="H39" s="171" t="n"/>
      <c r="I39" s="171" t="n"/>
      <c r="J39" s="171" t="n"/>
    </row>
    <row r="40">
      <c r="A40" s="15" t="n"/>
      <c r="B40" s="171" t="n"/>
      <c r="C40" s="171" t="n"/>
      <c r="D40" s="171" t="n"/>
      <c r="E40" s="171" t="n"/>
      <c r="F40" s="171" t="n"/>
      <c r="G40" s="171" t="n"/>
      <c r="H40" s="171" t="n"/>
      <c r="I40" s="171" t="n"/>
      <c r="J40" s="171" t="n"/>
    </row>
    <row r="41">
      <c r="A41" s="93" t="inlineStr">
        <is>
          <t>VALUATION — GORDON GROWTH (PERPETUITY) METHOD</t>
        </is>
      </c>
      <c r="B41" s="172" t="n"/>
      <c r="C41" s="172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23" t="inlineStr">
        <is>
          <t>Sum of PV of explicit FCF (FY26–FY30)</t>
        </is>
      </c>
      <c r="B42" s="171" t="n"/>
      <c r="C42" s="171" t="n"/>
      <c r="D42" s="171" t="n"/>
      <c r="E42" s="70">
        <f>SUM(F38:J38)</f>
        <v/>
      </c>
      <c r="F42" s="171" t="n"/>
      <c r="G42" s="171" t="n"/>
      <c r="H42" s="171" t="n"/>
      <c r="I42" s="171" t="n"/>
      <c r="J42" s="171" t="n"/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  <c r="F43" s="171" t="n"/>
      <c r="G43" s="171" t="n"/>
      <c r="H43" s="171" t="n"/>
      <c r="I43" s="171" t="n"/>
      <c r="J43" s="171" t="n"/>
    </row>
    <row r="44">
      <c r="A44" s="23" t="inlineStr">
        <is>
          <t>Terminal EBITDA (FY2030E EBIT + D&amp;A)</t>
        </is>
      </c>
      <c r="B44" s="171" t="n"/>
      <c r="C44" s="171" t="n"/>
      <c r="D44" s="171" t="n"/>
      <c r="E44" s="25">
        <f>J11+J16</f>
        <v/>
      </c>
      <c r="F44" s="171" t="n"/>
      <c r="G44" s="171" t="n"/>
      <c r="H44" s="171" t="n"/>
      <c r="I44" s="171" t="n"/>
      <c r="J44" s="171" t="n"/>
    </row>
    <row r="45">
      <c r="A45" s="16" t="inlineStr">
        <is>
          <t>Terminal value = FCF₅×(1+g)/(WACC−g)</t>
        </is>
      </c>
      <c r="B45" s="171" t="n"/>
      <c r="C45" s="171" t="n"/>
      <c r="D45" s="171" t="n"/>
      <c r="E45" s="75">
        <f>J35*(1+Scenarios!$C$10)/(Scenarios!$C$9-Scenarios!$C$10)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Implied exit EV/EBITDA = Gordon TV / FY30 EBITDA</t>
        </is>
      </c>
      <c r="B46" s="171" t="n"/>
      <c r="C46" s="171" t="n"/>
      <c r="D46" s="171" t="n"/>
      <c r="E46" s="94">
        <f>E45/E44</f>
        <v/>
      </c>
      <c r="F46" s="171" t="n"/>
      <c r="G46" s="171" t="n"/>
      <c r="H46" s="171" t="n"/>
      <c r="I46" s="171" t="n"/>
      <c r="J46" s="171" t="n"/>
    </row>
    <row r="47">
      <c r="A47" s="16" t="n"/>
      <c r="B47" s="171" t="n"/>
      <c r="C47" s="171" t="n"/>
      <c r="D47" s="171" t="n"/>
      <c r="E47" s="94">
        <f>J35/E44*(1+Scenarios!$C$10)/(Scenarios!$C$9-Scenarios!$C$10)</f>
        <v/>
      </c>
      <c r="F47" s="171" t="n"/>
      <c r="G47" s="171" t="n"/>
      <c r="H47" s="171" t="n"/>
      <c r="I47" s="171" t="n"/>
      <c r="J47" s="171" t="n"/>
    </row>
    <row r="48">
      <c r="A48" s="23" t="inlineStr">
        <is>
          <t>PV of terminal value</t>
        </is>
      </c>
      <c r="B48" s="171" t="n"/>
      <c r="C48" s="171" t="n"/>
      <c r="D48" s="171" t="n"/>
      <c r="E48" s="70">
        <f>E45/(1+Scenarios!$C$9)^J36</f>
        <v/>
      </c>
      <c r="F48" s="171" t="n"/>
      <c r="G48" s="171" t="n"/>
      <c r="H48" s="171" t="n"/>
      <c r="I48" s="171" t="n"/>
      <c r="J48" s="171" t="n"/>
    </row>
    <row r="49">
      <c r="A49" s="23" t="inlineStr">
        <is>
          <t>Enterprise value</t>
        </is>
      </c>
      <c r="B49" s="171" t="n"/>
      <c r="C49" s="171" t="n"/>
      <c r="D49" s="171" t="n"/>
      <c r="E49" s="25">
        <f>E42+E48</f>
        <v/>
      </c>
      <c r="F49" s="171" t="n"/>
      <c r="G49" s="171" t="n"/>
      <c r="H49" s="171" t="n"/>
      <c r="I49" s="171" t="n"/>
      <c r="J49" s="171" t="n"/>
    </row>
    <row r="50" ht="28" customHeight="1">
      <c r="A50" s="16" t="inlineStr">
        <is>
          <t>Plus: cash &amp; equivalents (FY2025)</t>
        </is>
      </c>
      <c r="B50" s="171" t="n"/>
      <c r="C50" s="95" t="inlineStr">
        <is>
          <t>10-K</t>
        </is>
      </c>
      <c r="D50" s="19" t="n"/>
      <c r="E50" s="74" t="n">
        <v>1807202</v>
      </c>
      <c r="F50" s="171" t="n"/>
      <c r="G50" s="171" t="n"/>
      <c r="H50" s="171" t="n"/>
      <c r="I50" s="171" t="n"/>
      <c r="J50" s="171" t="n"/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  <c r="F51" s="171" t="n"/>
      <c r="G51" s="171" t="n"/>
      <c r="H51" s="171" t="n"/>
      <c r="I51" s="171" t="n"/>
      <c r="J51" s="171" t="n"/>
    </row>
    <row r="52">
      <c r="A52" s="26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26" t="n"/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23" t="inlineStr">
        <is>
          <t>Equity value</t>
        </is>
      </c>
      <c r="B54" s="171" t="n"/>
      <c r="C54" s="171" t="n"/>
      <c r="D54" s="171" t="n"/>
      <c r="E54" s="25">
        <f>E49+E50+E51</f>
        <v/>
      </c>
      <c r="F54" s="171" t="n"/>
      <c r="G54" s="171" t="n"/>
      <c r="H54" s="171" t="n"/>
      <c r="I54" s="171" t="n"/>
      <c r="J54" s="171" t="n"/>
    </row>
    <row r="55" ht="28" customHeight="1">
      <c r="A55" s="16" t="inlineStr">
        <is>
          <t>Shares outstanding (000)</t>
        </is>
      </c>
      <c r="B55" s="171" t="n"/>
      <c r="C55" s="95" t="inlineStr">
        <is>
          <t>10-K</t>
        </is>
      </c>
      <c r="D55" s="19" t="n"/>
      <c r="E55" s="74" t="n">
        <v>111380</v>
      </c>
      <c r="F55" s="171" t="n"/>
      <c r="G55" s="171" t="n"/>
      <c r="H55" s="171" t="n"/>
      <c r="I55" s="171" t="n"/>
      <c r="J55" s="171" t="n"/>
    </row>
    <row r="56">
      <c r="A56" s="23" t="inlineStr">
        <is>
          <t>Implied value per share</t>
        </is>
      </c>
      <c r="B56" s="171" t="n"/>
      <c r="C56" s="171" t="n"/>
      <c r="D56" s="171" t="n"/>
      <c r="E56" s="96">
        <f>E54/E55</f>
        <v/>
      </c>
      <c r="F56" s="171" t="n"/>
      <c r="G56" s="171" t="n"/>
      <c r="H56" s="171" t="n"/>
      <c r="I56" s="171" t="n"/>
      <c r="J56" s="171" t="n"/>
    </row>
    <row r="57" ht="28" customHeight="1">
      <c r="A57" s="16" t="inlineStr">
        <is>
          <t>Current share price</t>
        </is>
      </c>
      <c r="B57" s="171" t="n"/>
      <c r="C57" s="95" t="inlineStr">
        <is>
          <t>NASDAQ</t>
        </is>
      </c>
      <c r="D57" s="19" t="n"/>
      <c r="E57" s="97" t="n">
        <v>100</v>
      </c>
      <c r="F57" s="171" t="n"/>
      <c r="G57" s="171" t="n"/>
      <c r="H57" s="171" t="n"/>
      <c r="I57" s="171" t="n"/>
      <c r="J57" s="171" t="n"/>
    </row>
    <row r="58">
      <c r="A58" s="23" t="inlineStr">
        <is>
          <t>Implied upside / (downside)</t>
        </is>
      </c>
      <c r="B58" s="171" t="n"/>
      <c r="C58" s="171" t="n"/>
      <c r="D58" s="171" t="n"/>
      <c r="E58" s="98">
        <f>E56/E57-1</f>
        <v/>
      </c>
      <c r="F58" s="171" t="n"/>
      <c r="G58" s="171" t="n"/>
      <c r="H58" s="171" t="n"/>
      <c r="I58" s="171" t="n"/>
      <c r="J58" s="171" t="n"/>
    </row>
    <row r="59">
      <c r="A59" s="16" t="n"/>
      <c r="B59" s="171" t="n"/>
      <c r="C59" s="171" t="n"/>
      <c r="D59" s="171" t="n"/>
      <c r="E59" s="32">
        <f>E48/E49</f>
        <v/>
      </c>
      <c r="F59" s="171" t="n"/>
      <c r="G59" s="171" t="n"/>
      <c r="H59" s="171" t="n"/>
      <c r="I59" s="171" t="n"/>
      <c r="J59" s="171" t="n"/>
    </row>
    <row r="60">
      <c r="A60" s="171" t="n"/>
      <c r="B60" s="171" t="n"/>
      <c r="C60" s="171" t="n"/>
      <c r="D60" s="171" t="n"/>
      <c r="E60" s="171" t="n"/>
      <c r="F60" s="171" t="n"/>
      <c r="G60" s="171" t="n"/>
      <c r="H60" s="171" t="n"/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>
      <c r="A62" s="93" t="inlineStr">
        <is>
          <t>SHARE REPURCHASE &amp; EPS ACCRETION SCHEDULE</t>
        </is>
      </c>
      <c r="B62" s="172" t="n"/>
      <c r="C62" s="172" t="n"/>
      <c r="D62" s="172" t="n"/>
      <c r="E62" s="172" t="n"/>
      <c r="F62" s="171" t="n"/>
      <c r="G62" s="171" t="n"/>
      <c r="H62" s="171" t="n"/>
      <c r="I62" s="171" t="n"/>
      <c r="J62" s="171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  <row r="64">
      <c r="A64" s="171" t="n"/>
      <c r="B64" s="171" t="n"/>
      <c r="C64" s="171" t="n"/>
      <c r="D64" s="171" t="n"/>
      <c r="E64" s="171" t="n"/>
      <c r="F64" s="171" t="n"/>
      <c r="G64" s="171" t="n"/>
      <c r="H64" s="171" t="n"/>
      <c r="I64" s="171" t="n"/>
      <c r="J64" s="171" t="n"/>
    </row>
    <row r="65">
      <c r="A65" s="16" t="inlineStr">
        <is>
          <t>Annual repurchase budget ($000) — base case</t>
        </is>
      </c>
      <c r="B65" s="171" t="n"/>
      <c r="C65" s="171" t="n"/>
      <c r="D65" s="171" t="n"/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B66" s="171" t="n"/>
      <c r="C66" s="171" t="n"/>
      <c r="D66" s="171" t="n"/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>
      <c r="A67" s="171" t="n"/>
      <c r="B67" s="171" t="n"/>
      <c r="C67" s="171" t="n"/>
      <c r="D67" s="171" t="n"/>
      <c r="E67" s="171" t="n"/>
      <c r="F67" s="171" t="n"/>
      <c r="G67" s="171" t="n"/>
      <c r="H67" s="171" t="n"/>
      <c r="I67" s="171" t="n"/>
      <c r="J67" s="171" t="n"/>
    </row>
    <row r="68">
      <c r="A68" s="16" t="inlineStr">
        <is>
          <t>Unlevered free cash flow (from DCF above)</t>
        </is>
      </c>
      <c r="B68" s="171" t="n"/>
      <c r="C68" s="171" t="n"/>
      <c r="D68" s="171" t="n"/>
      <c r="E68" s="171" t="n"/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B69" s="171" t="n"/>
      <c r="C69" s="171" t="n"/>
      <c r="D69" s="171" t="n"/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B70" s="171" t="n"/>
      <c r="C70" s="171" t="n"/>
      <c r="D70" s="171" t="n"/>
      <c r="E70" s="171" t="n"/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>
      <c r="A71" s="171" t="n"/>
      <c r="B71" s="171" t="n"/>
      <c r="C71" s="171" t="n"/>
      <c r="D71" s="171" t="n"/>
      <c r="E71" s="171" t="n"/>
      <c r="F71" s="171" t="n"/>
      <c r="G71" s="171" t="n"/>
      <c r="H71" s="171" t="n"/>
      <c r="I71" s="171" t="n"/>
      <c r="J71" s="171" t="n"/>
    </row>
    <row r="72">
      <c r="A72" s="16" t="inlineStr">
        <is>
          <t>Projected share price ($)</t>
        </is>
      </c>
      <c r="B72" s="171" t="n"/>
      <c r="C72" s="171" t="n"/>
      <c r="D72" s="171" t="n"/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B73" s="171" t="n"/>
      <c r="C73" s="171" t="n"/>
      <c r="D73" s="171" t="n"/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B74" s="171" t="n"/>
      <c r="C74" s="171" t="n"/>
      <c r="D74" s="171" t="n"/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B75" s="171" t="n"/>
      <c r="C75" s="171" t="n"/>
      <c r="D75" s="171" t="n"/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6">
      <c r="A76" s="171" t="n"/>
      <c r="B76" s="171" t="n"/>
      <c r="C76" s="171" t="n"/>
      <c r="D76" s="171" t="n"/>
      <c r="E76" s="171" t="n"/>
      <c r="F76" s="171" t="n"/>
      <c r="G76" s="171" t="n"/>
      <c r="H76" s="171" t="n"/>
      <c r="I76" s="171" t="n"/>
      <c r="J76" s="171" t="n"/>
    </row>
    <row r="77">
      <c r="A77" s="16" t="inlineStr">
        <is>
          <t>Projected net income ($000)</t>
        </is>
      </c>
      <c r="B77" s="171" t="n"/>
      <c r="C77" s="171" t="n"/>
      <c r="D77" s="171" t="n"/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B78" s="171" t="n"/>
      <c r="C78" s="171" t="n"/>
      <c r="D78" s="171" t="n"/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79">
      <c r="A79" s="171" t="n"/>
      <c r="B79" s="171" t="n"/>
      <c r="C79" s="171" t="n"/>
      <c r="D79" s="171" t="n"/>
      <c r="E79" s="171" t="n"/>
      <c r="F79" s="171" t="n"/>
      <c r="G79" s="171" t="n"/>
      <c r="H79" s="171" t="n"/>
      <c r="I79" s="171" t="n"/>
      <c r="J79" s="171" t="n"/>
    </row>
    <row r="80">
      <c r="A80" s="93" t="n"/>
      <c r="B80" s="172" t="n"/>
      <c r="C80" s="172" t="n"/>
      <c r="D80" s="171" t="n"/>
      <c r="E80" s="171" t="n"/>
      <c r="F80" s="171" t="n"/>
      <c r="G80" s="171" t="n"/>
      <c r="H80" s="171" t="n"/>
      <c r="I80" s="171" t="n"/>
      <c r="J80" s="171" t="n"/>
    </row>
    <row r="81">
      <c r="A81" s="15" t="inlineStr">
        <is>
          <t>Exit multiple is the Gordon identity — not a peer pick or an average</t>
        </is>
      </c>
      <c r="B81" s="171" t="n"/>
      <c r="C81" s="171" t="n"/>
      <c r="D81" s="171" t="n"/>
      <c r="E81" s="171" t="n"/>
      <c r="F81" s="171" t="n"/>
      <c r="G81" s="171" t="n"/>
      <c r="H81" s="171" t="n"/>
      <c r="I81" s="171" t="n"/>
      <c r="J81" s="171" t="n"/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F82" s="171" t="n"/>
      <c r="G82" s="171" t="n"/>
      <c r="H82" s="171" t="n"/>
      <c r="I82" s="171" t="n"/>
      <c r="J82" s="171" t="n"/>
    </row>
    <row r="83">
      <c r="A83" s="16" t="inlineStr">
        <is>
          <t>Terminal value = Terminal EBITDA × exit multiple</t>
        </is>
      </c>
      <c r="B83" s="171" t="n"/>
      <c r="C83" s="171" t="n"/>
      <c r="D83" s="171" t="n"/>
      <c r="E83" s="75">
        <f>E44*E82</f>
        <v/>
      </c>
      <c r="F83" s="171" t="n"/>
      <c r="G83" s="171" t="n"/>
      <c r="H83" s="171" t="n"/>
      <c r="I83" s="171" t="n"/>
      <c r="J83" s="171" t="n"/>
    </row>
    <row r="84">
      <c r="A84" s="16" t="inlineStr">
        <is>
          <t>PV of terminal value</t>
        </is>
      </c>
      <c r="B84" s="171" t="n"/>
      <c r="C84" s="171" t="n"/>
      <c r="D84" s="171" t="n"/>
      <c r="E84" s="75">
        <f>E83/(1+Scenarios!$C$9)^J36</f>
        <v/>
      </c>
      <c r="F84" s="171" t="n"/>
      <c r="G84" s="171" t="n"/>
      <c r="H84" s="171" t="n"/>
      <c r="I84" s="171" t="n"/>
      <c r="J84" s="171" t="n"/>
    </row>
    <row r="85">
      <c r="A85" s="23" t="inlineStr">
        <is>
          <t>Enterprise value (exit method)</t>
        </is>
      </c>
      <c r="B85" s="171" t="n"/>
      <c r="C85" s="171" t="n"/>
      <c r="D85" s="171" t="n"/>
      <c r="E85" s="25">
        <f>E42+E84</f>
        <v/>
      </c>
      <c r="F85" s="171" t="n"/>
      <c r="G85" s="171" t="n"/>
      <c r="H85" s="171" t="n"/>
      <c r="I85" s="171" t="n"/>
      <c r="J85" s="171" t="n"/>
    </row>
    <row r="86">
      <c r="A86" s="23" t="inlineStr">
        <is>
          <t>Implied value per share (exit method)</t>
        </is>
      </c>
      <c r="B86" s="171" t="n"/>
      <c r="C86" s="171" t="n"/>
      <c r="D86" s="171" t="n"/>
      <c r="E86" s="102">
        <f>(E85+E50+E51)/E55</f>
        <v/>
      </c>
      <c r="F86" s="171" t="n"/>
      <c r="G86" s="171" t="n"/>
      <c r="H86" s="171" t="n"/>
      <c r="I86" s="171" t="n"/>
      <c r="J86" s="171" t="n"/>
    </row>
    <row r="87">
      <c r="A87" s="171" t="n"/>
      <c r="B87" s="171" t="n"/>
      <c r="C87" s="171" t="n"/>
      <c r="D87" s="171" t="n"/>
      <c r="E87" s="171" t="n"/>
      <c r="F87" s="171" t="n"/>
      <c r="G87" s="171" t="n"/>
      <c r="H87" s="171" t="n"/>
      <c r="I87" s="171" t="n"/>
      <c r="J87" s="171" t="n"/>
    </row>
    <row r="88">
      <c r="A88" s="93" t="inlineStr">
        <is>
          <t>TERMINAL VALUE RECONCILIATION (GORDON vs EXIT MULTIPLE)</t>
        </is>
      </c>
      <c r="B88" s="172" t="n"/>
      <c r="C88" s="172" t="n"/>
      <c r="D88" s="172" t="n"/>
      <c r="E88" s="171" t="n"/>
      <c r="F88" s="171" t="n"/>
      <c r="G88" s="171" t="n"/>
      <c r="H88" s="171" t="n"/>
      <c r="I88" s="171" t="n"/>
      <c r="J88" s="171" t="n"/>
    </row>
    <row r="89">
      <c r="A89" s="103" t="inlineStr"/>
      <c r="B89" s="54" t="n"/>
      <c r="C89" s="54" t="inlineStr">
        <is>
          <t>Exit Multiple</t>
        </is>
      </c>
      <c r="D89" s="54" t="n"/>
      <c r="E89" s="171" t="n"/>
      <c r="F89" s="171" t="n"/>
      <c r="G89" s="171" t="n"/>
      <c r="H89" s="171" t="n"/>
      <c r="I89" s="171" t="n"/>
      <c r="J89" s="171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  <c r="E90" s="171" t="n"/>
      <c r="F90" s="171" t="n"/>
      <c r="G90" s="171" t="n"/>
      <c r="H90" s="171" t="n"/>
      <c r="I90" s="171" t="n"/>
      <c r="J90" s="171" t="n"/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  <c r="E91" s="171" t="n"/>
      <c r="F91" s="171" t="n"/>
      <c r="G91" s="171" t="n"/>
      <c r="H91" s="171" t="n"/>
      <c r="I91" s="171" t="n"/>
      <c r="J91" s="171" t="n"/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  <c r="E92" s="171" t="n"/>
      <c r="F92" s="171" t="n"/>
      <c r="G92" s="171" t="n"/>
      <c r="H92" s="171" t="n"/>
      <c r="I92" s="171" t="n"/>
      <c r="J92" s="171" t="n"/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  <c r="E93" s="171" t="n"/>
      <c r="F93" s="171" t="n"/>
      <c r="G93" s="171" t="n"/>
      <c r="H93" s="171" t="n"/>
      <c r="I93" s="171" t="n"/>
      <c r="J93" s="171" t="n"/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  <c r="E94" s="171" t="n"/>
      <c r="F94" s="171" t="n"/>
      <c r="G94" s="171" t="n"/>
      <c r="H94" s="171" t="n"/>
      <c r="I94" s="171" t="n"/>
      <c r="J94" s="171" t="n"/>
    </row>
    <row r="95">
      <c r="A95" s="171" t="n"/>
      <c r="B95" s="171" t="n"/>
      <c r="C95" s="171" t="n"/>
      <c r="D95" s="171" t="n"/>
      <c r="E95" s="171" t="n"/>
      <c r="F95" s="171" t="n"/>
      <c r="G95" s="171" t="n"/>
      <c r="H95" s="171" t="n"/>
      <c r="I95" s="171" t="n"/>
      <c r="J95" s="171" t="n"/>
    </row>
    <row r="96">
      <c r="A96" s="171" t="n"/>
      <c r="B96" s="171" t="n"/>
      <c r="C96" s="171" t="n"/>
      <c r="D96" s="171" t="n"/>
      <c r="E96" s="171" t="n"/>
      <c r="F96" s="171" t="n"/>
      <c r="G96" s="171" t="n"/>
      <c r="H96" s="171" t="n"/>
      <c r="I96" s="171" t="n"/>
      <c r="J96" s="171" t="n"/>
    </row>
    <row r="97">
      <c r="A97" s="93" t="inlineStr">
        <is>
          <t>SENSITIVITY — IMPLIED SHARE PRICE (WACC vs terminal growth)</t>
        </is>
      </c>
      <c r="B97" s="172" t="n"/>
      <c r="C97" s="172" t="n"/>
      <c r="D97" s="172" t="n"/>
      <c r="E97" s="172" t="n"/>
      <c r="F97" s="172" t="n"/>
      <c r="G97" s="172" t="n"/>
      <c r="H97" s="172" t="n"/>
      <c r="I97" s="171" t="n"/>
      <c r="J97" s="171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E98" s="171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B99" s="171" t="n"/>
      <c r="C99" s="95" t="inlineStr">
        <is>
          <t>Damodaran: Historical Implied ERP</t>
        </is>
      </c>
      <c r="D99" s="19" t="n"/>
      <c r="E99" s="171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B100" s="171" t="n"/>
      <c r="C100" s="171" t="n"/>
      <c r="D100" s="19" t="n"/>
      <c r="E100" s="171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B101" s="171" t="n"/>
      <c r="C101" s="171" t="n"/>
      <c r="D101" s="19" t="n"/>
      <c r="E101" s="171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B102" s="171" t="n"/>
      <c r="C102" s="171" t="n"/>
      <c r="D102" s="19" t="n"/>
      <c r="E102" s="171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B103" s="171" t="n"/>
      <c r="C103" s="171" t="n"/>
      <c r="D103" s="19" t="n"/>
      <c r="E103" s="171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A104" s="171" t="n"/>
      <c r="B104" s="17" t="n"/>
      <c r="C104" s="18" t="inlineStr">
        <is>
          <t>Scenarios: WACC &amp; terminal g</t>
        </is>
      </c>
      <c r="D104" s="19" t="n"/>
      <c r="E104" s="171" t="n"/>
      <c r="F104" s="171" t="n"/>
      <c r="G104" s="171" t="n"/>
      <c r="H104" s="171" t="n"/>
      <c r="I104" s="171" t="n"/>
      <c r="J104" s="171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72" t="n"/>
      <c r="C1" s="172" t="n"/>
      <c r="D1" s="172" t="n"/>
      <c r="E1" s="172" t="n"/>
      <c r="F1" s="172" t="n"/>
      <c r="G1" s="172" t="n"/>
      <c r="H1" s="172" t="n"/>
      <c r="I1" s="171" t="n"/>
      <c r="J1" s="171" t="n"/>
    </row>
    <row r="2">
      <c r="A2" s="171" t="n"/>
      <c r="B2" s="15" t="n"/>
      <c r="C2" s="15" t="inlineStr">
        <is>
          <t>Source (click)</t>
        </is>
      </c>
      <c r="D2" s="15" t="n"/>
      <c r="E2" s="171" t="n"/>
      <c r="F2" s="171" t="n"/>
      <c r="G2" s="171" t="n"/>
      <c r="H2" s="171" t="n"/>
      <c r="I2" s="171" t="n"/>
      <c r="J2" s="171" t="n"/>
    </row>
    <row r="3">
      <c r="A3" s="14" t="inlineStr">
        <is>
          <t>LULU operating metrics (FY2025A / FY2026E)</t>
        </is>
      </c>
      <c r="B3" s="171" t="n"/>
      <c r="C3" s="171" t="n"/>
      <c r="D3" s="171" t="n"/>
      <c r="E3" s="171" t="n"/>
      <c r="F3" s="171" t="n"/>
      <c r="G3" s="171" t="n"/>
      <c r="H3" s="171" t="n"/>
      <c r="I3" s="171" t="n"/>
      <c r="J3" s="171" t="n"/>
    </row>
    <row r="4" ht="28" customHeight="1">
      <c r="A4" s="16" t="inlineStr">
        <is>
          <t>FY2025A revenue</t>
        </is>
      </c>
      <c r="B4" s="171" t="n"/>
      <c r="C4" s="95" t="inlineStr">
        <is>
          <t>10-K</t>
        </is>
      </c>
      <c r="D4" s="19" t="n"/>
      <c r="E4" s="74" t="n">
        <v>11102600</v>
      </c>
      <c r="F4" s="171" t="n"/>
      <c r="G4" s="171" t="n"/>
      <c r="H4" s="171" t="n"/>
      <c r="I4" s="171" t="n"/>
      <c r="J4" s="171" t="n"/>
    </row>
    <row r="5">
      <c r="A5" s="16" t="inlineStr">
        <is>
          <t>FY2025A EBITDA (EBIT + D&amp;A)</t>
        </is>
      </c>
      <c r="B5" s="171" t="n"/>
      <c r="C5" s="171" t="n"/>
      <c r="D5" s="171" t="n"/>
      <c r="E5" s="75">
        <f>DCF!$E$11+DCF!$E$16</f>
        <v/>
      </c>
      <c r="F5" s="171" t="n"/>
      <c r="G5" s="171" t="n"/>
      <c r="H5" s="171" t="n"/>
      <c r="I5" s="171" t="n"/>
      <c r="J5" s="171" t="n"/>
    </row>
    <row r="6">
      <c r="A6" s="16" t="inlineStr">
        <is>
          <t>FY2030E terminal EBITDA (DCF EBIT + D&amp;A)</t>
        </is>
      </c>
      <c r="B6" s="171" t="n"/>
      <c r="C6" s="95" t="inlineStr">
        <is>
          <t>↳ DCF base case</t>
        </is>
      </c>
      <c r="D6" s="171" t="n"/>
      <c r="E6" s="75">
        <f>DCF!E44</f>
        <v/>
      </c>
      <c r="F6" s="171" t="n"/>
      <c r="G6" s="171" t="n"/>
      <c r="H6" s="171" t="n"/>
      <c r="I6" s="171" t="n"/>
      <c r="J6" s="171" t="n"/>
    </row>
    <row r="7" ht="28" customHeight="1">
      <c r="A7" s="16" t="inlineStr">
        <is>
          <t>FY2026E diluted EPS (model base case)</t>
        </is>
      </c>
      <c r="B7" s="171" t="n"/>
      <c r="C7" s="95" t="inlineStr">
        <is>
          <t>DCF base case</t>
        </is>
      </c>
      <c r="D7" s="19" t="n"/>
      <c r="E7" s="170" t="n">
        <v>9.76</v>
      </c>
      <c r="F7" s="171" t="n"/>
      <c r="G7" s="171" t="n"/>
      <c r="H7" s="171" t="n"/>
      <c r="I7" s="171" t="n"/>
      <c r="J7" s="171" t="n"/>
    </row>
    <row r="8" ht="28" customHeight="1">
      <c r="A8" s="16" t="inlineStr">
        <is>
          <t>Cash &amp; equivalents</t>
        </is>
      </c>
      <c r="B8" s="171" t="n"/>
      <c r="C8" s="95" t="inlineStr">
        <is>
          <t>10-K</t>
        </is>
      </c>
      <c r="D8" s="19" t="n"/>
      <c r="E8" s="74" t="n">
        <v>1807202</v>
      </c>
      <c r="F8" s="171" t="n"/>
      <c r="G8" s="171" t="n"/>
      <c r="H8" s="171" t="n"/>
      <c r="I8" s="171" t="n"/>
      <c r="J8" s="171" t="n"/>
    </row>
    <row r="9" ht="28" customHeight="1">
      <c r="A9" s="16" t="inlineStr">
        <is>
          <t>Shares outstanding (000)</t>
        </is>
      </c>
      <c r="B9" s="171" t="n"/>
      <c r="C9" s="95" t="inlineStr">
        <is>
          <t>10-K</t>
        </is>
      </c>
      <c r="D9" s="19" t="n"/>
      <c r="E9" s="74" t="n">
        <v>111380</v>
      </c>
      <c r="F9" s="171" t="n"/>
      <c r="G9" s="171" t="n"/>
      <c r="H9" s="171" t="n"/>
      <c r="I9" s="171" t="n"/>
      <c r="J9" s="171" t="n"/>
    </row>
    <row r="10" ht="28" customHeight="1">
      <c r="A10" s="16" t="inlineStr">
        <is>
          <t>Current share price</t>
        </is>
      </c>
      <c r="B10" s="171" t="n"/>
      <c r="C10" s="95" t="inlineStr">
        <is>
          <t>NASDAQ</t>
        </is>
      </c>
      <c r="D10" s="19" t="n"/>
      <c r="E10" s="97" t="n">
        <v>100</v>
      </c>
      <c r="F10" s="171" t="n"/>
      <c r="G10" s="171" t="n"/>
      <c r="H10" s="171" t="n"/>
      <c r="I10" s="171" t="n"/>
      <c r="J10" s="171" t="n"/>
    </row>
    <row r="11">
      <c r="A11" s="107" t="n"/>
      <c r="B11" s="171" t="n"/>
      <c r="C11" s="171" t="n"/>
      <c r="D11" s="171" t="n"/>
      <c r="E11" s="112">
        <f>(E10*E9-E8)/E5</f>
        <v/>
      </c>
      <c r="F11" s="171" t="n"/>
      <c r="G11" s="171" t="n"/>
      <c r="H11" s="171" t="n"/>
      <c r="I11" s="171" t="n"/>
      <c r="J11" s="171" t="n"/>
    </row>
    <row r="12">
      <c r="A12" s="107" t="n"/>
      <c r="B12" s="171" t="n"/>
      <c r="C12" s="171" t="n"/>
      <c r="D12" s="171" t="n"/>
      <c r="E12" s="112">
        <f>E10/E7</f>
        <v/>
      </c>
      <c r="F12" s="171" t="n"/>
      <c r="G12" s="171" t="n"/>
      <c r="H12" s="171" t="n"/>
      <c r="I12" s="171" t="n"/>
      <c r="J12" s="171" t="n"/>
    </row>
    <row r="13">
      <c r="A13" s="171" t="n"/>
      <c r="B13" s="171" t="n"/>
      <c r="C13" s="171" t="n"/>
      <c r="D13" s="171" t="n"/>
      <c r="E13" s="171" t="n"/>
      <c r="F13" s="171" t="n"/>
      <c r="G13" s="171" t="n"/>
      <c r="H13" s="171" t="n"/>
      <c r="I13" s="171" t="n"/>
      <c r="J13" s="171" t="n"/>
    </row>
    <row r="14">
      <c r="A14" s="14" t="inlineStr">
        <is>
          <t>EXIT MULTIPLE BUILD — FY2030E TERMINAL YEAR</t>
        </is>
      </c>
      <c r="B14" s="171" t="n"/>
      <c r="C14" s="171" t="n"/>
      <c r="D14" s="171" t="n"/>
      <c r="E14" s="171" t="n"/>
      <c r="F14" s="171" t="n"/>
      <c r="G14" s="171" t="n"/>
      <c r="H14" s="171" t="n"/>
      <c r="I14" s="171" t="n"/>
      <c r="J14" s="171" t="n"/>
    </row>
    <row r="15">
      <c r="A15" s="107" t="inlineStr">
        <is>
          <t>Peer / reference EV/EBITDA (forward / illustrative)</t>
        </is>
      </c>
      <c r="B15" s="171" t="n"/>
      <c r="C15" s="171" t="n"/>
      <c r="D15" s="171" t="n"/>
      <c r="E15" s="171" t="n"/>
      <c r="F15" s="171" t="n"/>
      <c r="G15" s="171" t="n"/>
      <c r="H15" s="171" t="n"/>
      <c r="I15" s="171" t="n"/>
      <c r="J15" s="171" t="n"/>
    </row>
    <row r="16">
      <c r="A16" s="14" t="inlineStr">
        <is>
          <t>PITCHBOOK PUBCOMPS — daily EV / TTM EBITDA as of 04-Sep-2026 ($000)</t>
        </is>
      </c>
      <c r="B16" s="171" t="n"/>
      <c r="C16" s="171" t="n"/>
      <c r="D16" s="171" t="n"/>
      <c r="E16" s="171" t="n"/>
      <c r="F16" s="171" t="n"/>
      <c r="G16" s="171" t="n"/>
      <c r="H16" s="171" t="n"/>
      <c r="I16" s="171" t="n"/>
      <c r="J16" s="171" t="n"/>
    </row>
    <row r="17">
      <c r="A17" s="26" t="n"/>
      <c r="B17" s="171" t="n"/>
      <c r="C17" s="171" t="n"/>
      <c r="D17" s="171" t="n"/>
      <c r="E17" s="171" t="n"/>
      <c r="F17" s="171" t="n"/>
      <c r="G17" s="171" t="n"/>
      <c r="H17" s="171" t="n"/>
      <c r="I17" s="171" t="n"/>
      <c r="J17" s="171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F18" s="171" t="n"/>
      <c r="G18" s="171" t="n"/>
      <c r="H18" s="171" t="n"/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F19" s="171" t="n"/>
      <c r="G19" s="171" t="n"/>
      <c r="H19" s="171" t="n"/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F20" s="171" t="n"/>
      <c r="G20" s="171" t="n"/>
      <c r="H20" s="171" t="n"/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F21" s="171" t="n"/>
      <c r="G21" s="171" t="n"/>
      <c r="H21" s="171" t="n"/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F22" s="171" t="n"/>
      <c r="G22" s="171" t="n"/>
      <c r="H22" s="171" t="n"/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F23" s="171" t="n"/>
      <c r="G23" s="171" t="n"/>
      <c r="H23" s="171" t="n"/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F24" s="171" t="n"/>
      <c r="G24" s="171" t="n"/>
      <c r="H24" s="171" t="n"/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F25" s="171" t="n"/>
      <c r="G25" s="171" t="n"/>
      <c r="H25" s="171" t="n"/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F26" s="171" t="n"/>
      <c r="G26" s="171" t="n"/>
      <c r="H26" s="171" t="n"/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F27" s="171" t="n"/>
      <c r="G27" s="171" t="n"/>
      <c r="H27" s="171" t="n"/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F28" s="171" t="n"/>
      <c r="G28" s="171" t="n"/>
      <c r="H28" s="171" t="n"/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F29" s="171" t="n"/>
      <c r="G29" s="171" t="n"/>
      <c r="H29" s="171" t="n"/>
      <c r="I29" s="116" t="n">
        <v>5236269</v>
      </c>
      <c r="J29" s="116" t="n">
        <v>407521</v>
      </c>
    </row>
    <row r="30">
      <c r="A30" s="171" t="n"/>
      <c r="B30" s="171" t="n"/>
      <c r="C30" s="171" t="n"/>
      <c r="D30" s="171" t="n"/>
      <c r="E30" s="171" t="n"/>
      <c r="F30" s="171" t="n"/>
      <c r="G30" s="171" t="n"/>
      <c r="H30" s="171" t="n"/>
      <c r="I30" s="171" t="n"/>
      <c r="J30" s="171" t="n"/>
    </row>
    <row r="31">
      <c r="A31" s="14" t="n"/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</row>
    <row r="32">
      <c r="A32" s="26" t="n"/>
      <c r="B32" s="171" t="n"/>
      <c r="C32" s="171" t="n"/>
      <c r="D32" s="171" t="n"/>
      <c r="E32" s="171" t="n"/>
      <c r="F32" s="171" t="n"/>
      <c r="G32" s="171" t="n"/>
      <c r="H32" s="171" t="n"/>
      <c r="I32" s="171" t="n"/>
      <c r="J32" s="171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  <c r="F33" s="171" t="n"/>
      <c r="G33" s="171" t="n"/>
      <c r="H33" s="171" t="n"/>
      <c r="I33" s="171" t="n"/>
      <c r="J33" s="171" t="n"/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  <c r="F34" s="171" t="n"/>
      <c r="G34" s="171" t="n"/>
      <c r="H34" s="171" t="n"/>
      <c r="I34" s="171" t="n"/>
      <c r="J34" s="171" t="n"/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  <c r="F35" s="171" t="n"/>
      <c r="G35" s="171" t="n"/>
      <c r="H35" s="171" t="n"/>
      <c r="I35" s="171" t="n"/>
      <c r="J35" s="171" t="n"/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  <c r="F36" s="171" t="n"/>
      <c r="G36" s="171" t="n"/>
      <c r="H36" s="171" t="n"/>
      <c r="I36" s="171" t="n"/>
      <c r="J36" s="171" t="n"/>
    </row>
    <row r="37">
      <c r="A37" s="171" t="n"/>
      <c r="B37" s="171" t="n"/>
      <c r="C37" s="171" t="n"/>
      <c r="D37" s="171" t="n"/>
      <c r="E37" s="171" t="n"/>
      <c r="F37" s="171" t="n"/>
      <c r="G37" s="171" t="n"/>
      <c r="H37" s="171" t="n"/>
      <c r="I37" s="171" t="n"/>
      <c r="J37" s="171" t="n"/>
    </row>
    <row r="38">
      <c r="A38" s="14" t="inlineStr">
        <is>
          <t>Averages (live Excel AVERAGE — shown so TV is not a blended print)</t>
        </is>
      </c>
      <c r="B38" s="171" t="n"/>
      <c r="C38" s="171" t="n"/>
      <c r="D38" s="171" t="n"/>
      <c r="E38" s="171" t="n"/>
      <c r="F38" s="171" t="n"/>
      <c r="G38" s="171" t="n"/>
      <c r="H38" s="171" t="n"/>
      <c r="I38" s="171" t="n"/>
      <c r="J38" s="171" t="n"/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  <c r="F39" s="171" t="n"/>
      <c r="G39" s="171" t="n"/>
      <c r="H39" s="171" t="n"/>
      <c r="I39" s="171" t="n"/>
      <c r="J39" s="171" t="n"/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  <c r="F40" s="171" t="n"/>
      <c r="G40" s="171" t="n"/>
      <c r="H40" s="171" t="n"/>
      <c r="I40" s="171" t="n"/>
      <c r="J40" s="171" t="n"/>
    </row>
    <row r="41">
      <c r="A41" s="107" t="inlineStr">
        <is>
          <t>We do not average peers for terminal value, and we do not use Alo 5.0x EV/Sales as EV/EBITDA.</t>
        </is>
      </c>
      <c r="B41" s="171" t="n"/>
      <c r="C41" s="171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</row>
    <row r="43">
      <c r="A43" s="14" t="inlineStr">
        <is>
          <t>Terminal multiple selection (DCF exit method)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</row>
    <row r="44">
      <c r="A44" s="16" t="inlineStr">
        <is>
          <t>Gordon Growth implied exit EV/EBITDA</t>
        </is>
      </c>
      <c r="B44" s="171" t="n"/>
      <c r="C44" s="171" t="n"/>
      <c r="D44" s="171" t="n"/>
      <c r="E44" s="94">
        <f>DCF!E46</f>
        <v/>
      </c>
      <c r="F44" s="171" t="n"/>
      <c r="G44" s="171" t="n"/>
      <c r="H44" s="171" t="n"/>
      <c r="I44" s="171" t="n"/>
      <c r="J44" s="171" t="n"/>
    </row>
    <row r="45">
      <c r="A45" s="68" t="inlineStr">
        <is>
          <t>Selected exit multiple (base case)</t>
        </is>
      </c>
      <c r="B45" s="171" t="n"/>
      <c r="C45" s="171" t="n"/>
      <c r="D45" s="171" t="n"/>
      <c r="E45" s="104">
        <f>DCF!E82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Spread (selected − Gordon implied)</t>
        </is>
      </c>
      <c r="B46" s="171" t="n"/>
      <c r="C46" s="171" t="n"/>
      <c r="D46" s="171" t="n"/>
      <c r="E46" s="94">
        <f>E45-E44</f>
        <v/>
      </c>
      <c r="F46" s="171" t="n"/>
      <c r="G46" s="171" t="n"/>
      <c r="H46" s="171" t="n"/>
      <c r="I46" s="171" t="n"/>
      <c r="J46" s="171" t="n"/>
    </row>
    <row r="47">
      <c r="A47" s="68" t="inlineStr">
        <is>
          <t>Rationale for selected exit (Gordon identity, not a peer pick)</t>
        </is>
      </c>
      <c r="B47" s="171" t="n"/>
      <c r="C47" s="171" t="n"/>
      <c r="D47" s="171" t="n"/>
      <c r="E47" s="171" t="n"/>
      <c r="F47" s="171" t="n"/>
      <c r="G47" s="171" t="n"/>
      <c r="H47" s="171" t="n"/>
      <c r="I47" s="171" t="n"/>
      <c r="J47" s="171" t="n"/>
    </row>
    <row r="48">
      <c r="A48" s="41" t="n"/>
      <c r="B48" s="171" t="n"/>
      <c r="C48" s="171" t="n"/>
      <c r="D48" s="171" t="n"/>
      <c r="E48" s="171" t="n"/>
      <c r="F48" s="171" t="n"/>
      <c r="G48" s="171" t="n"/>
      <c r="H48" s="171" t="n"/>
      <c r="I48" s="171" t="n"/>
      <c r="J48" s="171" t="n"/>
    </row>
    <row r="49">
      <c r="A49" s="41" t="inlineStr">
        <is>
          <t>• At base WACC ~9.0% and g 2.25% that identity is ~7.4x FY30 EBITDA — not a peer average</t>
        </is>
      </c>
      <c r="B49" s="171" t="n"/>
      <c r="C49" s="171" t="n"/>
      <c r="D49" s="171" t="n"/>
      <c r="E49" s="171" t="n"/>
      <c r="F49" s="171" t="n"/>
      <c r="G49" s="171" t="n"/>
      <c r="H49" s="171" t="n"/>
      <c r="I49" s="171" t="n"/>
      <c r="J49" s="171" t="n"/>
    </row>
    <row r="50">
      <c r="A50" s="41" t="inlineStr">
        <is>
          <t>• PitchBook pubcomps (04-Sep-2026) are the current tape: each multiple is daily EV / TTM EBITDA</t>
        </is>
      </c>
      <c r="B50" s="171" t="n"/>
      <c r="C50" s="171" t="n"/>
      <c r="D50" s="171" t="n"/>
      <c r="E50" s="171" t="n"/>
      <c r="F50" s="171" t="n"/>
      <c r="G50" s="171" t="n"/>
      <c r="H50" s="171" t="n"/>
      <c r="I50" s="171" t="n"/>
      <c r="J50" s="171" t="n"/>
    </row>
    <row r="51">
      <c r="A51" s="41" t="inlineStr">
        <is>
          <t>• That tape is a check, not the exit. A 2.25% g / 15.5% OM year is not today’s NKE/WSM multiple</t>
        </is>
      </c>
      <c r="B51" s="171" t="n"/>
      <c r="C51" s="171" t="n"/>
      <c r="D51" s="171" t="n"/>
      <c r="E51" s="171" t="n"/>
      <c r="F51" s="171" t="n"/>
      <c r="G51" s="171" t="n"/>
      <c r="H51" s="171" t="n"/>
      <c r="I51" s="171" t="n"/>
      <c r="J51" s="171" t="n"/>
    </row>
    <row r="52">
      <c r="A52" s="41" t="inlineStr">
        <is>
          <t>• Alo has no EV/EBITDA print. Implied 5.0x is EV/Sales (unclosed $10bn ask / ~$2bn parent sales) — not the FY30 exit</t>
        </is>
      </c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41" t="inlineStr">
        <is>
          <t>• PitchBook LULU is ~4.7x TTM. Gordon ~7.4x is a partial recovery, not a re-rate to WSM ~15x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171" t="n"/>
      <c r="B54" s="171" t="n"/>
      <c r="C54" s="171" t="n"/>
      <c r="D54" s="171" t="n"/>
      <c r="E54" s="171" t="n"/>
      <c r="F54" s="171" t="n"/>
      <c r="G54" s="171" t="n"/>
      <c r="H54" s="171" t="n"/>
      <c r="I54" s="171" t="n"/>
      <c r="J54" s="171" t="n"/>
    </row>
    <row r="55">
      <c r="A55" s="14" t="inlineStr">
        <is>
          <t>Methodology / multiple ranges (FY2030E terminal EBITDA — football field)</t>
        </is>
      </c>
      <c r="B55" s="171" t="n"/>
      <c r="C55" s="171" t="n"/>
      <c r="D55" s="171" t="n"/>
      <c r="E55" s="171" t="n"/>
      <c r="F55" s="171" t="n"/>
      <c r="G55" s="171" t="n"/>
      <c r="H55" s="171" t="n"/>
      <c r="I55" s="171" t="n"/>
      <c r="J55" s="171" t="n"/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  <c r="I56" s="171" t="n"/>
      <c r="J56" s="171" t="n"/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  <c r="I57" s="171" t="n"/>
      <c r="J57" s="171" t="n"/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F58" s="171" t="n"/>
      <c r="G58" s="122">
        <f>(E6*E58+E8)/E9</f>
        <v/>
      </c>
      <c r="H58" s="171" t="n"/>
      <c r="I58" s="171" t="n"/>
      <c r="J58" s="171" t="n"/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  <c r="I59" s="171" t="n"/>
      <c r="J59" s="171" t="n"/>
    </row>
    <row r="60">
      <c r="A60" s="16" t="inlineStr">
        <is>
          <t>DCF (bear – bull)</t>
        </is>
      </c>
      <c r="B60" s="171" t="n"/>
      <c r="C60" s="171" t="n"/>
      <c r="D60" s="171" t="n"/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 ht="28" customHeight="1">
      <c r="A62" s="124" t="inlineStr">
        <is>
          <t>Current price</t>
        </is>
      </c>
      <c r="B62" s="171" t="n"/>
      <c r="C62" s="95" t="inlineStr">
        <is>
          <t>NASDAQ</t>
        </is>
      </c>
      <c r="D62" s="19" t="n"/>
      <c r="E62" s="125" t="n">
        <v>100</v>
      </c>
      <c r="F62" s="171" t="n"/>
      <c r="G62" s="171" t="n"/>
      <c r="H62" s="171" t="n"/>
      <c r="I62" s="171" t="n"/>
      <c r="J62" s="171" t="n"/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</AppVersion>
</Properties>
</file>

<file path=docProps/core.xml><?xml version="1.0" encoding="utf-8"?>
<cp:coreProperties xmlns:cp="http://schemas.openxmlformats.org/package/2006/metadata/core-properties">
  <dc:creator xmlns:dc="http://purl.org/dc/elements/1.1/">Christian Gardner</dc:creator>
  <dc:title xmlns:dc="http://purl.org/dc/elements/1.1/">LULU DCF Valuation Model</dc:title>
  <dcterms:created xmlns:dcterms="http://purl.org/dc/terms/" xmlns:xsi="http://www.w3.org/2001/XMLSchema-instance" xsi:type="dcterms:W3CDTF">2026-09-10T19:23:14Z</dcterms:created>
  <dcterms:modified xmlns:dcterms="http://purl.org/dc/terms/" xmlns:xsi="http://www.w3.org/2001/XMLSchema-instance" xsi:type="dcterms:W3CDTF">2026-09-10T20:04:11Z</dcterms:modified>
  <cp:lastModifiedBy>Christian Gardner</cp:lastModifiedBy>
</cp:coreProperties>
</file>
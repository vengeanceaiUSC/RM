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37" t="n"/>
      <c r="C1" s="137" t="n"/>
      <c r="D1" s="137" t="n"/>
      <c r="E1" s="137" t="n"/>
      <c r="F1" s="137" t="n"/>
      <c r="G1" s="13" t="n"/>
      <c r="H1" s="13" t="n"/>
    </row>
    <row r="2">
      <c r="A2" s="138" t="n"/>
      <c r="B2" s="165" t="inlineStr">
        <is>
          <t>Bear</t>
        </is>
      </c>
      <c r="C2" s="166" t="inlineStr">
        <is>
          <t>Base</t>
        </is>
      </c>
      <c r="D2" s="167" t="inlineStr">
        <is>
          <t>Bull</t>
        </is>
      </c>
      <c r="E2" s="138" t="n"/>
      <c r="F2" s="138" t="n"/>
      <c r="G2" s="35" t="n"/>
      <c r="H2" s="36" t="n"/>
    </row>
    <row r="3">
      <c r="A3" s="142" t="inlineStr">
        <is>
          <t>Key assumptions (5-yr forecast)</t>
        </is>
      </c>
      <c r="B3" s="138" t="n"/>
      <c r="C3" s="138" t="n"/>
      <c r="D3" s="138" t="n"/>
      <c r="E3" s="143" t="inlineStr">
        <is>
          <t>Source (click)</t>
        </is>
      </c>
      <c r="F3" s="143" t="inlineStr">
        <is>
          <t>How it moves</t>
        </is>
      </c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47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47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47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47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47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47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47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47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47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47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47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47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47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47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47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47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47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38" t="n"/>
      <c r="F21" s="147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38" t="n"/>
      <c r="F22" s="147" t="inlineStr">
        <is>
          <t>Bull spends set percent of free cash.</t>
        </is>
      </c>
      <c r="G22" s="20" t="n"/>
      <c r="H22" s="20" t="n"/>
    </row>
    <row r="23">
      <c r="A23" s="138" t="n"/>
      <c r="B23" s="138" t="n"/>
      <c r="C23" s="138" t="n"/>
      <c r="D23" s="138" t="n"/>
      <c r="E23" s="138" t="n"/>
      <c r="F23" s="138" t="n"/>
    </row>
    <row r="24">
      <c r="A24" s="142" t="inlineStr">
        <is>
          <t>5-year forecast paths (by scenario)</t>
        </is>
      </c>
      <c r="B24" s="138" t="n"/>
      <c r="C24" s="138" t="n"/>
      <c r="D24" s="138" t="n"/>
      <c r="E24" s="138" t="n"/>
      <c r="F24" s="138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38" t="n"/>
      <c r="F25" s="147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38" t="n"/>
      <c r="F26" s="138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38" t="n"/>
      <c r="F27" s="138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38" t="n"/>
      <c r="F28" s="138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38" t="n"/>
      <c r="F29" s="138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38" t="n"/>
      <c r="F30" s="147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38" t="n"/>
      <c r="F31" s="138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38" t="n"/>
      <c r="F32" s="138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38" t="n"/>
      <c r="F33" s="138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38" t="n"/>
      <c r="F34" s="138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38" t="n"/>
      <c r="F35" s="147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38" t="n"/>
      <c r="F36" s="138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38" t="n"/>
      <c r="F37" s="138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38" t="n"/>
      <c r="F38" s="138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38" t="n"/>
      <c r="F39" s="138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38" t="n"/>
      <c r="F40" s="147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38" t="n"/>
      <c r="F41" s="138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38" t="n"/>
      <c r="F42" s="138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38" t="n"/>
      <c r="F43" s="138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38" t="n"/>
      <c r="F44" s="138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38" t="n"/>
      <c r="F45" s="147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38" t="n"/>
      <c r="F46" s="138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38" t="n"/>
      <c r="F47" s="138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38" t="n"/>
      <c r="F48" s="138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38" t="n"/>
      <c r="F49" s="138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38" t="n"/>
      <c r="F50" s="147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38" t="n"/>
      <c r="F51" s="138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38" t="n"/>
      <c r="F52" s="138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38" t="n"/>
      <c r="F53" s="138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38" t="n"/>
      <c r="F54" s="138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38" t="n"/>
      <c r="F55" s="147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38" t="n"/>
      <c r="F56" s="138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38" t="n"/>
      <c r="F57" s="138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38" t="n"/>
      <c r="F58" s="138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38" t="n"/>
      <c r="F59" s="138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38" t="n"/>
      <c r="F60" s="147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38" t="n"/>
      <c r="F61" s="138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38" t="n"/>
      <c r="F62" s="138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38" t="n"/>
      <c r="F63" s="138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38" t="n"/>
      <c r="F64" s="138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38" t="n"/>
      <c r="F65" s="147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38" t="n"/>
      <c r="F66" s="138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38" t="n"/>
      <c r="F67" s="138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38" t="n"/>
      <c r="F68" s="138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38" t="n"/>
      <c r="F69" s="138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38" t="n"/>
      <c r="F70" s="147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38" t="n"/>
      <c r="F71" s="138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38" t="n"/>
      <c r="F72" s="138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38" t="n"/>
      <c r="F73" s="138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38" t="n"/>
      <c r="F74" s="138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38" t="n"/>
      <c r="F75" s="147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38" t="n"/>
      <c r="F76" s="138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38" t="n"/>
      <c r="F77" s="138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38" t="n"/>
      <c r="F78" s="138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38" t="n"/>
      <c r="F79" s="138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38" t="n"/>
      <c r="F80" s="147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38" t="n"/>
      <c r="F81" s="138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38" t="n"/>
      <c r="F82" s="138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38" t="n"/>
      <c r="F83" s="138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38" t="n"/>
      <c r="F84" s="138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38" t="n"/>
      <c r="F85" s="147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38" t="n"/>
      <c r="F86" s="138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38" t="n"/>
      <c r="F87" s="138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38" t="n"/>
      <c r="F88" s="138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38" t="n"/>
      <c r="F89" s="138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38" t="n"/>
      <c r="F90" s="147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38" t="n"/>
      <c r="F91" s="138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38" t="n"/>
      <c r="F92" s="138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38" t="n"/>
      <c r="F93" s="138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38" t="n"/>
      <c r="F94" s="138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38" t="n"/>
      <c r="F95" s="147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38" t="n"/>
      <c r="F96" s="138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38" t="n"/>
      <c r="F97" s="138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38" t="n"/>
      <c r="F98" s="138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38" t="n"/>
      <c r="F99" s="138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38" t="n"/>
      <c r="F100" s="147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38" t="n"/>
      <c r="F101" s="138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38" t="n"/>
      <c r="F102" s="138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38" t="n"/>
      <c r="F103" s="138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38" t="n"/>
      <c r="F104" s="138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38" t="n"/>
      <c r="F105" s="147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38" t="n"/>
      <c r="F106" s="138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38" t="n"/>
      <c r="F107" s="138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38" t="n"/>
      <c r="F108" s="138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38" t="n"/>
      <c r="F109" s="138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38" t="n"/>
      <c r="F110" s="147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38" t="n"/>
      <c r="F111" s="138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38" t="n"/>
      <c r="F112" s="138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38" t="n"/>
      <c r="F113" s="138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38" t="n"/>
      <c r="F114" s="138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38" t="n"/>
      <c r="F115" s="147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38" t="n"/>
      <c r="F116" s="138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38" t="n"/>
      <c r="F117" s="138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38" t="n"/>
      <c r="F118" s="138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38" t="n"/>
      <c r="F119" s="138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38" t="n"/>
      <c r="F120" s="147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38" t="n"/>
      <c r="F121" s="138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38" t="n"/>
      <c r="F122" s="138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38" t="n"/>
      <c r="F123" s="138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38" t="n"/>
      <c r="F124" s="138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38" t="n"/>
      <c r="F125" s="147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38" t="n"/>
      <c r="F126" s="138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38" t="n"/>
      <c r="F127" s="138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38" t="n"/>
      <c r="F128" s="138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38" t="n"/>
      <c r="F129" s="138" t="n"/>
      <c r="G129" s="42" t="n"/>
      <c r="H129" s="42" t="n"/>
    </row>
    <row r="130">
      <c r="A130" s="138" t="n"/>
      <c r="B130" s="138" t="n"/>
      <c r="C130" s="138" t="n"/>
      <c r="D130" s="138" t="n"/>
      <c r="E130" s="138" t="n"/>
      <c r="F130" s="138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38" t="n"/>
      <c r="F131" s="138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38" t="n"/>
      <c r="F132" s="138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38" t="n"/>
      <c r="F133" s="138" t="n"/>
      <c r="G133" s="48" t="n"/>
      <c r="H133" s="48" t="n"/>
    </row>
    <row r="134">
      <c r="A134" s="138" t="n"/>
      <c r="B134" s="138" t="n"/>
      <c r="C134" s="138" t="n"/>
      <c r="D134" s="138" t="n"/>
      <c r="E134" s="138" t="n"/>
      <c r="F134" s="138" t="n"/>
    </row>
    <row r="135">
      <c r="A135" s="163" t="inlineStr">
        <is>
          <t>Current price $100.00; cash $1,807,202 k; lease debt $1,798,441 k; funded debt $0; net cash $8,761 k.</t>
        </is>
      </c>
      <c r="B135" s="138" t="n"/>
      <c r="C135" s="138" t="n"/>
      <c r="D135" s="138" t="n"/>
      <c r="E135" s="138" t="n"/>
      <c r="F135" s="138" t="n"/>
    </row>
    <row r="136">
      <c r="A136" s="138" t="n"/>
      <c r="B136" s="138" t="n"/>
      <c r="C136" s="138" t="n"/>
      <c r="D136" s="138" t="n"/>
      <c r="E136" s="138" t="n"/>
      <c r="F136" s="138" t="n"/>
    </row>
    <row r="137">
      <c r="A137" s="142" t="inlineStr">
        <is>
          <t>Pitch deck bridge (IS / CFS / BS)</t>
        </is>
      </c>
      <c r="B137" s="138" t="n"/>
      <c r="C137" s="138" t="n"/>
      <c r="D137" s="138" t="n"/>
      <c r="E137" s="138" t="n"/>
      <c r="F137" s="138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38" t="n"/>
      <c r="F138" s="138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38" t="n"/>
      <c r="F139" s="138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38" t="n"/>
      <c r="F140" s="138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38" t="n"/>
      <c r="F141" s="138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38" t="n"/>
      <c r="F142" s="138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38" t="n"/>
      <c r="F143" s="138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38" t="n"/>
      <c r="F144" s="138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38" t="n"/>
      <c r="F145" s="138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38" t="n"/>
      <c r="F146" s="138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38" t="n"/>
      <c r="F147" s="138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38" t="n"/>
      <c r="F148" s="138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38" t="n"/>
      <c r="F149" s="138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38" t="n"/>
      <c r="F150" s="138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38" t="n"/>
      <c r="F151" s="138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38" t="n"/>
      <c r="F152" s="138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38" t="n"/>
      <c r="F153" s="138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38" t="n"/>
      <c r="F154" s="138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38" t="n"/>
      <c r="F155" s="138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38" t="n"/>
      <c r="F156" s="138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38" t="n"/>
      <c r="F157" s="138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38" t="n"/>
      <c r="F158" s="138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38" t="n"/>
      <c r="F159" s="138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38" t="n"/>
      <c r="F160" s="138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38" t="n"/>
      <c r="F161" s="138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38" t="n"/>
      <c r="F162" s="138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38" t="n"/>
      <c r="F163" s="138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38" t="n"/>
      <c r="F164" s="138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38" t="n"/>
      <c r="F165" s="138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38" t="n"/>
      <c r="F166" s="138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38" t="n"/>
      <c r="F167" s="138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38" t="n"/>
      <c r="F168" s="138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38" t="n"/>
      <c r="F169" s="138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38" t="n"/>
      <c r="F170" s="138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38" t="n"/>
      <c r="F171" s="138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38" t="n"/>
      <c r="F172" s="138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38" t="n"/>
      <c r="F173" s="138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38" t="n"/>
      <c r="F174" s="138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38" t="n"/>
      <c r="F175" s="138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38" t="n"/>
      <c r="F176" s="138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38" t="n"/>
      <c r="F177" s="138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38" t="n"/>
      <c r="F178" s="138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38" t="n"/>
      <c r="F179" s="138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38" t="n"/>
      <c r="F180" s="138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38" t="n"/>
      <c r="F181" s="138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38" t="n"/>
      <c r="F182" s="138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38" t="n"/>
      <c r="F183" s="138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38" t="n"/>
      <c r="F184" s="138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38" t="n"/>
      <c r="F185" s="138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38" t="n"/>
      <c r="F186" s="138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38" t="n"/>
      <c r="F187" s="138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38" t="n"/>
      <c r="F188" s="138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38" t="n"/>
      <c r="F189" s="138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38" t="n"/>
      <c r="F190" s="138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38" t="n"/>
      <c r="F191" s="138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38" t="n"/>
      <c r="F192" s="138" t="n"/>
      <c r="G192" s="49" t="n"/>
      <c r="H192" s="49" t="n"/>
    </row>
    <row r="193">
      <c r="A193" s="163" t="inlineStr">
        <is>
          <t>FY25 anchors (drivers — do not edit without source)</t>
        </is>
      </c>
      <c r="B193" s="138" t="n"/>
      <c r="C193" s="138" t="n"/>
      <c r="D193" s="138" t="n"/>
      <c r="E193" s="138" t="n"/>
      <c r="F193" s="138" t="n"/>
    </row>
    <row r="194">
      <c r="A194" s="138" t="inlineStr">
        <is>
          <t>FY25 total assets ($000)</t>
        </is>
      </c>
      <c r="B194" s="168" t="n">
        <v>8456743</v>
      </c>
      <c r="C194" s="138" t="n"/>
      <c r="D194" s="138" t="n"/>
      <c r="E194" s="138" t="n"/>
      <c r="F194" s="138" t="n">
        <v>8456743</v>
      </c>
    </row>
    <row r="195">
      <c r="A195" s="138" t="inlineStr">
        <is>
          <t>FY25 total liabilities ($000)</t>
        </is>
      </c>
      <c r="B195" s="168" t="n">
        <v>3494903</v>
      </c>
      <c r="C195" s="138" t="n"/>
      <c r="D195" s="138" t="n"/>
      <c r="E195" s="138" t="n"/>
      <c r="F195" s="138" t="n">
        <v>3494903</v>
      </c>
    </row>
    <row r="196">
      <c r="A196" s="138" t="inlineStr">
        <is>
          <t>FY25 total equity ($000)</t>
        </is>
      </c>
      <c r="B196" s="168" t="n">
        <v>4961840</v>
      </c>
      <c r="C196" s="138" t="n"/>
      <c r="D196" s="138" t="n"/>
      <c r="E196" s="138" t="n"/>
      <c r="F196" s="138" t="n">
        <v>4961840</v>
      </c>
    </row>
    <row r="197">
      <c r="A197" s="138" t="inlineStr">
        <is>
          <t>FY25 diluted shares (000)</t>
        </is>
      </c>
      <c r="B197" s="168" t="n">
        <v>119068</v>
      </c>
      <c r="C197" s="138" t="n"/>
      <c r="D197" s="138" t="n"/>
      <c r="E197" s="138" t="n"/>
      <c r="F197" s="138" t="n">
        <v>119068</v>
      </c>
    </row>
    <row r="198">
      <c r="A198" s="138" t="inlineStr">
        <is>
          <t>FY25 net revenue ($000)</t>
        </is>
      </c>
      <c r="B198" s="168" t="n">
        <v>11102600</v>
      </c>
      <c r="C198" s="138" t="n"/>
      <c r="D198" s="138" t="n"/>
      <c r="E198" s="138" t="n"/>
      <c r="F198" s="138" t="n">
        <v>11102600</v>
      </c>
    </row>
    <row r="199">
      <c r="A199" s="138" t="n"/>
      <c r="B199" s="138" t="n"/>
      <c r="C199" s="138" t="n"/>
      <c r="D199" s="138" t="n"/>
      <c r="E199" s="138" t="n"/>
      <c r="F199" s="138" t="n"/>
    </row>
    <row r="200">
      <c r="A200" s="138" t="n"/>
      <c r="B200" s="138" t="n"/>
      <c r="C200" s="138" t="n"/>
      <c r="D200" s="138" t="n"/>
      <c r="E200" s="138" t="n"/>
      <c r="F200" s="138" t="n"/>
    </row>
    <row r="201">
      <c r="A201" s="138" t="n"/>
      <c r="B201" s="138" t="n"/>
      <c r="C201" s="138" t="n"/>
      <c r="D201" s="138" t="n"/>
      <c r="E201" s="138" t="n"/>
      <c r="F201" s="138" t="n"/>
    </row>
    <row r="202">
      <c r="A202" s="138" t="inlineStr">
        <is>
          <t>FY25 stock-based compensation ($000)</t>
        </is>
      </c>
      <c r="B202" s="168" t="n">
        <v>62203</v>
      </c>
      <c r="C202" s="138" t="n"/>
      <c r="D202" s="138" t="n"/>
      <c r="E202" s="138" t="n"/>
      <c r="F202" s="138" t="n">
        <v>62203</v>
      </c>
    </row>
    <row r="203">
      <c r="A203" s="138" t="inlineStr">
        <is>
          <t>FY25 implied lease interest ($000)</t>
        </is>
      </c>
      <c r="B203" s="168" t="n">
        <v>1028</v>
      </c>
      <c r="C203" s="138" t="n"/>
      <c r="D203" s="138" t="n"/>
      <c r="E203" s="138" t="n"/>
      <c r="F203" s="138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  <c r="B2" s="132" t="inlineStr">
        <is>
          <t>×1,000,000 (sessions in millions → count)</t>
        </is>
      </c>
      <c r="C2" s="132" t="inlineStr">
        <is>
          <t>÷1,000 ($ → $000 on this tab)</t>
        </is>
      </c>
    </row>
    <row r="3">
      <c r="A3" t="inlineStr">
        <is>
          <t>Unit conversions (drivers)</t>
        </is>
      </c>
      <c r="B3" t="n">
        <v>1000000</v>
      </c>
      <c r="C3" t="n">
        <v>1000</v>
      </c>
      <c r="H3" s="133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69" t="inlineStr">
        <is>
          <t>How it moves</t>
        </is>
      </c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35" t="inlineStr">
        <is>
          <t>Prior-year ending count carried into this year.</t>
        </is>
      </c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3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3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35" t="inlineStr">
        <is>
          <t>Beginning plus openings minus closures each year.</t>
        </is>
      </c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35" t="inlineStr">
        <is>
          <t>Prior-year ending count carried into this year.</t>
        </is>
      </c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3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3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35" t="inlineStr">
        <is>
          <t>Beginning plus openings minus closures each year.</t>
        </is>
      </c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35" t="inlineStr">
        <is>
          <t>Prior-year ending count carried into this year.</t>
        </is>
      </c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3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3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35" t="inlineStr">
        <is>
          <t>Beginning plus openings minus closures each year.</t>
        </is>
      </c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35" t="inlineStr">
        <is>
          <t>Sum of Americas, China, and Rest of World.</t>
        </is>
      </c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3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35" t="inlineStr">
        <is>
          <t>Ending stores times average square feet per store.</t>
        </is>
      </c>
      <c r="J20" s="128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3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3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3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3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35" t="inlineStr">
        <is>
          <t>Last year's store revenue rolled forward annually.</t>
        </is>
      </c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35" t="inlineStr">
        <is>
          <t>Prior revenue grown by weighted geographic comp rates.</t>
        </is>
      </c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35" t="inlineStr">
        <is>
          <t>Net new doors times sq ft, productivity, ramp.</t>
        </is>
      </c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35" t="inlineStr">
        <is>
          <t>Comparable store sales plus new store contribution.</t>
        </is>
      </c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3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3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3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35" t="inlineStr">
        <is>
          <t>Sessions times conversion times average order value.</t>
        </is>
      </c>
      <c r="J41" s="18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3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3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3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3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3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3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3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35" t="inlineStr">
        <is>
          <t>Store channel plus e-comm plus other channels.</t>
        </is>
      </c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I56" s="135" t="inlineStr">
        <is>
          <t>Pulls Scenarios base revenue path used by DCF.</t>
        </is>
      </c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35" t="inlineStr">
        <is>
          <t>Driver-built revenue minus Scenarios base-case revenue.</t>
        </is>
      </c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35" t="inlineStr">
        <is>
          <t>Variance as percent of Scenarios consolidated revenue.</t>
        </is>
      </c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J35*(1+Scenarios!$C$10)/(Scenarios!$C$9-Scenarios!$C$10)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J35/E44*(1+Scenarios!$C$10)/(Scenarios!$C$9-Scenarios!$C$10)</f>
        <v/>
      </c>
    </row>
    <row r="48">
      <c r="A48" s="23" t="inlineStr">
        <is>
          <t>PV of terminal value</t>
        </is>
      </c>
      <c r="E48" s="70">
        <f>E45/(1+Scenarios!$C$9)^J36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E83/(1+Scenarios!$C$9)^J36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2026-09-10T18:21:56Z</dcterms:modified>
</cp:coreProperties>
</file>
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LULU_Assumptions_Memo.pdf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corporate.lululemon.com/newsroom/press-releases/2026/09-03-2026-210528733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fred.stlouisfed.org/series/GDPC1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www.nasdaq.com/market-activity/stocks/lulu" TargetMode="External" Id="rId45" /><Relationship Type="http://schemas.openxmlformats.org/officeDocument/2006/relationships/hyperlink" Target="https://fred.stlouisfed.org/series/GDPC1" TargetMode="External" Id="rId46" /><Relationship Type="http://schemas.openxmlformats.org/officeDocument/2006/relationships/hyperlink" Target="https://www.stern.nyu.edu/~adamodar/New_Home_Page/datafile/histimpl.html" TargetMode="External" Id="rId47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GLOBAL INVESTMENT SOCIETY | INVESTMENT RESEARCH DIVISION</t>
        </is>
      </c>
    </row>
    <row r="3"/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6"/>
    <row r="7">
      <c r="B7" s="4" t="inlineStr">
        <is>
          <t>Recommendation: LONG / OVERWEIGHT</t>
        </is>
      </c>
    </row>
    <row r="8"/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n"/>
    </row>
    <row r="12"/>
    <row r="13">
      <c r="B13" s="5" t="inlineStr">
        <is>
          <t>TABS</t>
        </is>
      </c>
    </row>
    <row r="14">
      <c r="B14" s="9" t="inlineStr">
        <is>
          <t>WACC • Revenue Drivers • NOPAT Bridge • Scenarios • DCF • Comps / Football Field</t>
        </is>
      </c>
    </row>
    <row r="15">
      <c r="B15" s="5" t="inlineStr">
        <is>
          <t>ASSUMPTIONS GUIDE (PDF — every tab)</t>
        </is>
      </c>
    </row>
    <row r="16"/>
    <row r="17" ht="36" customHeight="1">
      <c r="B17" s="5" t="inlineStr">
        <is>
          <t>SOURCES</t>
        </is>
      </c>
    </row>
    <row r="18"/>
    <row r="19">
      <c r="B19" s="11" t="inlineStr">
        <is>
          <t>Built from scratch for the GIS IR selection assignment.</t>
        </is>
      </c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5"/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3"/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7"/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DCF!$E$5*(1+F4)</f>
        <v/>
      </c>
      <c r="G25" s="42">
        <f>DCF!$E$5*(1+G4)</f>
        <v/>
      </c>
      <c r="H25" s="42">
        <f>DCF!$E$5*(1+H4)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>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>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>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>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DCF!$E$32-F115</f>
        <v/>
      </c>
      <c r="G120" s="42">
        <f>DCF!$E$32-G115</f>
        <v/>
      </c>
      <c r="H120" s="42">
        <f>DCF!$E$32-H115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0"/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(F131+DCF!$E$50+DCF!$E$51)/DCF!$E$55</f>
        <v/>
      </c>
      <c r="G132" s="47">
        <f>(G131+DCF!$E$50+DCF!$E$51)/DCF!$E$55</f>
        <v/>
      </c>
      <c r="H132" s="46">
        <f>(H131+DCF!$E$50+DCF!$E$51)/DCF!$E$55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-H22*H153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-H22*H154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-H22*H155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-H22*H156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-H22*H157</f>
        <v/>
      </c>
    </row>
    <row r="163">
      <c r="A163" s="41" t="inlineStr">
        <is>
          <t>Cash &amp; equivalents – year 1</t>
        </is>
      </c>
      <c r="F163" s="42">
        <f>DCF!$E$50+F153+F158</f>
        <v/>
      </c>
      <c r="G163" s="42">
        <f>DCF!$E$50+G153+G158</f>
        <v/>
      </c>
      <c r="H163" s="42">
        <f>DCF!$E$50+H153+H158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Scenarios!$B$194*F25/DCF!$E$5</f>
        <v/>
      </c>
      <c r="G168" s="42">
        <f>Scenarios!$B$194*G25/DCF!$E$5</f>
        <v/>
      </c>
      <c r="H168" s="42">
        <f>Scenarios!$B$194*H25/DCF!$E$5</f>
        <v/>
      </c>
    </row>
    <row r="169">
      <c r="A169" s="41" t="inlineStr">
        <is>
          <t>Total assets – year 2</t>
        </is>
      </c>
      <c r="F169" s="42">
        <f>Scenarios!$B$194*F26/DCF!$E$5</f>
        <v/>
      </c>
      <c r="G169" s="42">
        <f>Scenarios!$B$194*G26/DCF!$E$5</f>
        <v/>
      </c>
      <c r="H169" s="42">
        <f>Scenarios!$B$194*H26/DCF!$E$5</f>
        <v/>
      </c>
    </row>
    <row r="170">
      <c r="A170" s="41" t="inlineStr">
        <is>
          <t>Total assets – year 3</t>
        </is>
      </c>
      <c r="F170" s="42">
        <f>Scenarios!$B$194*F27/DCF!$E$5</f>
        <v/>
      </c>
      <c r="G170" s="42">
        <f>Scenarios!$B$194*G27/DCF!$E$5</f>
        <v/>
      </c>
      <c r="H170" s="42">
        <f>Scenarios!$B$194*H27/DCF!$E$5</f>
        <v/>
      </c>
    </row>
    <row r="171">
      <c r="A171" s="41" t="inlineStr">
        <is>
          <t>Total assets – year 4</t>
        </is>
      </c>
      <c r="F171" s="42">
        <f>Scenarios!$B$194*F28/DCF!$E$5</f>
        <v/>
      </c>
      <c r="G171" s="42">
        <f>Scenarios!$B$194*G28/DCF!$E$5</f>
        <v/>
      </c>
      <c r="H171" s="42">
        <f>Scenarios!$B$194*H28/DCF!$E$5</f>
        <v/>
      </c>
    </row>
    <row r="172">
      <c r="A172" s="41" t="inlineStr">
        <is>
          <t>Total assets – year 5</t>
        </is>
      </c>
      <c r="F172" s="42">
        <f>Scenarios!$B$194*F29/DCF!$E$5</f>
        <v/>
      </c>
      <c r="G172" s="42">
        <f>Scenarios!$B$194*G29/DCF!$E$5</f>
        <v/>
      </c>
      <c r="H172" s="42">
        <f>Scenarios!$B$194*H29/DCF!$E$5</f>
        <v/>
      </c>
    </row>
    <row r="173">
      <c r="A173" s="41" t="inlineStr">
        <is>
          <t>Total liabilities – year 1</t>
        </is>
      </c>
      <c r="F173" s="42">
        <f>Scenarios!$B$195*F25/DCF!$E$5</f>
        <v/>
      </c>
      <c r="G173" s="42">
        <f>Scenarios!$B$195*G25/DCF!$E$5</f>
        <v/>
      </c>
      <c r="H173" s="42">
        <f>Scenarios!$B$195*H25/DCF!$E$5</f>
        <v/>
      </c>
    </row>
    <row r="174">
      <c r="A174" s="41" t="inlineStr">
        <is>
          <t>Total liabilities – year 2</t>
        </is>
      </c>
      <c r="F174" s="42">
        <f>Scenarios!$B$195*F26/DCF!$E$5</f>
        <v/>
      </c>
      <c r="G174" s="42">
        <f>Scenarios!$B$195*G26/DCF!$E$5</f>
        <v/>
      </c>
      <c r="H174" s="42">
        <f>Scenarios!$B$195*H26/DCF!$E$5</f>
        <v/>
      </c>
    </row>
    <row r="175">
      <c r="A175" s="41" t="inlineStr">
        <is>
          <t>Total liabilities – year 3</t>
        </is>
      </c>
      <c r="F175" s="42">
        <f>Scenarios!$B$195*F27/DCF!$E$5</f>
        <v/>
      </c>
      <c r="G175" s="42">
        <f>Scenarios!$B$195*G27/DCF!$E$5</f>
        <v/>
      </c>
      <c r="H175" s="42">
        <f>Scenarios!$B$195*H27/DCF!$E$5</f>
        <v/>
      </c>
    </row>
    <row r="176">
      <c r="A176" s="41" t="inlineStr">
        <is>
          <t>Total liabilities – year 4</t>
        </is>
      </c>
      <c r="F176" s="42">
        <f>Scenarios!$B$195*F28/DCF!$E$5</f>
        <v/>
      </c>
      <c r="G176" s="42">
        <f>Scenarios!$B$195*G28/DCF!$E$5</f>
        <v/>
      </c>
      <c r="H176" s="42">
        <f>Scenarios!$B$195*H28/DCF!$E$5</f>
        <v/>
      </c>
    </row>
    <row r="177">
      <c r="A177" s="41" t="inlineStr">
        <is>
          <t>Total liabilities – year 5</t>
        </is>
      </c>
      <c r="F177" s="42">
        <f>Scenarios!$B$195*F29/DCF!$E$5</f>
        <v/>
      </c>
      <c r="G177" s="42">
        <f>Scenarios!$B$195*G29/DCF!$E$5</f>
        <v/>
      </c>
      <c r="H177" s="42">
        <f>Scenarios!$B$195*H29/DCF!$E$5</f>
        <v/>
      </c>
    </row>
    <row r="178">
      <c r="A178" s="41" t="inlineStr">
        <is>
          <t>Total equity – year 1</t>
        </is>
      </c>
      <c r="F178" s="42">
        <f>Scenarios!$B$196*F25/DCF!$E$5</f>
        <v/>
      </c>
      <c r="G178" s="42">
        <f>Scenarios!$B$196*G25/DCF!$E$5</f>
        <v/>
      </c>
      <c r="H178" s="42">
        <f>Scenarios!$B$196*H25/DCF!$E$5</f>
        <v/>
      </c>
    </row>
    <row r="179">
      <c r="A179" s="41" t="inlineStr">
        <is>
          <t>Total equity – year 2</t>
        </is>
      </c>
      <c r="F179" s="42">
        <f>Scenarios!$B$196*F26/DCF!$E$5</f>
        <v/>
      </c>
      <c r="G179" s="42">
        <f>Scenarios!$B$196*G26/DCF!$E$5</f>
        <v/>
      </c>
      <c r="H179" s="42">
        <f>Scenarios!$B$196*H26/DCF!$E$5</f>
        <v/>
      </c>
    </row>
    <row r="180">
      <c r="A180" s="41" t="inlineStr">
        <is>
          <t>Total equity – year 3</t>
        </is>
      </c>
      <c r="F180" s="42">
        <f>Scenarios!$B$196*F27/DCF!$E$5</f>
        <v/>
      </c>
      <c r="G180" s="42">
        <f>Scenarios!$B$196*G27/DCF!$E$5</f>
        <v/>
      </c>
      <c r="H180" s="42">
        <f>Scenarios!$B$196*H27/DCF!$E$5</f>
        <v/>
      </c>
    </row>
    <row r="181">
      <c r="A181" s="41" t="inlineStr">
        <is>
          <t>Total equity – year 4</t>
        </is>
      </c>
      <c r="F181" s="42">
        <f>Scenarios!$B$196*F28/DCF!$E$5</f>
        <v/>
      </c>
      <c r="G181" s="42">
        <f>Scenarios!$B$196*G28/DCF!$E$5</f>
        <v/>
      </c>
      <c r="H181" s="42">
        <f>Scenarios!$B$196*H28/DCF!$E$5</f>
        <v/>
      </c>
    </row>
    <row r="182">
      <c r="A182" s="41" t="inlineStr">
        <is>
          <t>Total equity – year 5</t>
        </is>
      </c>
      <c r="F182" s="42">
        <f>Scenarios!$B$196*F29/DCF!$E$5</f>
        <v/>
      </c>
      <c r="G182" s="42">
        <f>Scenarios!$B$196*G29/DCF!$E$5</f>
        <v/>
      </c>
      <c r="H182" s="42">
        <f>Scenarios!$B$196*H29/DCF!$E$5</f>
        <v/>
      </c>
    </row>
    <row r="183">
      <c r="A183" s="41" t="inlineStr">
        <is>
          <t>Diluted shares (000) – year 1</t>
        </is>
      </c>
      <c r="F183" s="42">
        <f>Scenarios!$B$197-F21/100</f>
        <v/>
      </c>
      <c r="G183" s="42">
        <f>Scenarios!$B$197-G21/100</f>
        <v/>
      </c>
      <c r="H183" s="42">
        <f>Scenarios!$B$197-H22*H153/100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H183-H22*H154/108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H184-H22*H155/115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H185-H22*H156/122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H186-H22*H157/130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FY25 anchors (drivers — do not edit without source)</t>
        </is>
      </c>
    </row>
    <row r="194">
      <c r="A194" t="inlineStr">
        <is>
          <t>FY25 total assets ($000)</t>
        </is>
      </c>
      <c r="B194" t="n">
        <v>8456743</v>
      </c>
    </row>
    <row r="195">
      <c r="A195" t="inlineStr">
        <is>
          <t>FY25 total liabilities ($000)</t>
        </is>
      </c>
      <c r="B195" t="n">
        <v>3494903</v>
      </c>
    </row>
    <row r="196">
      <c r="A196" t="inlineStr">
        <is>
          <t>FY25 total equity ($000)</t>
        </is>
      </c>
      <c r="B196" t="n">
        <v>4961840</v>
      </c>
    </row>
    <row r="197">
      <c r="A197" t="inlineStr">
        <is>
          <t>FY25 diluted shares (000)</t>
        </is>
      </c>
      <c r="B197" t="n">
        <v>119068</v>
      </c>
    </row>
    <row r="198"/>
    <row r="199"/>
    <row r="200"/>
    <row r="201"/>
    <row r="202">
      <c r="A202" t="inlineStr">
        <is>
          <t>FY25 stock-based compensation ($000)</t>
        </is>
      </c>
      <c r="B202" t="n">
        <v>62203</v>
      </c>
    </row>
    <row r="203">
      <c r="A203" t="inlineStr">
        <is>
          <t>FY25 implied lease interest ($000)</t>
        </is>
      </c>
      <c r="B203" t="n">
        <v>1028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n"/>
    </row>
    <row r="3">
      <c r="A3" t="inlineStr">
        <is>
          <t>Unit conversions (drivers)</t>
        </is>
      </c>
      <c r="B3" t="n">
        <v>1000000</v>
      </c>
      <c r="C3" t="n">
        <v>1000</v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56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n"/>
      <c r="J6" s="24" t="n"/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n"/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n"/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n"/>
      <c r="J9" s="24" t="n"/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n"/>
      <c r="J10" s="24" t="n"/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n"/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n"/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n"/>
      <c r="J13" s="24" t="n"/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n"/>
      <c r="J14" s="24" t="n"/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n"/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n"/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n"/>
      <c r="J17" s="24" t="n"/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n"/>
      <c r="J18" s="24" t="n"/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n"/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n"/>
      <c r="J20" s="24" t="n"/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56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n"/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n"/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n"/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n"/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n"/>
      <c r="J28" s="24" t="n"/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n"/>
      <c r="J29" s="24" t="n"/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n"/>
      <c r="J30" s="24" t="n"/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n"/>
      <c r="J31" s="24" t="n"/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56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7" t="n"/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7" t="n"/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7" t="n"/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I41" s="17" t="n"/>
      <c r="J41" s="24" t="n"/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56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7" t="n"/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7" t="n"/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7" t="n"/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7" t="n"/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7" t="n"/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7" t="n"/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7" t="n"/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56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7" t="n"/>
      <c r="J55" s="24" t="n"/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17" t="n"/>
      <c r="J56" s="18" t="inlineStr">
        <is>
          <t>Scenarios tab: base revenue</t>
        </is>
      </c>
      <c r="K56" t="inlineStr">
        <is>
          <t>'Scenarios'!G25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7" t="n"/>
      <c r="J57" s="24" t="n"/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7" t="n"/>
      <c r="J58" s="24" t="n"/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45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bridge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n"/>
      <c r="C2" s="51" t="inlineStr">
        <is>
          <t>Source (click)</t>
        </is>
      </c>
      <c r="D2" s="51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NOPAT bridge</t>
        </is>
      </c>
    </row>
    <row r="4">
      <c r="A4" s="26" t="n"/>
    </row>
    <row r="5"/>
    <row r="6">
      <c r="A6" s="52" t="inlineStr">
        <is>
          <t>Driver assumptions</t>
        </is>
      </c>
    </row>
    <row r="7" ht="42" customHeight="1">
      <c r="A7" s="16" t="inlineStr">
        <is>
          <t>SBC add-back (0)</t>
        </is>
      </c>
      <c r="B7" s="17" t="n"/>
      <c r="C7" s="18" t="inlineStr">
        <is>
          <t>LULU CF statement (10-K): stock-based compensation</t>
        </is>
      </c>
      <c r="D7" s="19" t="n"/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n"/>
    </row>
    <row r="9" ht="70" customHeight="1">
      <c r="A9" s="16" t="inlineStr">
        <is>
          <t>Store-channel EBIT margin %</t>
        </is>
      </c>
      <c r="B9" s="17" t="n"/>
      <c r="C9" s="18" t="inlineStr">
        <is>
          <t>FY2025 10-K: company-operated stores net revenue</t>
        </is>
      </c>
      <c r="D9" s="19" t="n"/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E-commerce EBIT margin %</t>
        </is>
      </c>
      <c r="B10" s="17" t="n"/>
      <c r="C10" s="18" t="inlineStr">
        <is>
          <t>FY2025 10-K: e-commerce net revenue</t>
        </is>
      </c>
      <c r="D10" s="19" t="n"/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Other-channels EBIT margin %</t>
        </is>
      </c>
      <c r="B11" s="17" t="n"/>
      <c r="C11" s="18" t="inlineStr">
        <is>
          <t>FY2025 10-K: other channels (residual)</t>
        </is>
      </c>
      <c r="D11" s="19" t="n"/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Terminal marginal tax rate</t>
        </is>
      </c>
      <c r="B12" s="17" t="n"/>
      <c r="C12" s="18" t="inlineStr">
        <is>
          <t>Q2 FY2026 outlook: tax rate ≈ 30%</t>
        </is>
      </c>
      <c r="D12" s="19" t="n"/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R&amp;D amortization period (years)</t>
        </is>
      </c>
      <c r="B13" s="17" t="n"/>
      <c r="C13" s="24" t="inlineStr">
        <is>
          <t>NOPAT Bridge: capitalization convention</t>
        </is>
      </c>
      <c r="D13" s="19" t="n"/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4"/>
    <row r="15" hidden="1" outlineLevel="1">
      <c r="A15" s="73" t="inlineStr">
        <is>
          <t>Reported EBIT adjustments</t>
        </is>
      </c>
    </row>
    <row r="16" hidden="1" outlineLevel="1" ht="28" customHeight="1">
      <c r="A16" s="16" t="inlineStr">
        <is>
          <t>Reported operating income (EBIT)</t>
        </is>
      </c>
      <c r="B16" s="17" t="n"/>
      <c r="C16" s="18" t="inlineStr">
        <is>
          <t>LULU FY2025 10-K: Income from operations</t>
        </is>
      </c>
      <c r="D16" s="19" t="n"/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n"/>
      <c r="C17" s="18" t="inlineStr">
        <is>
          <t>LULU FY2025 10-K: amortization of intangible assets</t>
        </is>
      </c>
      <c r="D17" s="19" t="n"/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n"/>
      <c r="C18" s="18" t="inlineStr">
        <is>
          <t>LULU FY2025 10-K: restructuring charges</t>
        </is>
      </c>
      <c r="D18" s="19" t="n"/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n"/>
      <c r="C19" s="18" t="inlineStr">
        <is>
          <t>LULU FY2025 10-K: SG&amp;A one-offs</t>
        </is>
      </c>
      <c r="D19" s="19" t="n"/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n"/>
      <c r="C20" s="18" t="inlineStr">
        <is>
          <t>LULU CF statement (10-K): stock-based compensation</t>
        </is>
      </c>
      <c r="D20" s="19" t="n"/>
      <c r="E20" s="75">
        <f>Scenarios!$B$202*$E$7</f>
        <v/>
      </c>
      <c r="F20" s="75">
        <f>Scenarios!G25/DCF!$E$5*Scenarios!$B$202*$E$7</f>
        <v/>
      </c>
      <c r="G20" s="75">
        <f>Scenarios!G26/DCF!$E$5*Scenarios!$B$202*$E$7</f>
        <v/>
      </c>
      <c r="H20" s="75">
        <f>Scenarios!G27/DCF!$E$5*Scenarios!$B$202*$E$7</f>
        <v/>
      </c>
      <c r="I20" s="75">
        <f>Scenarios!G28/DCF!$E$5*Scenarios!$B$202*$E$7</f>
        <v/>
      </c>
      <c r="J20" s="75">
        <f>Scenarios!G29/DCF!$E$5*Scenarios!$B$202*$E$7</f>
        <v/>
      </c>
    </row>
    <row r="21" hidden="1" outlineLevel="1" ht="28" customHeight="1">
      <c r="A21" s="23">
        <f> Adjusted EBIT (Phase 1)</f>
        <v/>
      </c>
      <c r="B21" s="17" t="n"/>
      <c r="C21" s="24" t="inlineStr">
        <is>
          <t>Subtotal</t>
        </is>
      </c>
      <c r="D21" s="19" t="n"/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Lease &amp; R&amp;D adjustments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n"/>
      <c r="C23" s="18" t="inlineStr">
        <is>
          <t>LULU FY2025 10-K: interest on lease liabilities (supplemental)</t>
        </is>
      </c>
      <c r="D23" s="19" t="n"/>
      <c r="E23" s="74" t="n">
        <v>1028</v>
      </c>
      <c r="F23" s="75">
        <f>Scenarios!$B$203*(Scenarios!G25/DCF!$E$5)</f>
        <v/>
      </c>
      <c r="G23" s="75">
        <f>Scenarios!$B$203*(Scenarios!G26/DCF!$E$5)</f>
        <v/>
      </c>
      <c r="H23" s="75">
        <f>Scenarios!$B$203*(Scenarios!G27/DCF!$E$5)</f>
        <v/>
      </c>
      <c r="I23" s="75">
        <f>Scenarios!$B$203*(Scenarios!G28/DCF!$E$5)</f>
        <v/>
      </c>
      <c r="J23" s="75">
        <f>Scenarios!$B$203*(Scenarios!G29/DCF!$E$5)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n"/>
      <c r="C24" s="18" t="inlineStr">
        <is>
          <t>LULU FY2025 10-K: R&amp;D / software expense</t>
        </is>
      </c>
      <c r="D24" s="19" t="n"/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n"/>
      <c r="C25" s="18" t="inlineStr">
        <is>
          <t>LULU FY2025 10-K: intangible amortization</t>
        </is>
      </c>
      <c r="D25" s="19" t="n"/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>
        <f> EBIT after lease &amp; capitalization (Phase 2)</f>
        <v/>
      </c>
      <c r="B26" s="17" t="n"/>
      <c r="C26" s="24" t="inlineStr">
        <is>
          <t>Subtotal</t>
        </is>
      </c>
      <c r="D26" s="19" t="n"/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Channel EBIT mix</t>
        </is>
      </c>
    </row>
    <row r="28" hidden="1" outlineLevel="1" ht="28" customHeight="1">
      <c r="A28" s="16" t="inlineStr">
        <is>
          <t>Store-channel revenue</t>
        </is>
      </c>
      <c r="B28" s="17" t="n"/>
      <c r="C28" s="18" t="inlineStr">
        <is>
          <t>Revenue Drivers tab: store-channel revenue</t>
        </is>
      </c>
      <c r="D28" s="19" t="n"/>
      <c r="E28" s="74" t="n">
        <v>5049744</v>
      </c>
      <c r="F28" s="75">
        <f>'Revenue Drivers'!C31</f>
        <v/>
      </c>
      <c r="G28" s="75">
        <f>'Revenue Drivers'!D31</f>
        <v/>
      </c>
      <c r="H28" s="75">
        <f>'Revenue Drivers'!E31</f>
        <v/>
      </c>
      <c r="I28" s="75">
        <f>'Revenue Drivers'!F31</f>
        <v/>
      </c>
      <c r="J28" s="75">
        <f>'Revenue Drivers'!G31</f>
        <v/>
      </c>
    </row>
    <row r="29" hidden="1" outlineLevel="1" ht="28" customHeight="1">
      <c r="A29" s="16" t="inlineStr">
        <is>
          <t>E-commerce revenue</t>
        </is>
      </c>
      <c r="B29" s="17" t="n"/>
      <c r="C29" s="18" t="inlineStr">
        <is>
          <t>Revenue Drivers tab: e-commerce revenue</t>
        </is>
      </c>
      <c r="D29" s="19" t="n"/>
      <c r="E29" s="74" t="n">
        <v>4918697</v>
      </c>
      <c r="F29" s="75">
        <f>'Revenue Drivers'!C41</f>
        <v/>
      </c>
      <c r="G29" s="75">
        <f>'Revenue Drivers'!D41</f>
        <v/>
      </c>
      <c r="H29" s="75">
        <f>'Revenue Drivers'!E41</f>
        <v/>
      </c>
      <c r="I29" s="75">
        <f>'Revenue Drivers'!F41</f>
        <v/>
      </c>
      <c r="J29" s="75">
        <f>'Revenue Drivers'!G41</f>
        <v/>
      </c>
    </row>
    <row r="30" hidden="1" outlineLevel="1" ht="28" customHeight="1">
      <c r="A30" s="16" t="inlineStr">
        <is>
          <t>Other channels revenue</t>
        </is>
      </c>
      <c r="B30" s="17" t="n"/>
      <c r="C30" s="18" t="inlineStr">
        <is>
          <t>Revenue Drivers tab: other channels revenue</t>
        </is>
      </c>
      <c r="D30" s="19" t="n"/>
      <c r="E30" s="74" t="n">
        <v>1134159</v>
      </c>
      <c r="F30" s="75">
        <f>'Revenue Drivers'!C45</f>
        <v/>
      </c>
      <c r="G30" s="75">
        <f>'Revenue Drivers'!D45</f>
        <v/>
      </c>
      <c r="H30" s="75">
        <f>'Revenue Drivers'!E45</f>
        <v/>
      </c>
      <c r="I30" s="75">
        <f>'Revenue Drivers'!F45</f>
        <v/>
      </c>
      <c r="J30" s="75">
        <f>'Revenue Drivers'!G45</f>
        <v/>
      </c>
    </row>
    <row r="31" hidden="1" outlineLevel="1" ht="70" customHeight="1">
      <c r="A31" s="16" t="inlineStr">
        <is>
          <t>Store-channel EBIT (= Rev × store margin)</t>
        </is>
      </c>
      <c r="B31" s="17" t="n"/>
      <c r="C31" s="18" t="inlineStr">
        <is>
          <t>FY2025 10-K: company-operated stores net revenue</t>
        </is>
      </c>
      <c r="D31" s="19" t="n"/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>E-commerce EBIT (= Rev × e-comm margin)</t>
        </is>
      </c>
      <c r="B32" s="17" t="n"/>
      <c r="C32" s="18" t="inlineStr">
        <is>
          <t>FY2025 10-K: e-commerce net revenue</t>
        </is>
      </c>
      <c r="D32" s="19" t="n"/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>Other-channels EBIT (= Rev × other margin)</t>
        </is>
      </c>
      <c r="B33" s="17" t="n"/>
      <c r="C33" s="18" t="inlineStr">
        <is>
          <t>FY2025 10-K: other channels (residual)</t>
        </is>
      </c>
      <c r="D33" s="19" t="n"/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>Channel EBIT (sum of sector EBIT)</t>
        </is>
      </c>
      <c r="B34" s="17" t="n"/>
      <c r="C34" s="24" t="inlineStr">
        <is>
          <t>NOPAT Bridge tab: sector EBIT subtotal</t>
        </is>
      </c>
      <c r="D34" s="19" t="n"/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>
        <f> EBIT after channel mix (Phase 3)</f>
        <v/>
      </c>
      <c r="B35" s="17" t="n"/>
      <c r="C35" s="24" t="inlineStr">
        <is>
          <t>Subtotal</t>
        </is>
      </c>
      <c r="D35" s="19" t="n"/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>
        <f> Normalized EBIT (tax base for NOPAT)</f>
        <v/>
      </c>
      <c r="B36" s="17" t="n"/>
      <c r="C36" s="24" t="inlineStr">
        <is>
          <t>Scenarios tab: base-case EBIT (forecast)</t>
        </is>
      </c>
      <c r="D36" s="19" t="n"/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>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Tax normalization</t>
        </is>
      </c>
    </row>
    <row r="39" hidden="1" outlineLevel="1" ht="70" customHeight="1">
      <c r="A39" s="16" t="inlineStr">
        <is>
          <t>Operating effective tax rate (t_operating)</t>
        </is>
      </c>
      <c r="B39" s="17" t="n"/>
      <c r="C39" s="18" t="inlineStr">
        <is>
          <t>LULU FY2025 10-K: income tax &amp; interest expense</t>
        </is>
      </c>
      <c r="D39" s="19" t="n"/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n"/>
      <c r="C40" s="24" t="inlineStr">
        <is>
          <t>NOPAT Bridge tab: unlevered tax expense</t>
        </is>
      </c>
      <c r="D40" s="19" t="n"/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hidden="1" outlineLevel="1" ht="28" customHeight="1">
      <c r="A41" s="23" t="inlineStr">
        <is>
          <t>NORMALIZED NOPAT</t>
        </is>
      </c>
      <c r="B41" s="17" t="n"/>
      <c r="C41" s="24" t="inlineStr">
        <is>
          <t>NOPAT Bridge tab: normalized NOPAT</t>
        </is>
      </c>
      <c r="D41" s="19" t="n"/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2"/>
    <row r="43">
      <c r="A43" s="61" t="inlineStr">
        <is>
          <t>6. Tariff refund (Scenarios)</t>
        </is>
      </c>
      <c r="B43" s="79" t="n"/>
      <c r="C43" s="79" t="inlineStr">
        <is>
          <t>EBIT = Rev × 13.2% only (no refund).</t>
        </is>
      </c>
      <c r="D43" s="79" t="n"/>
      <c r="F43" s="80" t="inlineStr">
        <is>
          <t>Scenarios EBIT (FY26)</t>
        </is>
      </c>
    </row>
    <row r="44">
      <c r="A44" s="26" t="inlineStr">
        <is>
          <t>Steps 1–4: DCF unchanged on FY26. Step 5 changes NOPAT only (tax). Step 6 changes FY26 EBIT (+ tariff).</t>
        </is>
      </c>
    </row>
    <row r="45">
      <c r="A45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36" customHeight="1">
      <c r="A4" s="38" t="inlineStr">
        <is>
          <t>LULU_Assumptions_Memo.pdf</t>
        </is>
      </c>
      <c r="C4" s="85" t="inlineStr">
        <is>
          <t>NOPAT Bridge tab</t>
        </is>
      </c>
      <c r="D4" s="85" t="inlineStr">
        <is>
          <t>'Revenue Drivers'!A1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</row>
    <row r="19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39"/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0"/>
    <row r="61"/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4"/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7"/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1"/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6"/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79"/>
    <row r="80">
      <c r="A80" s="93" t="n"/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7"/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5"/>
    <row r="96"/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(NPV($A99,$F$35:$J$35)+($J$35*(1+F$98)/($A99-F$98))/(1+$A99)^$E$36+$E$50+$E$51)/$E$55</f>
        <v/>
      </c>
      <c r="G99" s="110">
        <f>(NPV($A99,$F$35:$J$35)+($J$35*(1+G$98)/($A99-G$98))/(1+$A99)^$E$36+$E$50+$E$51)/$E$55</f>
        <v/>
      </c>
      <c r="H99" s="110">
        <f>(NPV($A99,$F$35:$J$35)+($J$35*(1+H$98)/($A99-H$98))/(1+$A99)^$E$36+$E$50+$E$51)/$E$55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(NPV($A100,$F$35:$J$35)+($J$35*(1+F$98)/($A100-F$98))/(1+$A100)^$E$36+$E$50+$E$51)/$E$55</f>
        <v/>
      </c>
      <c r="G100" s="110">
        <f>(NPV($A100,$F$35:$J$35)+($J$35*(1+G$98)/($A100-G$98))/(1+$A100)^$E$36+$E$50+$E$51)/$E$55</f>
        <v/>
      </c>
      <c r="H100" s="110">
        <f>(NPV($A100,$F$35:$J$35)+($J$35*(1+H$98)/($A100-H$98))/(1+$A100)^$E$36+$E$50+$E$51)/$E$55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(NPV($A101,$F$35:$J$35)+($J$35*(1+F$98)/($A101-F$98))/(1+$A101)^$E$36+$E$50+$E$51)/$E$55</f>
        <v/>
      </c>
      <c r="G101" s="110">
        <f>(NPV($A101,$F$35:$J$35)+($J$35*(1+G$98)/($A101-G$98))/(1+$A101)^$E$36+$E$50+$E$51)/$E$55</f>
        <v/>
      </c>
      <c r="H101" s="111">
        <f>(NPV($A101,$F$35:$J$35)+($J$35*(1+H$98)/($A101-H$98))/(1+$A101)^$E$36+$E$50+$E$51)/$E$55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(NPV($A102,$F$35:$J$35)+($J$35*(1+F$98)/($A102-F$98))/(1+$A102)^$E$36+$E$50+$E$51)/$E$55</f>
        <v/>
      </c>
      <c r="G102" s="110">
        <f>(NPV($A102,$F$35:$J$35)+($J$35*(1+G$98)/($A102-G$98))/(1+$A102)^$E$36+$E$50+$E$51)/$E$55</f>
        <v/>
      </c>
      <c r="H102" s="110">
        <f>(NPV($A102,$F$35:$J$35)+($J$35*(1+H$98)/($A102-H$98))/(1+$A102)^$E$36+$E$50+$E$51)/$E$55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(NPV($A103,$F$35:$J$35)+($J$35*(1+F$98)/($A103-F$98))/(1+$A103)^$E$36+$E$50+$E$51)/$E$55</f>
        <v/>
      </c>
      <c r="G103" s="110">
        <f>(NPV($A103,$F$35:$J$35)+($J$35*(1+G$98)/($A103-G$98))/(1+$A103)^$E$36+$E$50+$E$51)/$E$55</f>
        <v/>
      </c>
      <c r="H103" s="110">
        <f>(NPV($A103,$F$35:$J$35)+($J$35*(1+H$98)/($A103-H$98))/(1+$A103)^$E$36+$E$50+$E$51)/$E$55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xmlns:r="http://schemas.openxmlformats.org/officeDocument/2006/relationships" ref="C98" r:id="rId46"/>
    <hyperlink xmlns:r="http://schemas.openxmlformats.org/officeDocument/2006/relationships" ref="C99" r:id="rId47"/>
    <hyperlink ref="C104" location="'Scenarios'!G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DCF!$E$11+DCF!$E$16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3"/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0"/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7"/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n"/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4"/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1"/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2026-09-10T16:07:34Z</dcterms:modified>
</cp:coreProperties>
</file>
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ACC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Revenue Drivers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#,##0;(#,##0)"/>
    <numFmt numFmtId="167" formatCode="#,##0.0"/>
    <numFmt numFmtId="168" formatCode="0.000"/>
    <numFmt numFmtId="169" formatCode="0.0x"/>
    <numFmt numFmtId="170" formatCode="0.0"/>
  </numFmts>
  <fonts count="61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b val="1"/>
      <color rgb="00006100"/>
      <sz val="14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00"/>
      <sz val="10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C8102E"/>
      <sz val="9"/>
    </font>
    <font>
      <name val="Garamond"/>
      <b val="1"/>
      <color rgb="00C8102E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1F2A44"/>
      <sz val="10"/>
    </font>
    <font>
      <name val="Garamond"/>
      <b val="1"/>
      <color rgb="00000000"/>
      <sz val="10"/>
    </font>
    <font>
      <name val="Garamond"/>
      <b val="1"/>
      <color rgb="00006100"/>
      <sz val="12"/>
    </font>
    <font>
      <name val="Garamond"/>
      <b val="1"/>
      <color rgb="00FFFFFF"/>
      <sz val="11"/>
    </font>
    <font>
      <name val="Garamond"/>
      <color rgb="00000000"/>
      <sz val="9"/>
    </font>
    <font>
      <name val="Garamond"/>
      <b val="1"/>
      <color rgb="001F2A44"/>
      <sz val="11"/>
    </font>
    <font>
      <name val="Garamond"/>
      <b val="1"/>
      <color rgb="00000000"/>
      <sz val="12"/>
    </font>
    <font>
      <name val="Garamond"/>
      <b val="1"/>
      <color rgb="00FFFFFF"/>
      <sz val="9"/>
    </font>
    <font>
      <name val="Garamond"/>
      <color rgb="000000CC"/>
      <sz val="9"/>
    </font>
    <font>
      <name val="Garamond"/>
      <color rgb="00C00000"/>
      <sz val="9"/>
    </font>
    <font>
      <name val="Garamond"/>
      <b val="1"/>
      <color rgb="00000000"/>
      <sz val="9"/>
    </font>
    <font>
      <name val="Garamond"/>
      <b val="1"/>
      <color rgb="000000CC"/>
      <sz val="9"/>
    </font>
    <font>
      <name val="Garamond"/>
      <b val="1"/>
      <color rgb="000000CC"/>
      <sz val="9"/>
      <u val="single"/>
    </font>
    <font>
      <name val="Garamond"/>
      <color rgb="000000CC"/>
      <sz val="9"/>
      <u val="single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FFFFFF"/>
      <sz val="10"/>
    </font>
    <font>
      <name val="Garamond"/>
      <b val="1"/>
      <color rgb="001F2A44"/>
      <sz val="9"/>
    </font>
    <font>
      <name val="Garamond"/>
      <b val="1"/>
      <color rgb="00C8102E"/>
      <sz val="8"/>
    </font>
    <font>
      <name val="Garamond"/>
      <color rgb="00000000"/>
      <sz val="8"/>
    </font>
    <font>
      <name val="Garamond"/>
      <color rgb="00C8102E"/>
      <sz val="8"/>
    </font>
    <font>
      <name val="Garamond"/>
      <i val="1"/>
      <color rgb="000000CC"/>
      <sz val="8"/>
    </font>
    <font>
      <name val="Garamond"/>
      <i val="1"/>
      <color rgb="000000CC"/>
      <sz val="8"/>
      <u val="single"/>
    </font>
    <font>
      <name val="Garamond"/>
      <i val="1"/>
      <color rgb="00F2F2F2"/>
      <sz val="9"/>
    </font>
    <font>
      <name val="Garamond"/>
      <i val="1"/>
      <color rgb="00F2F2F2"/>
      <sz val="7"/>
    </font>
    <font>
      <name val="Garamond"/>
      <b val="1"/>
      <color rgb="00000000"/>
      <sz val="8"/>
    </font>
    <font>
      <name val="Garamond"/>
      <b val="1"/>
      <color rgb="00006100"/>
      <sz val="9"/>
    </font>
    <font>
      <name val="Garamond"/>
      <b val="1"/>
      <color rgb="00006100"/>
      <sz val="13"/>
    </font>
    <font>
      <name val="Garamond"/>
      <b val="1"/>
      <color rgb="00006100"/>
      <sz val="11"/>
    </font>
    <font>
      <name val="Garamond"/>
      <b val="1"/>
      <color rgb="00C00000"/>
      <sz val="9"/>
    </font>
    <font>
      <name val="Garamond"/>
      <color rgb="00006100"/>
      <sz val="9"/>
    </font>
    <font>
      <name val="Garamond"/>
      <i val="1"/>
      <color rgb="00000000"/>
      <sz val="10"/>
    </font>
    <font>
      <name val="Garamond"/>
      <b val="1"/>
      <color rgb="000000CC"/>
      <sz val="11"/>
      <u val="single"/>
    </font>
    <font>
      <name val="Arial"/>
      <i val="1"/>
      <sz val="8"/>
    </font>
    <font>
      <i val="1"/>
      <color rgb="000563C1"/>
      <sz val="9"/>
      <u val="single"/>
    </font>
    <font>
      <b val="1"/>
      <sz val="10"/>
    </font>
    <font>
      <i val="1"/>
      <sz val="9"/>
    </font>
    <font>
      <i val="1"/>
      <sz val="8"/>
    </font>
    <font>
      <b val="1"/>
      <sz val="9"/>
    </font>
    <font>
      <i val="1"/>
      <color rgb="00404040"/>
      <sz val="9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C8102E"/>
      </patternFill>
    </fill>
    <fill>
      <patternFill patternType="solid">
        <fgColor rgb="00006100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1F3864"/>
      </patternFill>
    </fill>
  </fills>
  <borders count="4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  <border/>
  </borders>
  <cellStyleXfs count="1">
    <xf numFmtId="0" fontId="0" fillId="0" borderId="0"/>
  </cellStyleXfs>
  <cellXfs count="17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0" pivotButton="0" quotePrefix="0" xfId="0"/>
    <xf numFmtId="0" fontId="0" fillId="2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164" fontId="16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2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22" fillId="3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top" wrapText="1"/>
    </xf>
    <xf numFmtId="2" fontId="16" fillId="0" borderId="0" applyAlignment="1" pivotButton="0" quotePrefix="0" xfId="0">
      <alignment horizontal="right" vertical="center"/>
    </xf>
    <xf numFmtId="1" fontId="1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4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165" fontId="26" fillId="3" borderId="2" applyAlignment="1" pivotButton="0" quotePrefix="0" xfId="0">
      <alignment horizontal="right" vertical="center"/>
    </xf>
    <xf numFmtId="165" fontId="22" fillId="3" borderId="2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 wrapText="1"/>
    </xf>
    <xf numFmtId="0" fontId="27" fillId="2" borderId="0" pivotButton="0" quotePrefix="0" xfId="0"/>
    <xf numFmtId="166" fontId="2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top" wrapText="1"/>
    </xf>
    <xf numFmtId="166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indent="1"/>
    </xf>
    <xf numFmtId="166" fontId="30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4" fontId="29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7" fontId="29" fillId="0" borderId="0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166" fontId="35" fillId="0" borderId="0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indent="1"/>
    </xf>
    <xf numFmtId="166" fontId="11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35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2" fontId="11" fillId="0" borderId="0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36" fillId="2" borderId="0" pivotButton="0" quotePrefix="0" xfId="0"/>
    <xf numFmtId="169" fontId="9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5" fontId="47" fillId="3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4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34" fillId="0" borderId="1" applyAlignment="1" pivotButton="0" quotePrefix="0" xfId="0">
      <alignment horizontal="right" vertical="center"/>
    </xf>
    <xf numFmtId="165" fontId="21" fillId="0" borderId="1" applyAlignment="1" pivotButton="0" quotePrefix="0" xfId="0">
      <alignment horizontal="right" vertical="center"/>
    </xf>
    <xf numFmtId="165" fontId="48" fillId="0" borderId="0" applyAlignment="1" pivotButton="0" quotePrefix="0" xfId="0">
      <alignment horizontal="right" vertical="center"/>
    </xf>
    <xf numFmtId="0" fontId="24" fillId="0" borderId="0" pivotButton="0" quotePrefix="0" xfId="0"/>
    <xf numFmtId="169" fontId="2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center" vertical="center" wrapText="1"/>
    </xf>
    <xf numFmtId="164" fontId="49" fillId="6" borderId="0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center" indent="1"/>
    </xf>
    <xf numFmtId="0" fontId="36" fillId="2" borderId="0" applyAlignment="1" pivotButton="0" quotePrefix="0" xfId="0">
      <alignment horizontal="center" vertical="center" wrapText="1"/>
    </xf>
    <xf numFmtId="169" fontId="9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169" fontId="21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52" fillId="0" borderId="0" applyAlignment="1" pivotButton="0" quotePrefix="0" xfId="0">
      <alignment horizontal="right" vertical="center"/>
    </xf>
    <xf numFmtId="0" fontId="53" fillId="0" borderId="0" applyAlignment="1" pivotButton="0" quotePrefix="0" xfId="0">
      <alignment horizontal="left" vertical="top" wrapText="1"/>
    </xf>
    <xf numFmtId="0" fontId="55" fillId="2" borderId="0" pivotButton="0" quotePrefix="0" xfId="0"/>
    <xf numFmtId="0" fontId="54" fillId="0" borderId="0" applyAlignment="1" pivotButton="0" quotePrefix="0" xfId="0">
      <alignment horizontal="left" vertical="center"/>
    </xf>
    <xf numFmtId="0" fontId="54" fillId="2" borderId="0" pivotButton="0" quotePrefix="0" xfId="0"/>
    <xf numFmtId="170" fontId="16" fillId="0" borderId="0" applyAlignment="1" pivotButton="0" quotePrefix="0" xfId="0">
      <alignment horizontal="right" vertical="center"/>
    </xf>
    <xf numFmtId="170" fontId="11" fillId="0" borderId="0" applyAlignment="1" pivotButton="0" quotePrefix="0" xfId="0">
      <alignment horizontal="right" vertical="center"/>
    </xf>
    <xf numFmtId="0" fontId="56" fillId="0" borderId="0" pivotButton="0" quotePrefix="0" xfId="0"/>
    <xf numFmtId="0" fontId="57" fillId="0" borderId="0" pivotButton="0" quotePrefix="0" xfId="0"/>
    <xf numFmtId="0" fontId="58" fillId="0" borderId="0" applyAlignment="1" pivotButton="0" quotePrefix="0" xfId="0">
      <alignment horizontal="left" wrapText="1"/>
    </xf>
    <xf numFmtId="0" fontId="59" fillId="0" borderId="0" applyAlignment="1" pivotButton="0" quotePrefix="0" xfId="0">
      <alignment horizontal="left" vertical="top" wrapText="1"/>
    </xf>
    <xf numFmtId="0" fontId="13" fillId="2" borderId="3" pivotButton="0" quotePrefix="0" xfId="0"/>
    <xf numFmtId="0" fontId="0" fillId="2" borderId="3" pivotButton="0" quotePrefix="0" xfId="0"/>
    <xf numFmtId="0" fontId="0" fillId="0" borderId="3" pivotButton="0" quotePrefix="0" xfId="0"/>
    <xf numFmtId="0" fontId="23" fillId="4" borderId="3" applyAlignment="1" pivotButton="0" quotePrefix="0" xfId="0">
      <alignment horizontal="center" vertical="center" wrapText="1"/>
    </xf>
    <xf numFmtId="0" fontId="23" fillId="5" borderId="3" applyAlignment="1" pivotButton="0" quotePrefix="0" xfId="0">
      <alignment horizontal="center" vertical="center" wrapText="1"/>
    </xf>
    <xf numFmtId="0" fontId="23" fillId="2" borderId="3" applyAlignment="1" pivotButton="0" quotePrefix="0" xfId="0">
      <alignment horizontal="center" vertical="center" wrapText="1"/>
    </xf>
    <xf numFmtId="0" fontId="15" fillId="0" borderId="3" pivotButton="0" quotePrefix="0" xfId="0"/>
    <xf numFmtId="0" fontId="58" fillId="0" borderId="3" applyAlignment="1" pivotButton="0" quotePrefix="0" xfId="0">
      <alignment horizontal="left" wrapText="1"/>
    </xf>
    <xf numFmtId="0" fontId="9" fillId="0" borderId="3" applyAlignment="1" pivotButton="0" quotePrefix="0" xfId="0">
      <alignment horizontal="left" vertical="center" indent="1"/>
    </xf>
    <xf numFmtId="164" fontId="16" fillId="0" borderId="3" applyAlignment="1" pivotButton="0" quotePrefix="0" xfId="0">
      <alignment horizontal="right" vertical="center"/>
    </xf>
    <xf numFmtId="0" fontId="19" fillId="0" borderId="3" applyAlignment="1" pivotButton="0" quotePrefix="0" xfId="0">
      <alignment horizontal="left" vertical="center"/>
    </xf>
    <xf numFmtId="0" fontId="59" fillId="0" borderId="3" applyAlignment="1" pivotButton="0" quotePrefix="0" xfId="0">
      <alignment horizontal="left" vertical="top" wrapText="1"/>
    </xf>
    <xf numFmtId="166" fontId="16" fillId="0" borderId="3" applyAlignment="1" pivotButton="0" quotePrefix="0" xfId="0">
      <alignment horizontal="right" vertical="center"/>
    </xf>
    <xf numFmtId="164" fontId="9" fillId="0" borderId="3" applyAlignment="1" pivotButton="0" quotePrefix="0" xfId="0">
      <alignment horizontal="right" vertical="center"/>
    </xf>
    <xf numFmtId="0" fontId="19" fillId="0" borderId="3" applyAlignment="1" pivotButton="0" quotePrefix="0" xfId="0">
      <alignment horizontal="left" vertical="top" wrapText="1"/>
    </xf>
    <xf numFmtId="170" fontId="16" fillId="0" borderId="3" applyAlignment="1" pivotButton="0" quotePrefix="0" xfId="0">
      <alignment horizontal="right" vertical="center"/>
    </xf>
    <xf numFmtId="1" fontId="16" fillId="0" borderId="3" applyAlignment="1" pivotButton="0" quotePrefix="0" xfId="0">
      <alignment horizontal="right" vertical="center"/>
    </xf>
    <xf numFmtId="0" fontId="24" fillId="0" borderId="3" applyAlignment="1" pivotButton="0" quotePrefix="0" xfId="0">
      <alignment horizontal="left" vertical="center" indent="1"/>
    </xf>
    <xf numFmtId="166" fontId="24" fillId="0" borderId="3" applyAlignment="1" pivotButton="0" quotePrefix="0" xfId="0">
      <alignment horizontal="right" vertical="center"/>
    </xf>
    <xf numFmtId="164" fontId="24" fillId="0" borderId="3" applyAlignment="1" pivotButton="0" quotePrefix="0" xfId="0">
      <alignment horizontal="right" vertical="center"/>
    </xf>
    <xf numFmtId="2" fontId="24" fillId="0" borderId="3" applyAlignment="1" pivotButton="0" quotePrefix="0" xfId="0">
      <alignment horizontal="right" vertical="center"/>
    </xf>
    <xf numFmtId="0" fontId="20" fillId="0" borderId="3" applyAlignment="1" pivotButton="0" quotePrefix="0" xfId="0">
      <alignment horizontal="left" vertical="center" indent="1"/>
    </xf>
    <xf numFmtId="166" fontId="21" fillId="0" borderId="3" applyAlignment="1" pivotButton="0" quotePrefix="0" xfId="0">
      <alignment horizontal="right" vertical="center"/>
    </xf>
    <xf numFmtId="0" fontId="25" fillId="0" borderId="3" applyAlignment="1" pivotButton="0" quotePrefix="0" xfId="0">
      <alignment horizontal="left" vertical="center" indent="1"/>
    </xf>
    <xf numFmtId="165" fontId="26" fillId="3" borderId="3" applyAlignment="1" pivotButton="0" quotePrefix="0" xfId="0">
      <alignment horizontal="right" vertical="center"/>
    </xf>
    <xf numFmtId="165" fontId="22" fillId="3" borderId="3" applyAlignment="1" pivotButton="0" quotePrefix="0" xfId="0">
      <alignment horizontal="right" vertical="center"/>
    </xf>
    <xf numFmtId="164" fontId="21" fillId="0" borderId="3" applyAlignment="1" pivotButton="0" quotePrefix="0" xfId="0">
      <alignment horizontal="right" vertical="center"/>
    </xf>
    <xf numFmtId="0" fontId="17" fillId="0" borderId="3" applyAlignment="1" pivotButton="0" quotePrefix="0" xfId="0">
      <alignment horizontal="left" vertical="center" indent="1"/>
    </xf>
    <xf numFmtId="165" fontId="24" fillId="0" borderId="3" applyAlignment="1" pivotButton="0" quotePrefix="0" xfId="0">
      <alignment horizontal="right" vertical="center"/>
    </xf>
    <xf numFmtId="0" fontId="60" fillId="7" borderId="3" applyAlignment="1" pivotButton="0" quotePrefix="0" xfId="0">
      <alignment horizontal="center" vertical="center" wrapText="1"/>
    </xf>
    <xf numFmtId="0" fontId="60" fillId="8" borderId="3" applyAlignment="1" pivotButton="0" quotePrefix="0" xfId="0">
      <alignment horizontal="center" vertical="center" wrapText="1"/>
    </xf>
    <xf numFmtId="0" fontId="60" fillId="9" borderId="3" applyAlignment="1" pivotButton="0" quotePrefix="0" xfId="0">
      <alignment horizontal="center" vertical="center" wrapText="1"/>
    </xf>
    <xf numFmtId="3" fontId="0" fillId="0" borderId="3" pivotButton="0" quotePrefix="0" xfId="0"/>
    <xf numFmtId="0" fontId="58" fillId="2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red.stlouisfed.org/series/DGS10" TargetMode="External" Id="rId1"/><Relationship Type="http://schemas.openxmlformats.org/officeDocument/2006/relationships/hyperlink" Target="https://www.stern.nyu.edu/~adamodar/New_Home_Page/datafile/histimpl.html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www.nasdaq.com/market-activity/stocks/lulu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finance.yahoo.com/quote/LULU/key-statistics/" TargetMode="External" Id="rId8"/><Relationship Type="http://schemas.openxmlformats.org/officeDocument/2006/relationships/hyperlink" Target="https://finance.yahoo.com/quote/LULU/key-statistics/" TargetMode="External" Id="rId9"/><Relationship Type="http://schemas.openxmlformats.org/officeDocument/2006/relationships/hyperlink" Target="https://finance.yahoo.com/quote/LULU/key-statistics/" TargetMode="External" Id="rId10"/><Relationship Type="http://schemas.openxmlformats.org/officeDocument/2006/relationships/hyperlink" Target="https://finance.yahoo.com/quote/LULU/key-statistics/" TargetMode="External" Id="rId11"/><Relationship Type="http://schemas.openxmlformats.org/officeDocument/2006/relationships/hyperlink" Target="https://finance.yahoo.com/quote/LULU/key-statistics/" TargetMode="External" Id="rId12"/><Relationship Type="http://schemas.openxmlformats.org/officeDocument/2006/relationships/hyperlink" Target="https://www.stern.nyu.edu/~adamodar/New_Home_Page/datafile/Betas.html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.lululemon.com/newsroom/press-releases/2026/09-03-2026-210528733" TargetMode="External" Id="rId1"/><Relationship Type="http://schemas.openxmlformats.org/officeDocument/2006/relationships/hyperlink" Target="https://stockanalysis.com/stocks/lulu/statistics/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fred.stlouisfed.org/series/GDPC1" TargetMode="External" Id="rId6"/><Relationship Type="http://schemas.openxmlformats.org/officeDocument/2006/relationships/hyperlink" Target="https://corporate.lululemon.com/newsroom/press-releases/2026/09-03-2026-210528733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6000020/lulu-20260201.htm" TargetMode="External" Id="rId28"/><Relationship Type="http://schemas.openxmlformats.org/officeDocument/2006/relationships/hyperlink" Target="https://www.sec.gov/Archives/edgar/data/1397187/000139718726000020/lulu-20260201.htm" TargetMode="External" Id="rId29"/><Relationship Type="http://schemas.openxmlformats.org/officeDocument/2006/relationships/hyperlink" Target="https://www.sec.gov/Archives/edgar/data/1397187/000139718726000020/lulu-20260201.htm" TargetMode="External" Id="rId30"/><Relationship Type="http://schemas.openxmlformats.org/officeDocument/2006/relationships/hyperlink" Target="https://www.sec.gov/Archives/edgar/data/1397187/000139718726000020/lulu-20260201.htm" TargetMode="External" Id="rId31"/><Relationship Type="http://schemas.openxmlformats.org/officeDocument/2006/relationships/hyperlink" Target="https://www.sec.gov/Archives/edgar/data/1397187/000139718726000020/lulu-20260201.htm" TargetMode="External" Id="rId32"/><Relationship Type="http://schemas.openxmlformats.org/officeDocument/2006/relationships/hyperlink" Target="https://www.sec.gov/Archives/edgar/data/1397187/000139718726000020/lulu-20260201.htm" TargetMode="External" Id="rId33"/><Relationship Type="http://schemas.openxmlformats.org/officeDocument/2006/relationships/hyperlink" Target="https://www.sec.gov/Archives/edgar/data/1397187/000139718726000020/lulu-20260201.htm" TargetMode="External" Id="rId34"/><Relationship Type="http://schemas.openxmlformats.org/officeDocument/2006/relationships/hyperlink" Target="https://www.sec.gov/Archives/edgar/data/1397187/000139718726000020/lulu-20260201.htm" TargetMode="External" Id="rId35"/><Relationship Type="http://schemas.openxmlformats.org/officeDocument/2006/relationships/hyperlink" Target="https://www.sec.gov/Archives/edgar/data/1397187/000139718726000020/lulu-20260201.htm" TargetMode="External" Id="rId36"/><Relationship Type="http://schemas.openxmlformats.org/officeDocument/2006/relationships/hyperlink" Target="https://www.sec.gov/Archives/edgar/data/1397187/000139718726000020/lulu-20260201.htm" TargetMode="External" Id="rId37"/><Relationship Type="http://schemas.openxmlformats.org/officeDocument/2006/relationships/hyperlink" Target="https://www.sec.gov/Archives/edgar/data/1397187/000139718726000020/lulu-20260201.htm" TargetMode="External" Id="rId38"/><Relationship Type="http://schemas.openxmlformats.org/officeDocument/2006/relationships/hyperlink" Target="https://www.sec.gov/Archives/edgar/data/1397187/000139718726000020/lulu-20260201.htm" TargetMode="External" Id="rId39"/><Relationship Type="http://schemas.openxmlformats.org/officeDocument/2006/relationships/hyperlink" Target="https://www.sec.gov/Archives/edgar/data/1397187/000139718726000020/lulu-20260201.htm" TargetMode="External" Id="rId40"/><Relationship Type="http://schemas.openxmlformats.org/officeDocument/2006/relationships/hyperlink" Target="https://www.sec.gov/Archives/edgar/data/1397187/000139718726000020/lulu-20260201.htm" TargetMode="External" Id="rId41"/><Relationship Type="http://schemas.openxmlformats.org/officeDocument/2006/relationships/hyperlink" Target="https://www.sec.gov/Archives/edgar/data/1397187/000139718726000020/lulu-20260201.htm" TargetMode="External" Id="rId42"/><Relationship Type="http://schemas.openxmlformats.org/officeDocument/2006/relationships/hyperlink" Target="https://www.sec.gov/Archives/edgar/data/1397187/000139718726000020/lulu-20260201.htm" TargetMode="External" Id="rId43"/><Relationship Type="http://schemas.openxmlformats.org/officeDocument/2006/relationships/hyperlink" Target="https://www.sec.gov/Archives/edgar/data/1397187/000139718726000020/lulu-20260201.htm" TargetMode="External" Id="rId44"/><Relationship Type="http://schemas.openxmlformats.org/officeDocument/2006/relationships/hyperlink" Target="https://www.sec.gov/Archives/edgar/data/1397187/000139718726000020/lulu-20260201.htm" TargetMode="External" Id="rId45"/><Relationship Type="http://schemas.openxmlformats.org/officeDocument/2006/relationships/hyperlink" Target="https://www.sec.gov/Archives/edgar/data/1397187/000139718726000020/lulu-20260201.htm" TargetMode="External" Id="rId46"/><Relationship Type="http://schemas.openxmlformats.org/officeDocument/2006/relationships/hyperlink" Target="https://www.sec.gov/Archives/edgar/data/1397187/000139718726000020/lulu-20260201.htm" TargetMode="External" Id="rId47"/><Relationship Type="http://schemas.openxmlformats.org/officeDocument/2006/relationships/hyperlink" Target="https://www.sec.gov/Archives/edgar/data/1397187/000139718726000020/lulu-20260201.htm" TargetMode="External" Id="rId48"/><Relationship Type="http://schemas.openxmlformats.org/officeDocument/2006/relationships/hyperlink" Target="https://www.sec.gov/Archives/edgar/data/1397187/000139718726000020/lulu-20260201.htm" TargetMode="External" Id="rId49"/><Relationship Type="http://schemas.openxmlformats.org/officeDocument/2006/relationships/hyperlink" Target="https://www.sec.gov/Archives/edgar/data/1397187/000139718726000020/lulu-20260201.htm" TargetMode="External" Id="rId50"/><Relationship Type="http://schemas.openxmlformats.org/officeDocument/2006/relationships/hyperlink" Target="https://www.sec.gov/Archives/edgar/data/1397187/000139718726000020/lulu-20260201.htm" TargetMode="External" Id="rId51"/><Relationship Type="http://schemas.openxmlformats.org/officeDocument/2006/relationships/hyperlink" Target="https://www.sec.gov/Archives/edgar/data/1397187/000139718726000020/lulu-20260201.htm" TargetMode="External" Id="rId52"/><Relationship Type="http://schemas.openxmlformats.org/officeDocument/2006/relationships/hyperlink" Target="https://www.sec.gov/Archives/edgar/data/1397187/000139718726000020/lulu-20260201.htm" TargetMode="External" Id="rId53"/><Relationship Type="http://schemas.openxmlformats.org/officeDocument/2006/relationships/hyperlink" Target="https://www.sec.gov/Archives/edgar/data/1397187/000139718726000020/lulu-20260201.htm" TargetMode="External" Id="rId54"/><Relationship Type="http://schemas.openxmlformats.org/officeDocument/2006/relationships/hyperlink" Target="https://www.sec.gov/Archives/edgar/data/1397187/000139718726000020/lulu-20260201.htm" TargetMode="External" Id="rId55"/><Relationship Type="http://schemas.openxmlformats.org/officeDocument/2006/relationships/hyperlink" Target="https://www.sec.gov/Archives/edgar/data/1397187/000139718726000020/lulu-20260201.htm" TargetMode="External" Id="rId56"/><Relationship Type="http://schemas.openxmlformats.org/officeDocument/2006/relationships/hyperlink" Target="https://www.sec.gov/Archives/edgar/data/1397187/000139718726000020/lulu-20260201.htm" TargetMode="External" Id="rId57"/><Relationship Type="http://schemas.openxmlformats.org/officeDocument/2006/relationships/hyperlink" Target="https://www.sec.gov/Archives/edgar/data/1397187/000139718726000020/lulu-20260201.htm" TargetMode="External" Id="rId58"/><Relationship Type="http://schemas.openxmlformats.org/officeDocument/2006/relationships/hyperlink" Target="https://www.sec.gov/Archives/edgar/data/1397187/000139718726000020/lulu-20260201.htm" TargetMode="External" Id="rId59"/><Relationship Type="http://schemas.openxmlformats.org/officeDocument/2006/relationships/hyperlink" Target="https://www.sec.gov/Archives/edgar/data/1397187/000139718726000020/lulu-20260201.htm" TargetMode="External" Id="rId60"/><Relationship Type="http://schemas.openxmlformats.org/officeDocument/2006/relationships/hyperlink" Target="https://www.sec.gov/Archives/edgar/data/1397187/000139718726000020/lulu-20260201.htm" TargetMode="External" Id="rId61"/><Relationship Type="http://schemas.openxmlformats.org/officeDocument/2006/relationships/hyperlink" Target="https://www.sec.gov/Archives/edgar/data/1397187/000139718726000020/lulu-20260201.htm" TargetMode="External" Id="rId62"/><Relationship Type="http://schemas.openxmlformats.org/officeDocument/2006/relationships/hyperlink" Target="https://www.sec.gov/Archives/edgar/data/1397187/000139718726000020/lulu-20260201.htm" TargetMode="External" Id="rId63"/><Relationship Type="http://schemas.openxmlformats.org/officeDocument/2006/relationships/hyperlink" Target="https://www.sec.gov/Archives/edgar/data/1397187/000139718726000020/lulu-20260201.htm" TargetMode="External" Id="rId64"/><Relationship Type="http://schemas.openxmlformats.org/officeDocument/2006/relationships/hyperlink" Target="https://www.sec.gov/Archives/edgar/data/1397187/000139718726000020/lulu-20260201.htm" TargetMode="External" Id="rId65"/><Relationship Type="http://schemas.openxmlformats.org/officeDocument/2006/relationships/hyperlink" Target="https://www.sec.gov/Archives/edgar/data/1397187/000139718726000020/lulu-20260201.htm" TargetMode="External" Id="rId66"/><Relationship Type="http://schemas.openxmlformats.org/officeDocument/2006/relationships/hyperlink" Target="https://www.sec.gov/Archives/edgar/data/1397187/000139718726000020/lulu-20260201.htm" TargetMode="External" Id="rId6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corporate.lululemon.com/newsroom/press-releases/2026/09-03-2026-210528733" TargetMode="External" Id="rId7"/><Relationship Type="http://schemas.openxmlformats.org/officeDocument/2006/relationships/hyperlink" Target="https://corporate.lululemon.com/newsroom/press-releases/2026/09-03-2026-210528733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6000020/lulu-20260201.htm" TargetMode="External" Id="rId28"/><Relationship Type="http://schemas.openxmlformats.org/officeDocument/2006/relationships/hyperlink" Target="https://www.sec.gov/Archives/edgar/data/1397187/000139718726000020/lulu-20260201.htm" TargetMode="External" Id="rId29"/><Relationship Type="http://schemas.openxmlformats.org/officeDocument/2006/relationships/hyperlink" Target="https://www.sec.gov/Archives/edgar/data/1397187/000139718726000020/lulu-20260201.htm" TargetMode="External" Id="rId30"/><Relationship Type="http://schemas.openxmlformats.org/officeDocument/2006/relationships/hyperlink" Target="https://www.sec.gov/Archives/edgar/data/1397187/000139718726000020/lulu-20260201.htm" TargetMode="External" Id="rId31"/><Relationship Type="http://schemas.openxmlformats.org/officeDocument/2006/relationships/hyperlink" Target="https://www.sec.gov/Archives/edgar/data/1397187/000139718726000020/lulu-20260201.htm" TargetMode="External" Id="rId32"/><Relationship Type="http://schemas.openxmlformats.org/officeDocument/2006/relationships/hyperlink" Target="https://www.sec.gov/Archives/edgar/data/1397187/000139718726000020/lulu-20260201.htm" TargetMode="External" Id="rId33"/><Relationship Type="http://schemas.openxmlformats.org/officeDocument/2006/relationships/hyperlink" Target="https://www.sec.gov/Archives/edgar/data/1397187/000139718726000020/lulu-20260201.htm" TargetMode="External" Id="rId34"/><Relationship Type="http://schemas.openxmlformats.org/officeDocument/2006/relationships/hyperlink" Target="https://www.sec.gov/Archives/edgar/data/1397187/000139718726000020/lulu-20260201.htm" TargetMode="External" Id="rId35"/><Relationship Type="http://schemas.openxmlformats.org/officeDocument/2006/relationships/hyperlink" Target="https://fred.stlouisfed.org/series/GDPC1" TargetMode="External" Id="rId36"/><Relationship Type="http://schemas.openxmlformats.org/officeDocument/2006/relationships/hyperlink" Target="https://www.sec.gov/Archives/edgar/data/1397187/000139718726000020/lulu-20260201.htm" TargetMode="External" Id="rId37"/><Relationship Type="http://schemas.openxmlformats.org/officeDocument/2006/relationships/hyperlink" Target="https://www.sec.gov/Archives/edgar/data/1397187/000139718726000020/lulu-20260201.htm" TargetMode="External" Id="rId38"/><Relationship Type="http://schemas.openxmlformats.org/officeDocument/2006/relationships/hyperlink" Target="https://www.sec.gov/Archives/edgar/data/1397187/000139718726000020/lulu-20260201.htm" TargetMode="External" Id="rId39"/><Relationship Type="http://schemas.openxmlformats.org/officeDocument/2006/relationships/hyperlink" Target="https://www.sec.gov/Archives/edgar/data/1397187/000139718726000020/lulu-20260201.htm" TargetMode="External" Id="rId40"/><Relationship Type="http://schemas.openxmlformats.org/officeDocument/2006/relationships/hyperlink" Target="https://www.sec.gov/Archives/edgar/data/1397187/000139718726000020/lulu-20260201.htm" TargetMode="External" Id="rId41"/><Relationship Type="http://schemas.openxmlformats.org/officeDocument/2006/relationships/hyperlink" Target="https://www.sec.gov/Archives/edgar/data/1397187/000139718726000020/lulu-20260201.htm" TargetMode="External" Id="rId42"/><Relationship Type="http://schemas.openxmlformats.org/officeDocument/2006/relationships/hyperlink" Target="https://www.nasdaq.com/market-activity/stocks/lulu" TargetMode="External" Id="rId43"/><Relationship Type="http://schemas.openxmlformats.org/officeDocument/2006/relationships/hyperlink" Target="https://www.nasdaq.com/market-activity/stocks/lulu" TargetMode="External" Id="rId44"/><Relationship Type="http://schemas.openxmlformats.org/officeDocument/2006/relationships/hyperlink" Target="https://fred.stlouisfed.org/series/GDPC1" TargetMode="External" Id="rId45"/><Relationship Type="http://schemas.openxmlformats.org/officeDocument/2006/relationships/hyperlink" Target="https://www.stern.nyu.edu/~adamodar/New_Home_Page/datafile/histimpl.html" TargetMode="External" Id="rId4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nasdaq.com/market-activity/stocks/lulu" TargetMode="External" Id="rId9"/><Relationship Type="http://schemas.openxmlformats.org/officeDocument/2006/relationships/hyperlink" Target="https://www.nasdaq.com/market-activity/stocks/lulu" TargetMode="External" Id="rId10"/><Relationship Type="http://schemas.openxmlformats.org/officeDocument/2006/relationships/hyperlink" Target="https://www.reuters.com/markets/deals/alo-yoga-parent-seeks-investment-10-bln-valuation-sources-2023-10-30/" TargetMode="External" Id="rId11"/><Relationship Type="http://schemas.openxmlformats.org/officeDocument/2006/relationships/hyperlink" Target="https://www.reuters.com/markets/deals/alo-yoga-parent-seeks-investment-10-bln-valuation-sources-2023-10-30/" TargetMode="External" Id="rId12"/><Relationship Type="http://schemas.openxmlformats.org/officeDocument/2006/relationships/hyperlink" Target="https://www.forbes.com/sites/jemimamcevoy/2025/04/01/the-founders-of-this-lululemon-rival-are-worth-nearly-5-billion-each/" TargetMode="External" Id="rId13"/><Relationship Type="http://schemas.openxmlformats.org/officeDocument/2006/relationships/hyperlink" Target="https://www.forbes.com/sites/jemimamcevoy/2025/04/01/the-founders-of-this-lululemon-rival-are-worth-nearly-5-billion-each/" TargetMode="External" Id="rId14"/><Relationship Type="http://schemas.openxmlformats.org/officeDocument/2006/relationships/hyperlink" Target="https://stockanalysis.com/stocks/lulu/statistics/" TargetMode="External" Id="rId15"/><Relationship Type="http://schemas.openxmlformats.org/officeDocument/2006/relationships/hyperlink" Target="https://stockanalysis.com/stocks/lulu/statistics/" TargetMode="External" Id="rId16"/><Relationship Type="http://schemas.openxmlformats.org/officeDocument/2006/relationships/hyperlink" Target="https://www.nasdaq.com/market-activity/stocks/lulu" TargetMode="External" Id="rId17"/><Relationship Type="http://schemas.openxmlformats.org/officeDocument/2006/relationships/hyperlink" Target="https://www.nasdaq.com/market-activity/stocks/lulu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showOutlineSymbols="1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GLOBAL INVESTMENT SOCIETY | INVESTMENT RESEARCH DIVISION</t>
        </is>
      </c>
    </row>
    <row r="4">
      <c r="B4" s="2" t="inlineStr">
        <is>
          <t>lululemon athletica inc. (NASDAQ: LULU)</t>
        </is>
      </c>
    </row>
    <row r="5">
      <c r="B5" s="3" t="inlineStr">
        <is>
          <t>Discounted Cash Flow Valuation — Unlevered Free Cash Flow</t>
        </is>
      </c>
    </row>
    <row r="7">
      <c r="B7" s="4" t="inlineStr">
        <is>
          <t>Recommendation: LONG / OVERWEIGHT</t>
        </is>
      </c>
    </row>
    <row r="9">
      <c r="B9" s="5" t="inlineStr">
        <is>
          <t>FONT / COLOR CONVENTION</t>
        </is>
      </c>
    </row>
    <row r="10">
      <c r="B10" s="6" t="inlineStr">
        <is>
          <t>Blue font = figures reported by the company (click value or source link)</t>
        </is>
      </c>
    </row>
    <row r="11">
      <c r="B11" s="7" t="n"/>
    </row>
    <row r="13">
      <c r="B13" s="5" t="inlineStr">
        <is>
          <t>TABS</t>
        </is>
      </c>
    </row>
    <row r="14">
      <c r="B14" s="9" t="inlineStr">
        <is>
          <t>WACC • Revenue Drivers • Scenarios • DCF • Comps / Football Field</t>
        </is>
      </c>
    </row>
    <row r="15">
      <c r="B15" s="5" t="n"/>
    </row>
    <row r="17" ht="36" customHeight="1">
      <c r="B17" s="5" t="n"/>
    </row>
    <row r="19">
      <c r="B19" s="11" t="n"/>
    </row>
    <row r="20" ht="36" customHeight="1"/>
    <row r="21" ht="36" customHeight="1"/>
    <row r="22" ht="36" customHeight="1"/>
    <row r="23" ht="36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1"/>
    <pageSetUpPr/>
  </sheetPr>
  <dimension ref="A1:E41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28" customWidth="1" min="2" max="2"/>
    <col width="18" customWidth="1" min="3" max="3"/>
    <col width="40" customWidth="1" min="4" max="4"/>
    <col width="12" customWidth="1" min="5" max="5"/>
  </cols>
  <sheetData>
    <row r="1" ht="16" customHeight="1">
      <c r="A1" s="12" t="inlineStr">
        <is>
          <t>WEIGHTED AVERAGE COST OF CAPITAL</t>
        </is>
      </c>
      <c r="B1" s="13" t="n"/>
      <c r="C1" s="13" t="n"/>
      <c r="D1" s="13" t="n"/>
      <c r="E1" s="13" t="n"/>
    </row>
    <row r="2">
      <c r="A2" s="14" t="inlineStr">
        <is>
          <t>Cost of equity (CAPM)</t>
        </is>
      </c>
      <c r="B2" s="15" t="n"/>
      <c r="C2" s="15" t="inlineStr">
        <is>
          <t>Source (click)</t>
        </is>
      </c>
      <c r="D2" s="15" t="n"/>
    </row>
    <row r="3" ht="28" customHeight="1">
      <c r="A3" s="16" t="inlineStr">
        <is>
          <t>Risk-free rate (10-yr UST)</t>
        </is>
      </c>
      <c r="B3" s="17" t="n"/>
      <c r="C3" s="18" t="inlineStr">
        <is>
          <t>FRED: 10Y Treasury (DGS10)</t>
        </is>
      </c>
      <c r="D3" s="19" t="n"/>
      <c r="E3" s="20" t="n">
        <v>0.048</v>
      </c>
    </row>
    <row r="4" ht="28" customHeight="1">
      <c r="A4" s="16" t="inlineStr">
        <is>
          <t>Equity risk premium</t>
        </is>
      </c>
      <c r="B4" s="17" t="n"/>
      <c r="C4" s="18" t="inlineStr">
        <is>
          <t>Damodaran: Historical Implied ERP</t>
        </is>
      </c>
      <c r="D4" s="19" t="n"/>
      <c r="E4" s="20" t="n">
        <v>0.06</v>
      </c>
    </row>
    <row r="5" ht="28" customHeight="1">
      <c r="A5" s="16" t="inlineStr">
        <is>
          <t>Tax rate</t>
        </is>
      </c>
      <c r="B5" s="17" t="n"/>
      <c r="C5" s="18" t="inlineStr">
        <is>
          <t>Q2 FY2026 outlook: tax rate ≈ 30%</t>
        </is>
      </c>
      <c r="D5" s="19" t="n"/>
      <c r="E5" s="20" t="n">
        <v>0.3</v>
      </c>
    </row>
    <row r="7">
      <c r="A7" s="14" t="inlineStr">
        <is>
          <t>Capital structure (market values)</t>
        </is>
      </c>
    </row>
    <row r="8" ht="28" customHeight="1">
      <c r="A8" s="16" t="inlineStr">
        <is>
          <t>Share price ($)</t>
        </is>
      </c>
      <c r="B8" s="17" t="n"/>
      <c r="C8" s="18" t="inlineStr">
        <is>
          <t>NASDAQ LULU last sale (current price)</t>
        </is>
      </c>
      <c r="D8" s="19" t="n"/>
      <c r="E8" s="21" t="n">
        <v>100</v>
      </c>
    </row>
    <row r="9" ht="28" customHeight="1">
      <c r="A9" s="16" t="inlineStr">
        <is>
          <t>Shares outstanding (000)</t>
        </is>
      </c>
      <c r="B9" s="17" t="n"/>
      <c r="C9" s="18" t="inlineStr">
        <is>
          <t>LULU FY2025 10-K: shares outstanding</t>
        </is>
      </c>
      <c r="D9" s="19" t="n"/>
      <c r="E9" s="22" t="n">
        <v>111380</v>
      </c>
    </row>
    <row r="10" ht="28" customHeight="1">
      <c r="A10" s="23" t="inlineStr">
        <is>
          <t>Market value of equity</t>
        </is>
      </c>
      <c r="B10" s="17" t="n"/>
      <c r="C10" s="24" t="inlineStr">
        <is>
          <t>WACC tab: price × shares</t>
        </is>
      </c>
      <c r="D10" s="19" t="n"/>
      <c r="E10" s="25">
        <f>E8*E9</f>
        <v/>
      </c>
    </row>
    <row r="11" ht="28" customHeight="1">
      <c r="A11" s="16" t="inlineStr">
        <is>
          <t>Operating lease liabilities (ASC 842 debt equiv.)</t>
        </is>
      </c>
      <c r="B11" s="17" t="n"/>
      <c r="C11" s="18" t="inlineStr">
        <is>
          <t>LULU FY2025 10-K: operating lease liabilities</t>
        </is>
      </c>
      <c r="D11" s="19" t="n"/>
      <c r="E11" s="22" t="n">
        <v>1798441</v>
      </c>
    </row>
    <row r="12">
      <c r="A12" s="26" t="n"/>
    </row>
    <row r="13" ht="28" customHeight="1">
      <c r="A13" s="16" t="inlineStr">
        <is>
          <t>Funded debt (term loans / bonds)</t>
        </is>
      </c>
      <c r="B13" s="17" t="n"/>
      <c r="C13" s="18" t="inlineStr">
        <is>
          <t>LULU FY2025 10-K (no funded debt)</t>
        </is>
      </c>
      <c r="D13" s="19" t="n"/>
      <c r="E13" s="22" t="n">
        <v>0</v>
      </c>
    </row>
    <row r="14">
      <c r="A14" s="23" t="inlineStr">
        <is>
          <t>Total debt equivalents</t>
        </is>
      </c>
      <c r="E14" s="25">
        <f>E11+E13</f>
        <v/>
      </c>
    </row>
    <row r="16">
      <c r="A16" s="14" t="inlineStr">
        <is>
          <t>Beta (unlever → relever)</t>
        </is>
      </c>
    </row>
    <row r="17" ht="28" customHeight="1">
      <c r="A17" s="16" t="inlineStr">
        <is>
          <t>Observed Beta (5Y Monthly) — levered βL</t>
        </is>
      </c>
      <c r="B17" s="17" t="n"/>
      <c r="C17" s="18" t="inlineStr">
        <is>
          <t>Yahoo Finance: LULU Beta (5Y Monthly)</t>
        </is>
      </c>
      <c r="D17" s="19" t="n"/>
      <c r="E17" s="27" t="n">
        <v>0.86</v>
      </c>
    </row>
    <row r="18" ht="28" customHeight="1">
      <c r="A18" s="16" t="inlineStr">
        <is>
          <t>Yahoo Total Debt (mrq)</t>
        </is>
      </c>
      <c r="B18" s="17" t="n"/>
      <c r="C18" s="18" t="inlineStr">
        <is>
          <t>Yahoo Finance: LULU Total Debt (mrq)</t>
        </is>
      </c>
      <c r="D18" s="19" t="n"/>
      <c r="E18" s="22" t="n">
        <v>2140000</v>
      </c>
    </row>
    <row r="19" ht="28" customHeight="1">
      <c r="A19" s="16" t="inlineStr">
        <is>
          <t>Yahoo Market Cap (same page as βL)</t>
        </is>
      </c>
      <c r="B19" s="17" t="n"/>
      <c r="C19" s="18" t="inlineStr">
        <is>
          <t>Yahoo Finance: LULU Market Cap</t>
        </is>
      </c>
      <c r="D19" s="19" t="n"/>
      <c r="E19" s="22" t="n">
        <v>11140000</v>
      </c>
    </row>
    <row r="20" ht="28" customHeight="1">
      <c r="A20" s="16" t="inlineStr">
        <is>
          <t>D/E for unlever (Yahoo debt mrq ÷ Yahoo market cap)</t>
        </is>
      </c>
      <c r="B20" s="17" t="n"/>
      <c r="C20" s="18" t="inlineStr">
        <is>
          <t>Yahoo Finance: debt (mrq) ÷ market cap</t>
        </is>
      </c>
      <c r="D20" s="19" t="n"/>
      <c r="E20" s="28">
        <f>E18/E19</f>
        <v/>
      </c>
    </row>
    <row r="21" ht="28" customHeight="1">
      <c r="A21" s="16" t="inlineStr">
        <is>
          <t>Yahoo book D/E (mrq) — reference only</t>
        </is>
      </c>
      <c r="B21" s="17" t="n"/>
      <c r="C21" s="18" t="inlineStr">
        <is>
          <t>Yahoo Finance: Total Debt/Equity (mrq)</t>
        </is>
      </c>
      <c r="D21" s="19" t="n"/>
      <c r="E21" s="27" t="n">
        <v>0.4469</v>
      </c>
    </row>
    <row r="22" ht="28" customHeight="1">
      <c r="A22" s="16" t="inlineStr">
        <is>
          <t>Unlevered βu</t>
        </is>
      </c>
      <c r="B22" s="17" t="n"/>
      <c r="C22" s="24" t="inlineStr">
        <is>
          <t>WACC tab: Hamada unlever (Yahoo market D/E)</t>
        </is>
      </c>
      <c r="D22" s="19" t="n"/>
      <c r="E22" s="28">
        <f>E17/(1+(1-E5)*E20)</f>
        <v/>
      </c>
    </row>
    <row r="23" ht="28" customHeight="1">
      <c r="A23" s="16" t="inlineStr">
        <is>
          <t>D/E for relever (WACC: FY25 lease debt / market equity)</t>
        </is>
      </c>
      <c r="B23" s="17" t="n"/>
      <c r="C23" s="24" t="inlineStr">
        <is>
          <t>WACC tab: FY25 lease debt / market equity</t>
        </is>
      </c>
      <c r="D23" s="19" t="n"/>
      <c r="E23" s="28">
        <f>E14/E10</f>
        <v/>
      </c>
    </row>
    <row r="24" ht="28" customHeight="1">
      <c r="A24" s="16" t="inlineStr">
        <is>
          <t>Sector βu benchmark (Damodaran Special Lines) — not used</t>
        </is>
      </c>
      <c r="B24" s="17" t="n"/>
      <c r="C24" s="18" t="inlineStr">
        <is>
          <t>Damodaran: US betas by sector (Jan 2026)</t>
        </is>
      </c>
      <c r="D24" s="19" t="n"/>
      <c r="E24" s="27" t="n">
        <v>0.95</v>
      </c>
    </row>
    <row r="25" ht="150" customHeight="1">
      <c r="A25" s="23" t="inlineStr">
        <is>
          <t>Beta used (relevered for WACC capital structure)</t>
        </is>
      </c>
      <c r="B25" s="17" t="n"/>
      <c r="C25" s="24" t="inlineStr">
        <is>
          <t>WACC tab: Hamada relever (total D/E incl. leases)</t>
        </is>
      </c>
      <c r="D25" s="19" t="n"/>
      <c r="E25" s="29">
        <f>E22*(1+(1-E5)*E23)</f>
        <v/>
      </c>
    </row>
    <row r="26">
      <c r="A26" s="26" t="n"/>
    </row>
    <row r="27">
      <c r="A27" s="26" t="inlineStr">
        <is>
          <t>Yahoo βL = 0.86 (Beta 5Y Monthly). No vendor publishes D/E inside the regression.</t>
        </is>
      </c>
    </row>
    <row r="28">
      <c r="A28" s="26" t="inlineStr">
        <is>
          <t>Unlever at Yahoo market D/E = $2.14B debt (mrq) ÷ $11.14B mkt cap ≈ 0.19 → βu ≈ 0.76.</t>
        </is>
      </c>
    </row>
    <row r="29">
      <c r="A29" s="26" t="inlineStr">
        <is>
          <t>Relever at WACC D/E = FY25 10-K leases ÷ our market cap ≈ 0.16 → β used ≈ 0.84.</t>
        </is>
      </c>
    </row>
    <row r="30">
      <c r="A30" s="26" t="n"/>
    </row>
    <row r="31">
      <c r="A31" s="14" t="inlineStr">
        <is>
          <t>Cost of equity (CAPM)</t>
        </is>
      </c>
    </row>
    <row r="32">
      <c r="A32" s="23" t="inlineStr">
        <is>
          <t>Cost of equity = rf + β × ERP</t>
        </is>
      </c>
      <c r="E32" s="30">
        <f>E3+E25*E4</f>
        <v/>
      </c>
    </row>
    <row r="34">
      <c r="A34" s="14" t="inlineStr">
        <is>
          <t>Cost of debt (lease-equivalent)</t>
        </is>
      </c>
    </row>
    <row r="35" ht="28" customHeight="1">
      <c r="A35" s="16" t="inlineStr">
        <is>
          <t>Pre-tax cost of debt (lease-equivalent)</t>
        </is>
      </c>
      <c r="B35" s="17" t="n"/>
      <c r="C35" s="18" t="inlineStr">
        <is>
          <t>LULU FY2025 10-K: lease liabilities &amp; no funded debt</t>
        </is>
      </c>
      <c r="D35" s="19" t="n"/>
      <c r="E35" s="20" t="n">
        <v>0.05</v>
      </c>
    </row>
    <row r="36">
      <c r="A36" s="16" t="inlineStr">
        <is>
          <t>After-tax cost of debt</t>
        </is>
      </c>
      <c r="E36" s="31">
        <f>E35*(1-E5)</f>
        <v/>
      </c>
    </row>
    <row r="38">
      <c r="A38" s="14" t="inlineStr">
        <is>
          <t>WACC weights</t>
        </is>
      </c>
    </row>
    <row r="39" ht="28" customHeight="1">
      <c r="A39" s="16" t="inlineStr">
        <is>
          <t>Equity weight</t>
        </is>
      </c>
      <c r="B39" s="17" t="n"/>
      <c r="C39" s="24" t="inlineStr">
        <is>
          <t>WACC tab: capital structure</t>
        </is>
      </c>
      <c r="D39" s="19" t="n"/>
      <c r="E39" s="32">
        <f>E10/(E10+E14)</f>
        <v/>
      </c>
    </row>
    <row r="40" ht="28" customHeight="1">
      <c r="A40" s="16" t="inlineStr">
        <is>
          <t>Debt weight (leases + funded)</t>
        </is>
      </c>
      <c r="B40" s="17" t="n"/>
      <c r="C40" s="18" t="inlineStr">
        <is>
          <t>LULU FY2025 10-K: operating lease liabilities</t>
        </is>
      </c>
      <c r="D40" s="19" t="n"/>
      <c r="E40" s="32">
        <f>E14/(E10+E14)</f>
        <v/>
      </c>
    </row>
    <row r="41">
      <c r="A41" s="23" t="inlineStr">
        <is>
          <t>WACC</t>
        </is>
      </c>
      <c r="E41" s="33">
        <f>E39*E32+E40*E36</f>
        <v/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1" r:id="rId6"/>
    <hyperlink xmlns:r="http://schemas.openxmlformats.org/officeDocument/2006/relationships" ref="C13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4" r:id="rId13"/>
    <hyperlink xmlns:r="http://schemas.openxmlformats.org/officeDocument/2006/relationships" ref="C35" r:id="rId14"/>
    <hyperlink xmlns:r="http://schemas.openxmlformats.org/officeDocument/2006/relationships" ref="C4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1"/>
    <pageSetUpPr/>
  </sheetPr>
  <dimension ref="A1:H203"/>
  <sheetViews>
    <sheetView showGridLines="0" showOutlineSymbols="1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22" customWidth="1" min="5" max="5"/>
    <col width="28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</cols>
  <sheetData>
    <row r="1" ht="16" customHeight="1">
      <c r="A1" s="136" t="inlineStr">
        <is>
          <t>SCENARIO ANALYSIS</t>
        </is>
      </c>
      <c r="B1" s="137" t="n"/>
      <c r="C1" s="137" t="n"/>
      <c r="D1" s="137" t="n"/>
      <c r="E1" s="137" t="n"/>
      <c r="F1" s="137" t="n"/>
      <c r="G1" s="13" t="n"/>
      <c r="H1" s="13" t="n"/>
    </row>
    <row r="2">
      <c r="A2" s="138" t="n"/>
      <c r="B2" s="165" t="inlineStr">
        <is>
          <t>Bear</t>
        </is>
      </c>
      <c r="C2" s="166" t="inlineStr">
        <is>
          <t>Base</t>
        </is>
      </c>
      <c r="D2" s="167" t="inlineStr">
        <is>
          <t>Bull</t>
        </is>
      </c>
      <c r="E2" s="138" t="n"/>
      <c r="F2" s="138" t="n"/>
      <c r="G2" s="35" t="n"/>
      <c r="H2" s="36" t="n"/>
    </row>
    <row r="3">
      <c r="A3" s="142" t="inlineStr">
        <is>
          <t>Key assumptions (5-yr forecast)</t>
        </is>
      </c>
      <c r="B3" s="138" t="n"/>
      <c r="C3" s="138" t="n"/>
      <c r="D3" s="138" t="n"/>
      <c r="E3" s="143" t="inlineStr">
        <is>
          <t>Source (click)</t>
        </is>
      </c>
      <c r="F3" s="143" t="inlineStr">
        <is>
          <t>How it moves</t>
        </is>
      </c>
    </row>
    <row r="4" ht="28" customHeight="1">
      <c r="A4" s="144" t="inlineStr">
        <is>
          <t>FY2026E revenue growth</t>
        </is>
      </c>
      <c r="B4" s="145" t="n">
        <v>-0.09</v>
      </c>
      <c r="C4" s="145" t="n">
        <v>-0.061</v>
      </c>
      <c r="D4" s="145" t="n">
        <v>-0.04</v>
      </c>
      <c r="E4" s="146" t="inlineStr">
        <is>
          <t>LULU Q2 FY2026 earnings release</t>
        </is>
      </c>
      <c r="F4" s="147" t="inlineStr">
        <is>
          <t>Year-one sales change: bear falls most.</t>
        </is>
      </c>
      <c r="G4" s="20" t="n"/>
      <c r="H4" s="20" t="n"/>
    </row>
    <row r="5" ht="28" customHeight="1">
      <c r="A5" s="144" t="inlineStr">
        <is>
          <t>FY2027–FY2030E revenue growth (avg)</t>
        </is>
      </c>
      <c r="B5" s="145" t="n">
        <v>-0.01</v>
      </c>
      <c r="C5" s="145" t="n">
        <v>0.023</v>
      </c>
      <c r="D5" s="145" t="n">
        <v>0.06</v>
      </c>
      <c r="E5" s="146" t="inlineStr">
        <is>
          <t>StockAnalysis: LULU 3Y revenue forecast</t>
        </is>
      </c>
      <c r="F5" s="147" t="inlineStr">
        <is>
          <t>Years two-five average growth: bull fastest.</t>
        </is>
      </c>
      <c r="G5" s="20" t="n"/>
      <c r="H5" s="20" t="n"/>
    </row>
    <row r="6" ht="28" customHeight="1">
      <c r="A6" s="144" t="inlineStr">
        <is>
          <t>Run-rate EBIT margin (clean, ex-refunds)</t>
        </is>
      </c>
      <c r="B6" s="145" t="n">
        <v>0.12</v>
      </c>
      <c r="C6" s="145" t="n">
        <v>0.132</v>
      </c>
      <c r="D6" s="145" t="n">
        <v>0.145</v>
      </c>
      <c r="E6" s="146" t="inlineStr">
        <is>
          <t>Q2 FY2026 release: 18.8% OM minus 560bps tariffs</t>
        </is>
      </c>
      <c r="F6" s="147" t="inlineStr">
        <is>
          <t>Starting operating margin before linear ramp.</t>
        </is>
      </c>
      <c r="G6" s="20" t="n"/>
      <c r="H6" s="20" t="n"/>
    </row>
    <row r="7" ht="28" customHeight="1">
      <c r="A7" s="144" t="inlineStr">
        <is>
          <t>FY26 IEEPA tariff refunds ($k, already in guide)</t>
        </is>
      </c>
      <c r="B7" s="148" t="n">
        <v>134500</v>
      </c>
      <c r="C7" s="148" t="n">
        <v>134500</v>
      </c>
      <c r="D7" s="148" t="n">
        <v>134500</v>
      </c>
      <c r="E7" s="146" t="inlineStr">
        <is>
          <t>Q2 FY2026 release: $134.5M IEEPA tariff refunds</t>
        </is>
      </c>
      <c r="F7" s="147" t="inlineStr">
        <is>
          <t>One-time year-one EBIT boost: zero after.</t>
        </is>
      </c>
      <c r="G7" s="37" t="n"/>
      <c r="H7" s="37" t="n"/>
    </row>
    <row r="8" ht="28" customHeight="1">
      <c r="A8" s="144" t="inlineStr">
        <is>
          <t>Terminal (FY2030E) EBIT margin</t>
        </is>
      </c>
      <c r="B8" s="145" t="n">
        <v>0.12</v>
      </c>
      <c r="C8" s="145" t="n">
        <v>0.155</v>
      </c>
      <c r="D8" s="145" t="n">
        <v>0.19</v>
      </c>
      <c r="E8" s="146" t="inlineStr">
        <is>
          <t>FY2025 10-K: Operating margin 19.9% (one hit)</t>
        </is>
      </c>
      <c r="F8" s="147" t="inlineStr">
        <is>
          <t>Year-five target margin after linear ramp.</t>
        </is>
      </c>
      <c r="G8" s="20" t="n"/>
      <c r="H8" s="20" t="n"/>
    </row>
    <row r="9" ht="28" customHeight="1">
      <c r="A9" s="144" t="inlineStr">
        <is>
          <t>WACC</t>
        </is>
      </c>
      <c r="B9" s="145" t="n">
        <v>0.11</v>
      </c>
      <c r="C9" s="149">
        <f>WACC!E41</f>
        <v/>
      </c>
      <c r="D9" s="145" t="n">
        <v>0.095</v>
      </c>
      <c r="E9" s="146" t="inlineStr">
        <is>
          <t>WACC tab: CAPM build</t>
        </is>
      </c>
      <c r="F9" s="147" t="inlineStr">
        <is>
          <t>Flat discount rate: higher bear, lower bull.</t>
        </is>
      </c>
      <c r="G9" s="32" t="n"/>
      <c r="H9" s="20" t="n"/>
    </row>
    <row r="10" ht="28" customHeight="1">
      <c r="A10" s="144" t="inlineStr">
        <is>
          <t>Terminal growth</t>
        </is>
      </c>
      <c r="B10" s="145" t="n">
        <v>0.015</v>
      </c>
      <c r="C10" s="145" t="n">
        <v>0.0225</v>
      </c>
      <c r="D10" s="145" t="n">
        <v>0.03</v>
      </c>
      <c r="E10" s="146" t="inlineStr">
        <is>
          <t>FRED: Real GDP (GDPC1)</t>
        </is>
      </c>
      <c r="F10" s="147" t="inlineStr">
        <is>
          <t>Perpetuity growth rate: flat across all years.</t>
        </is>
      </c>
      <c r="G10" s="20" t="n"/>
      <c r="H10" s="20" t="n"/>
    </row>
    <row r="11" ht="28" customHeight="1">
      <c r="A11" s="144" t="inlineStr">
        <is>
          <t>Cash tax rate</t>
        </is>
      </c>
      <c r="B11" s="145" t="n">
        <v>0.32</v>
      </c>
      <c r="C11" s="145" t="n">
        <v>0.3</v>
      </c>
      <c r="D11" s="145" t="n">
        <v>0.28</v>
      </c>
      <c r="E11" s="146" t="inlineStr">
        <is>
          <t>Q2 FY2026 outlook: tax rate ≈ 30%</t>
        </is>
      </c>
      <c r="F11" s="147" t="inlineStr">
        <is>
          <t>Flat tax percentage applied every forecast year.</t>
        </is>
      </c>
      <c r="G11" s="20" t="n"/>
      <c r="H11" s="20" t="n"/>
    </row>
    <row r="12" ht="28" customHeight="1">
      <c r="A12" s="144" t="inlineStr">
        <is>
          <t>D&amp;A % of revenue</t>
        </is>
      </c>
      <c r="B12" s="145" t="n">
        <v>0.045</v>
      </c>
      <c r="C12" s="145" t="n">
        <v>0.045</v>
      </c>
      <c r="D12" s="145" t="n">
        <v>0.045</v>
      </c>
      <c r="E12" s="146" t="inlineStr">
        <is>
          <t>LULU CF statement (10-K)</t>
        </is>
      </c>
      <c r="F12" s="147" t="inlineStr">
        <is>
          <t>Depreciation scales as fixed percent of revenue.</t>
        </is>
      </c>
      <c r="G12" s="20" t="n"/>
      <c r="H12" s="20" t="n"/>
    </row>
    <row r="13" ht="150" customHeight="1">
      <c r="A13" s="144" t="inlineStr">
        <is>
          <t>Capex % of revenue</t>
        </is>
      </c>
      <c r="B13" s="145" t="n">
        <v>0.07000000000000001</v>
      </c>
      <c r="C13" s="145" t="n">
        <v>0.055</v>
      </c>
      <c r="D13" s="145" t="n">
        <v>0.045</v>
      </c>
      <c r="E13" s="150" t="inlineStr">
        <is>
          <t>LULU 10-K: 2026 capex guide $725–745M</t>
        </is>
      </c>
      <c r="F13" s="147" t="inlineStr">
        <is>
          <t>Five-year blended average: fades 7.0% toward 6.1% revenue.</t>
        </is>
      </c>
      <c r="G13" s="20" t="n"/>
      <c r="H13" s="20" t="n"/>
    </row>
    <row r="14" ht="112" customHeight="1">
      <c r="A14" s="144" t="inlineStr">
        <is>
          <t>Gross margin %</t>
        </is>
      </c>
      <c r="B14" s="145" t="n">
        <v>0.5600000000000001</v>
      </c>
      <c r="C14" s="145" t="n">
        <v>0.5659999999999999</v>
      </c>
      <c r="D14" s="145" t="n">
        <v>0.575</v>
      </c>
      <c r="E14" s="146" t="inlineStr">
        <is>
          <t>LULU FY2025 10-K: Gross profit &amp; COGS</t>
        </is>
      </c>
      <c r="F14" s="147" t="inlineStr">
        <is>
          <t>Merchandise margin held flat every forecast year.</t>
        </is>
      </c>
      <c r="G14" s="20" t="n"/>
      <c r="H14" s="20" t="n"/>
    </row>
    <row r="15" ht="150" customHeight="1">
      <c r="A15" s="144" t="inlineStr">
        <is>
          <t>DSO (days): flat vs FY25</t>
        </is>
      </c>
      <c r="B15" s="151">
        <f>(DCF!$E$21/$B$198)*365</f>
        <v/>
      </c>
      <c r="C15" s="151">
        <f>(DCF!$E$21/$B$198)*365</f>
        <v/>
      </c>
      <c r="D15" s="151">
        <f>(DCF!$E$21/$B$198)*365</f>
        <v/>
      </c>
      <c r="E15" s="146" t="inlineStr">
        <is>
          <t>LULU FY2025 10-K: Accounts receivable, net</t>
        </is>
      </c>
      <c r="F15" s="147" t="inlineStr">
        <is>
          <t>Collection days held flat near six yearly.</t>
        </is>
      </c>
      <c r="G15" s="130" t="n"/>
      <c r="H15" s="130" t="n"/>
    </row>
    <row r="16" ht="140" customHeight="1">
      <c r="A16" s="144" t="inlineStr">
        <is>
          <t>FY25 DIO anchor (days)</t>
        </is>
      </c>
      <c r="B16" s="151">
        <f>(DCF!$E$23/DCF!$E$8)*365</f>
        <v/>
      </c>
      <c r="C16" s="151">
        <f>(DCF!$E$23/DCF!$E$8)*365</f>
        <v/>
      </c>
      <c r="D16" s="151">
        <f>(DCF!$E$23/DCF!$E$8)*365</f>
        <v/>
      </c>
      <c r="E16" s="146" t="inlineStr">
        <is>
          <t>LULU FY2025 10-K: Inventories &amp; COGS</t>
        </is>
      </c>
      <c r="F16" s="147" t="inlineStr">
        <is>
          <t>Starting inventory days before annual decline begins.</t>
        </is>
      </c>
      <c r="G16" s="130" t="n"/>
      <c r="H16" s="130" t="n"/>
    </row>
    <row r="17" ht="70" customHeight="1">
      <c r="A17" s="144" t="inlineStr">
        <is>
          <t>DIO decline (days / forecast yr)</t>
        </is>
      </c>
      <c r="B17" s="152" t="n">
        <v>1</v>
      </c>
      <c r="C17" s="152" t="n">
        <v>1</v>
      </c>
      <c r="D17" s="152" t="n">
        <v>1</v>
      </c>
      <c r="E17" s="146" t="inlineStr">
        <is>
          <t>LULU FY2025 10-K: inventory &amp; markdown outlook</t>
        </is>
      </c>
      <c r="F17" s="147" t="inlineStr">
        <is>
          <t>Inventory days fall one day each year.</t>
        </is>
      </c>
      <c r="G17" s="40" t="n"/>
      <c r="H17" s="40" t="n"/>
    </row>
    <row r="18" ht="84" customHeight="1">
      <c r="A18" s="144" t="inlineStr">
        <is>
          <t>DPO (days): flat vs FY25</t>
        </is>
      </c>
      <c r="B18" s="151">
        <f>(DCF!$E$25/DCF!$E$8)*365</f>
        <v/>
      </c>
      <c r="C18" s="151">
        <f>(DCF!$E$25/DCF!$E$8)*365</f>
        <v/>
      </c>
      <c r="D18" s="151">
        <f>(DCF!$E$25/DCF!$E$8)*365</f>
        <v/>
      </c>
      <c r="E18" s="146" t="inlineStr">
        <is>
          <t>LULU FY2025 10-K: Accounts payable &amp; COGS</t>
        </is>
      </c>
      <c r="F18" s="147" t="inlineStr">
        <is>
          <t>Payment days held flat near twenty-five yearly.</t>
        </is>
      </c>
      <c r="G18" s="130" t="n"/>
      <c r="H18" s="130" t="n"/>
    </row>
    <row r="19" ht="84" customHeight="1">
      <c r="A19" s="144" t="inlineStr">
        <is>
          <t>Prepaid expenses (% of revenue)</t>
        </is>
      </c>
      <c r="B19" s="145">
        <f>DCF!$E$27/$B$198</f>
        <v/>
      </c>
      <c r="C19" s="145">
        <f>DCF!$E$27/$B$198</f>
        <v/>
      </c>
      <c r="D19" s="145">
        <f>DCF!$E$27/$B$198</f>
        <v/>
      </c>
      <c r="E19" s="146" t="inlineStr">
        <is>
          <t>LULU FY2025 10-K: other current assets (residual)</t>
        </is>
      </c>
      <c r="F19" s="147" t="inlineStr">
        <is>
          <t>Other current assets flat percent of revenue.</t>
        </is>
      </c>
      <c r="G19" s="20" t="n"/>
      <c r="H19" s="20" t="n"/>
    </row>
    <row r="20" ht="84" customHeight="1">
      <c r="A20" s="144" t="inlineStr">
        <is>
          <t>Accrued liabilities (% of revenue)</t>
        </is>
      </c>
      <c r="B20" s="145">
        <f>DCF!$E$29/$B$198</f>
        <v/>
      </c>
      <c r="C20" s="145">
        <f>DCF!$E$29/$B$198</f>
        <v/>
      </c>
      <c r="D20" s="145">
        <f>DCF!$E$29/$B$198</f>
        <v/>
      </c>
      <c r="E20" s="146" t="inlineStr">
        <is>
          <t>LULU FY2025 10-K: Accrued liabilities and other</t>
        </is>
      </c>
      <c r="F20" s="147" t="inlineStr">
        <is>
          <t>Accrued payables flat percent of revenue.</t>
        </is>
      </c>
      <c r="G20" s="20" t="n"/>
      <c r="H20" s="20" t="n"/>
    </row>
    <row r="21">
      <c r="A21" s="144" t="inlineStr">
        <is>
          <t>Pitch CFF: fixed buyback ($k/yr) bear/base</t>
        </is>
      </c>
      <c r="B21" s="148" t="n">
        <v>750000</v>
      </c>
      <c r="C21" s="148" t="n">
        <v>750000</v>
      </c>
      <c r="D21" s="148" t="n">
        <v>0</v>
      </c>
      <c r="E21" s="138" t="n"/>
      <c r="F21" s="147" t="inlineStr">
        <is>
          <t>Bear base retire fixed dollars yearly.</t>
        </is>
      </c>
      <c r="G21" s="37" t="n"/>
      <c r="H21" s="37" t="n"/>
    </row>
    <row r="22">
      <c r="A22" s="144" t="inlineStr">
        <is>
          <t>Pitch CFF: % of FCF to buybacks (bull)</t>
        </is>
      </c>
      <c r="B22" s="145" t="n">
        <v>0</v>
      </c>
      <c r="C22" s="145" t="n">
        <v>0</v>
      </c>
      <c r="D22" s="145" t="n">
        <v>0.75</v>
      </c>
      <c r="E22" s="138" t="n"/>
      <c r="F22" s="147" t="inlineStr">
        <is>
          <t>Bull spends set percent of free cash.</t>
        </is>
      </c>
      <c r="G22" s="20" t="n"/>
      <c r="H22" s="20" t="n"/>
    </row>
    <row r="23">
      <c r="A23" s="138" t="n"/>
      <c r="B23" s="138" t="n"/>
      <c r="C23" s="138" t="n"/>
      <c r="D23" s="138" t="n"/>
      <c r="E23" s="138" t="n"/>
      <c r="F23" s="138" t="n"/>
    </row>
    <row r="24">
      <c r="A24" s="142" t="inlineStr">
        <is>
          <t>5-year forecast paths (by scenario)</t>
        </is>
      </c>
      <c r="B24" s="138" t="n"/>
      <c r="C24" s="138" t="n"/>
      <c r="D24" s="138" t="n"/>
      <c r="E24" s="138" t="n"/>
      <c r="F24" s="138" t="n"/>
    </row>
    <row r="25">
      <c r="A25" s="153" t="inlineStr">
        <is>
          <t>Revenue: year 1</t>
        </is>
      </c>
      <c r="B25" s="154">
        <f>$B$198*(1+B4)</f>
        <v/>
      </c>
      <c r="C25" s="154">
        <f>$B$198*(1+C4)</f>
        <v/>
      </c>
      <c r="D25" s="154">
        <f>$B$198*(1+D4)</f>
        <v/>
      </c>
      <c r="E25" s="138" t="n"/>
      <c r="F25" s="147" t="inlineStr">
        <is>
          <t>Grows or shrinks using scenario-specific growth rates.</t>
        </is>
      </c>
      <c r="G25" s="42" t="n"/>
      <c r="H25" s="42" t="n"/>
    </row>
    <row r="26">
      <c r="A26" s="153" t="inlineStr">
        <is>
          <t>Revenue: year 2</t>
        </is>
      </c>
      <c r="B26" s="154">
        <f>B25*(1+B5)</f>
        <v/>
      </c>
      <c r="C26" s="154">
        <f>C25*(1+C5)</f>
        <v/>
      </c>
      <c r="D26" s="154">
        <f>D25*(1+D5)</f>
        <v/>
      </c>
      <c r="E26" s="138" t="n"/>
      <c r="F26" s="138" t="n"/>
      <c r="G26" s="42" t="n"/>
      <c r="H26" s="42" t="n"/>
    </row>
    <row r="27">
      <c r="A27" s="153" t="inlineStr">
        <is>
          <t>Revenue: year 3</t>
        </is>
      </c>
      <c r="B27" s="154">
        <f>B26*(1+B5)</f>
        <v/>
      </c>
      <c r="C27" s="154">
        <f>C26*(1+C5)</f>
        <v/>
      </c>
      <c r="D27" s="154">
        <f>D26*(1+D5)</f>
        <v/>
      </c>
      <c r="E27" s="138" t="n"/>
      <c r="F27" s="138" t="n"/>
      <c r="G27" s="42" t="n"/>
      <c r="H27" s="42" t="n"/>
    </row>
    <row r="28">
      <c r="A28" s="153" t="inlineStr">
        <is>
          <t>Revenue: year 4</t>
        </is>
      </c>
      <c r="B28" s="154">
        <f>B27*(1+B5)</f>
        <v/>
      </c>
      <c r="C28" s="154">
        <f>C27*(1+C5)</f>
        <v/>
      </c>
      <c r="D28" s="154">
        <f>D27*(1+D5)</f>
        <v/>
      </c>
      <c r="E28" s="138" t="n"/>
      <c r="F28" s="138" t="n"/>
      <c r="G28" s="42" t="n"/>
      <c r="H28" s="42" t="n"/>
    </row>
    <row r="29">
      <c r="A29" s="153" t="inlineStr">
        <is>
          <t>Revenue: year 5</t>
        </is>
      </c>
      <c r="B29" s="154">
        <f>B28*(1+B5)</f>
        <v/>
      </c>
      <c r="C29" s="154">
        <f>C28*(1+C5)</f>
        <v/>
      </c>
      <c r="D29" s="154">
        <f>D28*(1+D5)</f>
        <v/>
      </c>
      <c r="E29" s="138" t="n"/>
      <c r="F29" s="138" t="n"/>
      <c r="G29" s="42" t="n"/>
      <c r="H29" s="42" t="n"/>
    </row>
    <row r="30">
      <c r="A30" s="153" t="inlineStr">
        <is>
          <t>Gross margin %: year 1</t>
        </is>
      </c>
      <c r="B30" s="155">
        <f>B14</f>
        <v/>
      </c>
      <c r="C30" s="155">
        <f>C14</f>
        <v/>
      </c>
      <c r="D30" s="155">
        <f>D14</f>
        <v/>
      </c>
      <c r="E30" s="138" t="n"/>
      <c r="F30" s="147" t="inlineStr">
        <is>
          <t>Stays flat at scenario margin every year.</t>
        </is>
      </c>
      <c r="G30" s="43" t="n"/>
      <c r="H30" s="43" t="n"/>
    </row>
    <row r="31">
      <c r="A31" s="153" t="inlineStr">
        <is>
          <t>Gross margin %: year 2</t>
        </is>
      </c>
      <c r="B31" s="155">
        <f>B14</f>
        <v/>
      </c>
      <c r="C31" s="155">
        <f>C14</f>
        <v/>
      </c>
      <c r="D31" s="155">
        <f>D14</f>
        <v/>
      </c>
      <c r="E31" s="138" t="n"/>
      <c r="F31" s="138" t="n"/>
      <c r="G31" s="43" t="n"/>
      <c r="H31" s="43" t="n"/>
    </row>
    <row r="32">
      <c r="A32" s="153" t="inlineStr">
        <is>
          <t>Gross margin %: year 3</t>
        </is>
      </c>
      <c r="B32" s="155">
        <f>B14</f>
        <v/>
      </c>
      <c r="C32" s="155">
        <f>C14</f>
        <v/>
      </c>
      <c r="D32" s="155">
        <f>D14</f>
        <v/>
      </c>
      <c r="E32" s="138" t="n"/>
      <c r="F32" s="138" t="n"/>
      <c r="G32" s="43" t="n"/>
      <c r="H32" s="43" t="n"/>
    </row>
    <row r="33">
      <c r="A33" s="153" t="inlineStr">
        <is>
          <t>Gross margin %: year 4</t>
        </is>
      </c>
      <c r="B33" s="155">
        <f>B14</f>
        <v/>
      </c>
      <c r="C33" s="155">
        <f>C14</f>
        <v/>
      </c>
      <c r="D33" s="155">
        <f>D14</f>
        <v/>
      </c>
      <c r="E33" s="138" t="n"/>
      <c r="F33" s="138" t="n"/>
      <c r="G33" s="43" t="n"/>
      <c r="H33" s="43" t="n"/>
    </row>
    <row r="34">
      <c r="A34" s="153" t="inlineStr">
        <is>
          <t>Gross margin %: year 5</t>
        </is>
      </c>
      <c r="B34" s="155">
        <f>B14</f>
        <v/>
      </c>
      <c r="C34" s="155">
        <f>C14</f>
        <v/>
      </c>
      <c r="D34" s="155">
        <f>D14</f>
        <v/>
      </c>
      <c r="E34" s="138" t="n"/>
      <c r="F34" s="138" t="n"/>
      <c r="G34" s="43" t="n"/>
      <c r="H34" s="43" t="n"/>
    </row>
    <row r="35">
      <c r="A35" s="153" t="inlineStr">
        <is>
          <t>Cost of goods sold (COGS): year 1</t>
        </is>
      </c>
      <c r="B35" s="154">
        <f>B25*(1-B30)</f>
        <v/>
      </c>
      <c r="C35" s="154">
        <f>C25*(1-C30)</f>
        <v/>
      </c>
      <c r="D35" s="154">
        <f>D25*(1-D30)</f>
        <v/>
      </c>
      <c r="E35" s="138" t="n"/>
      <c r="F35" s="147" t="inlineStr">
        <is>
          <t>Moves with revenue when gross margin stays flat.</t>
        </is>
      </c>
      <c r="G35" s="42" t="n"/>
      <c r="H35" s="42" t="n"/>
    </row>
    <row r="36">
      <c r="A36" s="153" t="inlineStr">
        <is>
          <t>Cost of goods sold (COGS): year 2</t>
        </is>
      </c>
      <c r="B36" s="154">
        <f>B26*(1-B31)</f>
        <v/>
      </c>
      <c r="C36" s="154">
        <f>C26*(1-C31)</f>
        <v/>
      </c>
      <c r="D36" s="154">
        <f>D26*(1-D31)</f>
        <v/>
      </c>
      <c r="E36" s="138" t="n"/>
      <c r="F36" s="138" t="n"/>
      <c r="G36" s="42" t="n"/>
      <c r="H36" s="42" t="n"/>
    </row>
    <row r="37">
      <c r="A37" s="153" t="inlineStr">
        <is>
          <t>Cost of goods sold (COGS): year 3</t>
        </is>
      </c>
      <c r="B37" s="154">
        <f>B27*(1-B32)</f>
        <v/>
      </c>
      <c r="C37" s="154">
        <f>C27*(1-C32)</f>
        <v/>
      </c>
      <c r="D37" s="154">
        <f>D27*(1-D32)</f>
        <v/>
      </c>
      <c r="E37" s="138" t="n"/>
      <c r="F37" s="138" t="n"/>
      <c r="G37" s="42" t="n"/>
      <c r="H37" s="42" t="n"/>
    </row>
    <row r="38">
      <c r="A38" s="153" t="inlineStr">
        <is>
          <t>Cost of goods sold (COGS): year 4</t>
        </is>
      </c>
      <c r="B38" s="154">
        <f>B28*(1-B33)</f>
        <v/>
      </c>
      <c r="C38" s="154">
        <f>C28*(1-C33)</f>
        <v/>
      </c>
      <c r="D38" s="154">
        <f>D28*(1-D33)</f>
        <v/>
      </c>
      <c r="E38" s="138" t="n"/>
      <c r="F38" s="138" t="n"/>
      <c r="G38" s="42" t="n"/>
      <c r="H38" s="42" t="n"/>
    </row>
    <row r="39">
      <c r="A39" s="153" t="inlineStr">
        <is>
          <t>Cost of goods sold (COGS): year 5</t>
        </is>
      </c>
      <c r="B39" s="154">
        <f>B29*(1-B34)</f>
        <v/>
      </c>
      <c r="C39" s="154">
        <f>C29*(1-C34)</f>
        <v/>
      </c>
      <c r="D39" s="154">
        <f>D29*(1-D34)</f>
        <v/>
      </c>
      <c r="E39" s="138" t="n"/>
      <c r="F39" s="138" t="n"/>
      <c r="G39" s="42" t="n"/>
      <c r="H39" s="42" t="n"/>
    </row>
    <row r="40">
      <c r="A40" s="153" t="inlineStr">
        <is>
          <t>Clean EBIT margin: year 1</t>
        </is>
      </c>
      <c r="B40" s="155">
        <f>B6+(B8-B6)*0/4</f>
        <v/>
      </c>
      <c r="C40" s="155">
        <f>C6+(C8-C6)*0/4</f>
        <v/>
      </c>
      <c r="D40" s="155">
        <f>D6+(D8-D6)*0/4</f>
        <v/>
      </c>
      <c r="E40" s="138" t="n"/>
      <c r="F40" s="147" t="inlineStr">
        <is>
          <t>Linearly ramps from run-rate toward terminal margin.</t>
        </is>
      </c>
      <c r="G40" s="43" t="n"/>
      <c r="H40" s="43" t="n"/>
    </row>
    <row r="41">
      <c r="A41" s="153" t="inlineStr">
        <is>
          <t>Clean EBIT margin: year 2</t>
        </is>
      </c>
      <c r="B41" s="155">
        <f>B6+(B8-B6)*1/4</f>
        <v/>
      </c>
      <c r="C41" s="155">
        <f>C6+(C8-C6)*1/4</f>
        <v/>
      </c>
      <c r="D41" s="155">
        <f>D6+(D8-D6)*1/4</f>
        <v/>
      </c>
      <c r="E41" s="138" t="n"/>
      <c r="F41" s="138" t="n"/>
      <c r="G41" s="43" t="n"/>
      <c r="H41" s="43" t="n"/>
    </row>
    <row r="42">
      <c r="A42" s="153" t="inlineStr">
        <is>
          <t>Clean EBIT margin: year 3</t>
        </is>
      </c>
      <c r="B42" s="155">
        <f>B6+(B8-B6)*2/4</f>
        <v/>
      </c>
      <c r="C42" s="155">
        <f>C6+(C8-C6)*2/4</f>
        <v/>
      </c>
      <c r="D42" s="155">
        <f>D6+(D8-D6)*2/4</f>
        <v/>
      </c>
      <c r="E42" s="138" t="n"/>
      <c r="F42" s="138" t="n"/>
      <c r="G42" s="43" t="n"/>
      <c r="H42" s="43" t="n"/>
    </row>
    <row r="43">
      <c r="A43" s="153" t="inlineStr">
        <is>
          <t>Clean EBIT margin: year 4</t>
        </is>
      </c>
      <c r="B43" s="155">
        <f>B6+(B8-B6)*3/4</f>
        <v/>
      </c>
      <c r="C43" s="155">
        <f>C6+(C8-C6)*3/4</f>
        <v/>
      </c>
      <c r="D43" s="155">
        <f>D6+(D8-D6)*3/4</f>
        <v/>
      </c>
      <c r="E43" s="138" t="n"/>
      <c r="F43" s="138" t="n"/>
      <c r="G43" s="43" t="n"/>
      <c r="H43" s="43" t="n"/>
    </row>
    <row r="44">
      <c r="A44" s="153" t="inlineStr">
        <is>
          <t>Clean EBIT margin: year 5</t>
        </is>
      </c>
      <c r="B44" s="155">
        <f>B6+(B8-B6)*4/4</f>
        <v/>
      </c>
      <c r="C44" s="155">
        <f>C6+(C8-C6)*4/4</f>
        <v/>
      </c>
      <c r="D44" s="155">
        <f>D6+(D8-D6)*4/4</f>
        <v/>
      </c>
      <c r="E44" s="138" t="n"/>
      <c r="F44" s="138" t="n"/>
      <c r="G44" s="43" t="n"/>
      <c r="H44" s="43" t="n"/>
    </row>
    <row r="45">
      <c r="A45" s="153" t="inlineStr">
        <is>
          <t>EBIT: year 1</t>
        </is>
      </c>
      <c r="B45" s="154">
        <f>B25*B40+B7</f>
        <v/>
      </c>
      <c r="C45" s="154">
        <f>C25*C40+C7</f>
        <v/>
      </c>
      <c r="D45" s="154">
        <f>D25*D40+D7</f>
        <v/>
      </c>
      <c r="E45" s="138" t="n"/>
      <c r="F45" s="147" t="inlineStr">
        <is>
          <t>Revenue times margin: year one adds tariff refund.</t>
        </is>
      </c>
      <c r="G45" s="42" t="n"/>
      <c r="H45" s="42" t="n"/>
    </row>
    <row r="46">
      <c r="A46" s="153" t="inlineStr">
        <is>
          <t>EBIT: year 2</t>
        </is>
      </c>
      <c r="B46" s="154">
        <f>B26*B41</f>
        <v/>
      </c>
      <c r="C46" s="154">
        <f>C26*C41</f>
        <v/>
      </c>
      <c r="D46" s="154">
        <f>D26*D41</f>
        <v/>
      </c>
      <c r="E46" s="138" t="n"/>
      <c r="F46" s="138" t="n"/>
      <c r="G46" s="42" t="n"/>
      <c r="H46" s="42" t="n"/>
    </row>
    <row r="47">
      <c r="A47" s="153" t="inlineStr">
        <is>
          <t>EBIT: year 3</t>
        </is>
      </c>
      <c r="B47" s="154">
        <f>B27*B42</f>
        <v/>
      </c>
      <c r="C47" s="154">
        <f>C27*C42</f>
        <v/>
      </c>
      <c r="D47" s="154">
        <f>D27*D42</f>
        <v/>
      </c>
      <c r="E47" s="138" t="n"/>
      <c r="F47" s="138" t="n"/>
      <c r="G47" s="42" t="n"/>
      <c r="H47" s="42" t="n"/>
    </row>
    <row r="48">
      <c r="A48" s="153" t="inlineStr">
        <is>
          <t>EBIT: year 4</t>
        </is>
      </c>
      <c r="B48" s="154">
        <f>B28*B43</f>
        <v/>
      </c>
      <c r="C48" s="154">
        <f>C28*C43</f>
        <v/>
      </c>
      <c r="D48" s="154">
        <f>D28*D43</f>
        <v/>
      </c>
      <c r="E48" s="138" t="n"/>
      <c r="F48" s="138" t="n"/>
      <c r="G48" s="42" t="n"/>
      <c r="H48" s="42" t="n"/>
    </row>
    <row r="49">
      <c r="A49" s="153" t="inlineStr">
        <is>
          <t>EBIT: year 5</t>
        </is>
      </c>
      <c r="B49" s="154">
        <f>B29*B44</f>
        <v/>
      </c>
      <c r="C49" s="154">
        <f>C29*C44</f>
        <v/>
      </c>
      <c r="D49" s="154">
        <f>D29*D44</f>
        <v/>
      </c>
      <c r="E49" s="138" t="n"/>
      <c r="F49" s="138" t="n"/>
      <c r="G49" s="42" t="n"/>
      <c r="H49" s="42" t="n"/>
    </row>
    <row r="50">
      <c r="A50" s="153" t="inlineStr">
        <is>
          <t>NOPAT: year 1</t>
        </is>
      </c>
      <c r="B50" s="154">
        <f>B45*(1-$C$11)</f>
        <v/>
      </c>
      <c r="C50" s="154">
        <f>C45*(1-$C$11)</f>
        <v/>
      </c>
      <c r="D50" s="154">
        <f>D45*(1-$C$11)</f>
        <v/>
      </c>
      <c r="E50" s="138" t="n"/>
      <c r="F50" s="147" t="inlineStr">
        <is>
          <t>EBIT taxed at flat cash rate each year.</t>
        </is>
      </c>
      <c r="G50" s="42" t="n"/>
      <c r="H50" s="42" t="n"/>
    </row>
    <row r="51">
      <c r="A51" s="153" t="inlineStr">
        <is>
          <t>NOPAT: year 2</t>
        </is>
      </c>
      <c r="B51" s="154">
        <f>B46*(1-$C$11)</f>
        <v/>
      </c>
      <c r="C51" s="154">
        <f>C46*(1-$C$11)</f>
        <v/>
      </c>
      <c r="D51" s="154">
        <f>D46*(1-$C$11)</f>
        <v/>
      </c>
      <c r="E51" s="138" t="n"/>
      <c r="F51" s="138" t="n"/>
      <c r="G51" s="42" t="n"/>
      <c r="H51" s="42" t="n"/>
    </row>
    <row r="52">
      <c r="A52" s="153" t="inlineStr">
        <is>
          <t>NOPAT: year 3</t>
        </is>
      </c>
      <c r="B52" s="154">
        <f>B47*(1-$C$11)</f>
        <v/>
      </c>
      <c r="C52" s="154">
        <f>C47*(1-$C$11)</f>
        <v/>
      </c>
      <c r="D52" s="154">
        <f>D47*(1-$C$11)</f>
        <v/>
      </c>
      <c r="E52" s="138" t="n"/>
      <c r="F52" s="138" t="n"/>
      <c r="G52" s="42" t="n"/>
      <c r="H52" s="42" t="n"/>
    </row>
    <row r="53">
      <c r="A53" s="153" t="inlineStr">
        <is>
          <t>NOPAT: year 4</t>
        </is>
      </c>
      <c r="B53" s="154">
        <f>B48*(1-$C$11)</f>
        <v/>
      </c>
      <c r="C53" s="154">
        <f>C48*(1-$C$11)</f>
        <v/>
      </c>
      <c r="D53" s="154">
        <f>D48*(1-$C$11)</f>
        <v/>
      </c>
      <c r="E53" s="138" t="n"/>
      <c r="F53" s="138" t="n"/>
      <c r="G53" s="42" t="n"/>
      <c r="H53" s="42" t="n"/>
    </row>
    <row r="54">
      <c r="A54" s="153" t="inlineStr">
        <is>
          <t>NOPAT: year 5</t>
        </is>
      </c>
      <c r="B54" s="154">
        <f>B49*(1-$C$11)</f>
        <v/>
      </c>
      <c r="C54" s="154">
        <f>C49*(1-$C$11)</f>
        <v/>
      </c>
      <c r="D54" s="154">
        <f>D49*(1-$C$11)</f>
        <v/>
      </c>
      <c r="E54" s="138" t="n"/>
      <c r="F54" s="138" t="n"/>
      <c r="G54" s="42" t="n"/>
      <c r="H54" s="42" t="n"/>
    </row>
    <row r="55">
      <c r="A55" s="153" t="inlineStr">
        <is>
          <t>D&amp;A: year 1</t>
        </is>
      </c>
      <c r="B55" s="154">
        <f>B25*B12</f>
        <v/>
      </c>
      <c r="C55" s="154">
        <f>C25*C12</f>
        <v/>
      </c>
      <c r="D55" s="154">
        <f>D25*D12</f>
        <v/>
      </c>
      <c r="E55" s="138" t="n"/>
      <c r="F55" s="147" t="inlineStr">
        <is>
          <t>Scales upward with revenue at fixed percentage annually.</t>
        </is>
      </c>
      <c r="G55" s="42" t="n"/>
      <c r="H55" s="42" t="n"/>
    </row>
    <row r="56">
      <c r="A56" s="153" t="inlineStr">
        <is>
          <t>D&amp;A: year 2</t>
        </is>
      </c>
      <c r="B56" s="154">
        <f>B26*B12</f>
        <v/>
      </c>
      <c r="C56" s="154">
        <f>C26*C12</f>
        <v/>
      </c>
      <c r="D56" s="154">
        <f>D26*D12</f>
        <v/>
      </c>
      <c r="E56" s="138" t="n"/>
      <c r="F56" s="138" t="n"/>
      <c r="G56" s="42" t="n"/>
      <c r="H56" s="42" t="n"/>
    </row>
    <row r="57">
      <c r="A57" s="153" t="inlineStr">
        <is>
          <t>D&amp;A: year 3</t>
        </is>
      </c>
      <c r="B57" s="154">
        <f>B27*B12</f>
        <v/>
      </c>
      <c r="C57" s="154">
        <f>C27*C12</f>
        <v/>
      </c>
      <c r="D57" s="154">
        <f>D27*D12</f>
        <v/>
      </c>
      <c r="E57" s="138" t="n"/>
      <c r="F57" s="138" t="n"/>
      <c r="G57" s="42" t="n"/>
      <c r="H57" s="42" t="n"/>
    </row>
    <row r="58">
      <c r="A58" s="153" t="inlineStr">
        <is>
          <t>D&amp;A: year 4</t>
        </is>
      </c>
      <c r="B58" s="154">
        <f>B28*B12</f>
        <v/>
      </c>
      <c r="C58" s="154">
        <f>C28*C12</f>
        <v/>
      </c>
      <c r="D58" s="154">
        <f>D28*D12</f>
        <v/>
      </c>
      <c r="E58" s="138" t="n"/>
      <c r="F58" s="138" t="n"/>
      <c r="G58" s="42" t="n"/>
      <c r="H58" s="42" t="n"/>
    </row>
    <row r="59">
      <c r="A59" s="153" t="inlineStr">
        <is>
          <t>D&amp;A: year 5</t>
        </is>
      </c>
      <c r="B59" s="154">
        <f>B29*B12</f>
        <v/>
      </c>
      <c r="C59" s="154">
        <f>C29*C12</f>
        <v/>
      </c>
      <c r="D59" s="154">
        <f>D29*D12</f>
        <v/>
      </c>
      <c r="E59" s="138" t="n"/>
      <c r="F59" s="138" t="n"/>
      <c r="G59" s="42" t="n"/>
      <c r="H59" s="42" t="n"/>
    </row>
    <row r="60">
      <c r="A60" s="153" t="inlineStr">
        <is>
          <t>Capex: year 1</t>
        </is>
      </c>
      <c r="B60" s="154">
        <f>B25*B13</f>
        <v/>
      </c>
      <c r="C60" s="154">
        <f>C25*C13</f>
        <v/>
      </c>
      <c r="D60" s="154">
        <f>D25*D13</f>
        <v/>
      </c>
      <c r="E60" s="138" t="n"/>
      <c r="F60" s="147" t="inlineStr">
        <is>
          <t>Scales upward with revenue at fixed percentage annually.</t>
        </is>
      </c>
      <c r="G60" s="42" t="n"/>
      <c r="H60" s="42" t="n"/>
    </row>
    <row r="61">
      <c r="A61" s="153" t="inlineStr">
        <is>
          <t>Capex: year 2</t>
        </is>
      </c>
      <c r="B61" s="154">
        <f>B26*B13</f>
        <v/>
      </c>
      <c r="C61" s="154">
        <f>C26*C13</f>
        <v/>
      </c>
      <c r="D61" s="154">
        <f>D26*D13</f>
        <v/>
      </c>
      <c r="E61" s="138" t="n"/>
      <c r="F61" s="138" t="n"/>
      <c r="G61" s="42" t="n"/>
      <c r="H61" s="42" t="n"/>
    </row>
    <row r="62">
      <c r="A62" s="153" t="inlineStr">
        <is>
          <t>Capex: year 3</t>
        </is>
      </c>
      <c r="B62" s="154">
        <f>B27*B13</f>
        <v/>
      </c>
      <c r="C62" s="154">
        <f>C27*C13</f>
        <v/>
      </c>
      <c r="D62" s="154">
        <f>D27*D13</f>
        <v/>
      </c>
      <c r="E62" s="138" t="n"/>
      <c r="F62" s="138" t="n"/>
      <c r="G62" s="42" t="n"/>
      <c r="H62" s="42" t="n"/>
    </row>
    <row r="63">
      <c r="A63" s="153" t="inlineStr">
        <is>
          <t>Capex: year 4</t>
        </is>
      </c>
      <c r="B63" s="154">
        <f>B28*B13</f>
        <v/>
      </c>
      <c r="C63" s="154">
        <f>C28*C13</f>
        <v/>
      </c>
      <c r="D63" s="154">
        <f>D28*D13</f>
        <v/>
      </c>
      <c r="E63" s="138" t="n"/>
      <c r="F63" s="138" t="n"/>
      <c r="G63" s="42" t="n"/>
      <c r="H63" s="42" t="n"/>
    </row>
    <row r="64">
      <c r="A64" s="153" t="inlineStr">
        <is>
          <t>Capex: year 5</t>
        </is>
      </c>
      <c r="B64" s="154">
        <f>B29*B13</f>
        <v/>
      </c>
      <c r="C64" s="154">
        <f>C29*C13</f>
        <v/>
      </c>
      <c r="D64" s="154">
        <f>D29*D13</f>
        <v/>
      </c>
      <c r="E64" s="138" t="n"/>
      <c r="F64" s="138" t="n"/>
      <c r="G64" s="42" t="n"/>
      <c r="H64" s="42" t="n"/>
    </row>
    <row r="65">
      <c r="A65" s="153" t="inlineStr">
        <is>
          <t>DSO (days): year 1</t>
        </is>
      </c>
      <c r="B65" s="156">
        <f>B15</f>
        <v/>
      </c>
      <c r="C65" s="156">
        <f>C15</f>
        <v/>
      </c>
      <c r="D65" s="156">
        <f>D15</f>
        <v/>
      </c>
      <c r="E65" s="138" t="n"/>
      <c r="F65" s="147" t="inlineStr">
        <is>
          <t>Held flat at six days every forecast year.</t>
        </is>
      </c>
      <c r="G65" s="44" t="n"/>
      <c r="H65" s="44" t="n"/>
    </row>
    <row r="66">
      <c r="A66" s="153" t="inlineStr">
        <is>
          <t>DSO (days): year 2</t>
        </is>
      </c>
      <c r="B66" s="156">
        <f>B15</f>
        <v/>
      </c>
      <c r="C66" s="156">
        <f>C15</f>
        <v/>
      </c>
      <c r="D66" s="156">
        <f>D15</f>
        <v/>
      </c>
      <c r="E66" s="138" t="n"/>
      <c r="F66" s="138" t="n"/>
      <c r="G66" s="44" t="n"/>
      <c r="H66" s="44" t="n"/>
    </row>
    <row r="67">
      <c r="A67" s="153" t="inlineStr">
        <is>
          <t>DSO (days): year 3</t>
        </is>
      </c>
      <c r="B67" s="156">
        <f>B15</f>
        <v/>
      </c>
      <c r="C67" s="156">
        <f>C15</f>
        <v/>
      </c>
      <c r="D67" s="156">
        <f>D15</f>
        <v/>
      </c>
      <c r="E67" s="138" t="n"/>
      <c r="F67" s="138" t="n"/>
      <c r="G67" s="44" t="n"/>
      <c r="H67" s="44" t="n"/>
    </row>
    <row r="68">
      <c r="A68" s="153" t="inlineStr">
        <is>
          <t>DSO (days): year 4</t>
        </is>
      </c>
      <c r="B68" s="156">
        <f>B15</f>
        <v/>
      </c>
      <c r="C68" s="156">
        <f>C15</f>
        <v/>
      </c>
      <c r="D68" s="156">
        <f>D15</f>
        <v/>
      </c>
      <c r="E68" s="138" t="n"/>
      <c r="F68" s="138" t="n"/>
      <c r="G68" s="44" t="n"/>
      <c r="H68" s="44" t="n"/>
    </row>
    <row r="69">
      <c r="A69" s="153" t="inlineStr">
        <is>
          <t>DSO (days): year 5</t>
        </is>
      </c>
      <c r="B69" s="156">
        <f>B15</f>
        <v/>
      </c>
      <c r="C69" s="156">
        <f>C15</f>
        <v/>
      </c>
      <c r="D69" s="156">
        <f>D15</f>
        <v/>
      </c>
      <c r="E69" s="138" t="n"/>
      <c r="F69" s="138" t="n"/>
      <c r="G69" s="44" t="n"/>
      <c r="H69" s="44" t="n"/>
    </row>
    <row r="70">
      <c r="A70" s="153" t="inlineStr">
        <is>
          <t>Accounts receivable: year 1</t>
        </is>
      </c>
      <c r="B70" s="154">
        <f>(B65/365)*B25</f>
        <v/>
      </c>
      <c r="C70" s="154">
        <f>(C65/365)*C25</f>
        <v/>
      </c>
      <c r="D70" s="154">
        <f>(D65/365)*D25</f>
        <v/>
      </c>
      <c r="E70" s="138" t="n"/>
      <c r="F70" s="147" t="inlineStr">
        <is>
          <t>Tracks revenue changes while collection days stay flat.</t>
        </is>
      </c>
      <c r="G70" s="42" t="n"/>
      <c r="H70" s="42" t="n"/>
    </row>
    <row r="71">
      <c r="A71" s="153" t="inlineStr">
        <is>
          <t>Accounts receivable: year 2</t>
        </is>
      </c>
      <c r="B71" s="154">
        <f>(B66/365)*B26</f>
        <v/>
      </c>
      <c r="C71" s="154">
        <f>(C66/365)*C26</f>
        <v/>
      </c>
      <c r="D71" s="154">
        <f>(D66/365)*D26</f>
        <v/>
      </c>
      <c r="E71" s="138" t="n"/>
      <c r="F71" s="138" t="n"/>
      <c r="G71" s="42" t="n"/>
      <c r="H71" s="42" t="n"/>
    </row>
    <row r="72">
      <c r="A72" s="153" t="inlineStr">
        <is>
          <t>Accounts receivable: year 3</t>
        </is>
      </c>
      <c r="B72" s="154">
        <f>(B67/365)*B27</f>
        <v/>
      </c>
      <c r="C72" s="154">
        <f>(C67/365)*C27</f>
        <v/>
      </c>
      <c r="D72" s="154">
        <f>(D67/365)*D27</f>
        <v/>
      </c>
      <c r="E72" s="138" t="n"/>
      <c r="F72" s="138" t="n"/>
      <c r="G72" s="42" t="n"/>
      <c r="H72" s="42" t="n"/>
    </row>
    <row r="73">
      <c r="A73" s="153" t="inlineStr">
        <is>
          <t>Accounts receivable: year 4</t>
        </is>
      </c>
      <c r="B73" s="154">
        <f>(B68/365)*B28</f>
        <v/>
      </c>
      <c r="C73" s="154">
        <f>(C68/365)*C28</f>
        <v/>
      </c>
      <c r="D73" s="154">
        <f>(D68/365)*D28</f>
        <v/>
      </c>
      <c r="E73" s="138" t="n"/>
      <c r="F73" s="138" t="n"/>
      <c r="G73" s="42" t="n"/>
      <c r="H73" s="42" t="n"/>
    </row>
    <row r="74">
      <c r="A74" s="153" t="inlineStr">
        <is>
          <t>Accounts receivable: year 5</t>
        </is>
      </c>
      <c r="B74" s="154">
        <f>(B69/365)*B29</f>
        <v/>
      </c>
      <c r="C74" s="154">
        <f>(C69/365)*C29</f>
        <v/>
      </c>
      <c r="D74" s="154">
        <f>(D69/365)*D29</f>
        <v/>
      </c>
      <c r="E74" s="138" t="n"/>
      <c r="F74" s="138" t="n"/>
      <c r="G74" s="42" t="n"/>
      <c r="H74" s="42" t="n"/>
    </row>
    <row r="75">
      <c r="A75" s="153" t="inlineStr">
        <is>
          <t>DIO (days): year 1</t>
        </is>
      </c>
      <c r="B75" s="156">
        <f>B16-B17*1</f>
        <v/>
      </c>
      <c r="C75" s="156">
        <f>C16-C17*1</f>
        <v/>
      </c>
      <c r="D75" s="156">
        <f>D16-D17*1</f>
        <v/>
      </c>
      <c r="E75" s="138" t="n"/>
      <c r="F75" s="147" t="inlineStr">
        <is>
          <t>Falls one day per year across five years.</t>
        </is>
      </c>
      <c r="G75" s="44" t="n"/>
      <c r="H75" s="44" t="n"/>
    </row>
    <row r="76">
      <c r="A76" s="153" t="inlineStr">
        <is>
          <t>DIO (days): year 2</t>
        </is>
      </c>
      <c r="B76" s="156">
        <f>B16-B17*2</f>
        <v/>
      </c>
      <c r="C76" s="156">
        <f>C16-C17*2</f>
        <v/>
      </c>
      <c r="D76" s="156">
        <f>D16-D17*2</f>
        <v/>
      </c>
      <c r="E76" s="138" t="n"/>
      <c r="F76" s="138" t="n"/>
      <c r="G76" s="44" t="n"/>
      <c r="H76" s="44" t="n"/>
    </row>
    <row r="77">
      <c r="A77" s="153" t="inlineStr">
        <is>
          <t>DIO (days): year 3</t>
        </is>
      </c>
      <c r="B77" s="156">
        <f>B16-B17*3</f>
        <v/>
      </c>
      <c r="C77" s="156">
        <f>C16-C17*3</f>
        <v/>
      </c>
      <c r="D77" s="156">
        <f>D16-D17*3</f>
        <v/>
      </c>
      <c r="E77" s="138" t="n"/>
      <c r="F77" s="138" t="n"/>
      <c r="G77" s="44" t="n"/>
      <c r="H77" s="44" t="n"/>
    </row>
    <row r="78">
      <c r="A78" s="153" t="inlineStr">
        <is>
          <t>DIO (days): year 4</t>
        </is>
      </c>
      <c r="B78" s="156">
        <f>B16-B17*4</f>
        <v/>
      </c>
      <c r="C78" s="156">
        <f>C16-C17*4</f>
        <v/>
      </c>
      <c r="D78" s="156">
        <f>D16-D17*4</f>
        <v/>
      </c>
      <c r="E78" s="138" t="n"/>
      <c r="F78" s="138" t="n"/>
      <c r="G78" s="44" t="n"/>
      <c r="H78" s="44" t="n"/>
    </row>
    <row r="79">
      <c r="A79" s="153" t="inlineStr">
        <is>
          <t>DIO (days): year 5</t>
        </is>
      </c>
      <c r="B79" s="156">
        <f>B16-B17*5</f>
        <v/>
      </c>
      <c r="C79" s="156">
        <f>C16-C17*5</f>
        <v/>
      </c>
      <c r="D79" s="156">
        <f>D16-D17*5</f>
        <v/>
      </c>
      <c r="E79" s="138" t="n"/>
      <c r="F79" s="138" t="n"/>
      <c r="G79" s="44" t="n"/>
      <c r="H79" s="44" t="n"/>
    </row>
    <row r="80">
      <c r="A80" s="153" t="inlineStr">
        <is>
          <t>Inventories: year 1</t>
        </is>
      </c>
      <c r="B80" s="154">
        <f>(B75/365)*B35</f>
        <v/>
      </c>
      <c r="C80" s="154">
        <f>(C75/365)*C35</f>
        <v/>
      </c>
      <c r="D80" s="154">
        <f>(D75/365)*D35</f>
        <v/>
      </c>
      <c r="E80" s="138" t="n"/>
      <c r="F80" s="147" t="inlineStr">
        <is>
          <t>Declines with DIO days: grows with rising COGS.</t>
        </is>
      </c>
      <c r="G80" s="42" t="n"/>
      <c r="H80" s="42" t="n"/>
    </row>
    <row r="81">
      <c r="A81" s="153" t="inlineStr">
        <is>
          <t>Inventories: year 2</t>
        </is>
      </c>
      <c r="B81" s="154">
        <f>(B76/365)*B36</f>
        <v/>
      </c>
      <c r="C81" s="154">
        <f>(C76/365)*C36</f>
        <v/>
      </c>
      <c r="D81" s="154">
        <f>(D76/365)*D36</f>
        <v/>
      </c>
      <c r="E81" s="138" t="n"/>
      <c r="F81" s="138" t="n"/>
      <c r="G81" s="42" t="n"/>
      <c r="H81" s="42" t="n"/>
    </row>
    <row r="82">
      <c r="A82" s="153" t="inlineStr">
        <is>
          <t>Inventories: year 3</t>
        </is>
      </c>
      <c r="B82" s="154">
        <f>(B77/365)*B37</f>
        <v/>
      </c>
      <c r="C82" s="154">
        <f>(C77/365)*C37</f>
        <v/>
      </c>
      <c r="D82" s="154">
        <f>(D77/365)*D37</f>
        <v/>
      </c>
      <c r="E82" s="138" t="n"/>
      <c r="F82" s="138" t="n"/>
      <c r="G82" s="42" t="n"/>
      <c r="H82" s="42" t="n"/>
    </row>
    <row r="83">
      <c r="A83" s="153" t="inlineStr">
        <is>
          <t>Inventories: year 4</t>
        </is>
      </c>
      <c r="B83" s="154">
        <f>(B78/365)*B38</f>
        <v/>
      </c>
      <c r="C83" s="154">
        <f>(C78/365)*C38</f>
        <v/>
      </c>
      <c r="D83" s="154">
        <f>(D78/365)*D38</f>
        <v/>
      </c>
      <c r="E83" s="138" t="n"/>
      <c r="F83" s="138" t="n"/>
      <c r="G83" s="42" t="n"/>
      <c r="H83" s="42" t="n"/>
    </row>
    <row r="84">
      <c r="A84" s="153" t="inlineStr">
        <is>
          <t>Inventories: year 5</t>
        </is>
      </c>
      <c r="B84" s="154">
        <f>(B79/365)*B39</f>
        <v/>
      </c>
      <c r="C84" s="154">
        <f>(C79/365)*C39</f>
        <v/>
      </c>
      <c r="D84" s="154">
        <f>(D79/365)*D39</f>
        <v/>
      </c>
      <c r="E84" s="138" t="n"/>
      <c r="F84" s="138" t="n"/>
      <c r="G84" s="42" t="n"/>
      <c r="H84" s="42" t="n"/>
    </row>
    <row r="85">
      <c r="A85" s="153" t="inlineStr">
        <is>
          <t>DPO (days): year 1</t>
        </is>
      </c>
      <c r="B85" s="156">
        <f>B18</f>
        <v/>
      </c>
      <c r="C85" s="156">
        <f>C18</f>
        <v/>
      </c>
      <c r="D85" s="156">
        <f>D18</f>
        <v/>
      </c>
      <c r="E85" s="138" t="n"/>
      <c r="F85" s="147" t="inlineStr">
        <is>
          <t>Held flat at twenty-five days every year.</t>
        </is>
      </c>
      <c r="G85" s="44" t="n"/>
      <c r="H85" s="44" t="n"/>
    </row>
    <row r="86">
      <c r="A86" s="153" t="inlineStr">
        <is>
          <t>DPO (days): year 2</t>
        </is>
      </c>
      <c r="B86" s="156">
        <f>B18</f>
        <v/>
      </c>
      <c r="C86" s="156">
        <f>C18</f>
        <v/>
      </c>
      <c r="D86" s="156">
        <f>D18</f>
        <v/>
      </c>
      <c r="E86" s="138" t="n"/>
      <c r="F86" s="138" t="n"/>
      <c r="G86" s="44" t="n"/>
      <c r="H86" s="44" t="n"/>
    </row>
    <row r="87">
      <c r="A87" s="153" t="inlineStr">
        <is>
          <t>DPO (days): year 3</t>
        </is>
      </c>
      <c r="B87" s="156">
        <f>B18</f>
        <v/>
      </c>
      <c r="C87" s="156">
        <f>C18</f>
        <v/>
      </c>
      <c r="D87" s="156">
        <f>D18</f>
        <v/>
      </c>
      <c r="E87" s="138" t="n"/>
      <c r="F87" s="138" t="n"/>
      <c r="G87" s="44" t="n"/>
      <c r="H87" s="44" t="n"/>
    </row>
    <row r="88">
      <c r="A88" s="153" t="inlineStr">
        <is>
          <t>DPO (days): year 4</t>
        </is>
      </c>
      <c r="B88" s="156">
        <f>B18</f>
        <v/>
      </c>
      <c r="C88" s="156">
        <f>C18</f>
        <v/>
      </c>
      <c r="D88" s="156">
        <f>D18</f>
        <v/>
      </c>
      <c r="E88" s="138" t="n"/>
      <c r="F88" s="138" t="n"/>
      <c r="G88" s="44" t="n"/>
      <c r="H88" s="44" t="n"/>
    </row>
    <row r="89">
      <c r="A89" s="153" t="inlineStr">
        <is>
          <t>DPO (days): year 5</t>
        </is>
      </c>
      <c r="B89" s="156">
        <f>B18</f>
        <v/>
      </c>
      <c r="C89" s="156">
        <f>C18</f>
        <v/>
      </c>
      <c r="D89" s="156">
        <f>D18</f>
        <v/>
      </c>
      <c r="E89" s="138" t="n"/>
      <c r="F89" s="138" t="n"/>
      <c r="G89" s="44" t="n"/>
      <c r="H89" s="44" t="n"/>
    </row>
    <row r="90">
      <c r="A90" s="153" t="inlineStr">
        <is>
          <t>Accounts payable: year 1</t>
        </is>
      </c>
      <c r="B90" s="154">
        <f>(B85/365)*B35</f>
        <v/>
      </c>
      <c r="C90" s="154">
        <f>(C85/365)*C35</f>
        <v/>
      </c>
      <c r="D90" s="154">
        <f>(D85/365)*D35</f>
        <v/>
      </c>
      <c r="E90" s="138" t="n"/>
      <c r="F90" s="147" t="inlineStr">
        <is>
          <t>Grows with COGS while payment days remain flat.</t>
        </is>
      </c>
      <c r="G90" s="42" t="n"/>
      <c r="H90" s="42" t="n"/>
    </row>
    <row r="91">
      <c r="A91" s="153" t="inlineStr">
        <is>
          <t>Accounts payable: year 2</t>
        </is>
      </c>
      <c r="B91" s="154">
        <f>(B86/365)*B36</f>
        <v/>
      </c>
      <c r="C91" s="154">
        <f>(C86/365)*C36</f>
        <v/>
      </c>
      <c r="D91" s="154">
        <f>(D86/365)*D36</f>
        <v/>
      </c>
      <c r="E91" s="138" t="n"/>
      <c r="F91" s="138" t="n"/>
      <c r="G91" s="42" t="n"/>
      <c r="H91" s="42" t="n"/>
    </row>
    <row r="92">
      <c r="A92" s="153" t="inlineStr">
        <is>
          <t>Accounts payable: year 3</t>
        </is>
      </c>
      <c r="B92" s="154">
        <f>(B87/365)*B37</f>
        <v/>
      </c>
      <c r="C92" s="154">
        <f>(C87/365)*C37</f>
        <v/>
      </c>
      <c r="D92" s="154">
        <f>(D87/365)*D37</f>
        <v/>
      </c>
      <c r="E92" s="138" t="n"/>
      <c r="F92" s="138" t="n"/>
      <c r="G92" s="42" t="n"/>
      <c r="H92" s="42" t="n"/>
    </row>
    <row r="93">
      <c r="A93" s="153" t="inlineStr">
        <is>
          <t>Accounts payable: year 4</t>
        </is>
      </c>
      <c r="B93" s="154">
        <f>(B88/365)*B38</f>
        <v/>
      </c>
      <c r="C93" s="154">
        <f>(C88/365)*C38</f>
        <v/>
      </c>
      <c r="D93" s="154">
        <f>(D88/365)*D38</f>
        <v/>
      </c>
      <c r="E93" s="138" t="n"/>
      <c r="F93" s="138" t="n"/>
      <c r="G93" s="42" t="n"/>
      <c r="H93" s="42" t="n"/>
    </row>
    <row r="94">
      <c r="A94" s="153" t="inlineStr">
        <is>
          <t>Accounts payable: year 5</t>
        </is>
      </c>
      <c r="B94" s="154">
        <f>(B89/365)*B39</f>
        <v/>
      </c>
      <c r="C94" s="154">
        <f>(C89/365)*C39</f>
        <v/>
      </c>
      <c r="D94" s="154">
        <f>(D89/365)*D39</f>
        <v/>
      </c>
      <c r="E94" s="138" t="n"/>
      <c r="F94" s="138" t="n"/>
      <c r="G94" s="42" t="n"/>
      <c r="H94" s="42" t="n"/>
    </row>
    <row r="95">
      <c r="A95" s="153" t="inlineStr">
        <is>
          <t>Prepaid expenses (other current assets): year 1</t>
        </is>
      </c>
      <c r="B95" s="154">
        <f>B25*B19</f>
        <v/>
      </c>
      <c r="C95" s="154">
        <f>C25*C19</f>
        <v/>
      </c>
      <c r="D95" s="154">
        <f>D25*D19</f>
        <v/>
      </c>
      <c r="E95" s="138" t="n"/>
      <c r="F95" s="147" t="inlineStr">
        <is>
          <t>Grows at flat percent of revenue yearly.</t>
        </is>
      </c>
      <c r="G95" s="42" t="n"/>
      <c r="H95" s="42" t="n"/>
    </row>
    <row r="96">
      <c r="A96" s="153" t="inlineStr">
        <is>
          <t>Prepaid expenses (other current assets): year 2</t>
        </is>
      </c>
      <c r="B96" s="154">
        <f>B26*B19</f>
        <v/>
      </c>
      <c r="C96" s="154">
        <f>C26*C19</f>
        <v/>
      </c>
      <c r="D96" s="154">
        <f>D26*D19</f>
        <v/>
      </c>
      <c r="E96" s="138" t="n"/>
      <c r="F96" s="138" t="n"/>
      <c r="G96" s="42" t="n"/>
      <c r="H96" s="42" t="n"/>
    </row>
    <row r="97">
      <c r="A97" s="153" t="inlineStr">
        <is>
          <t>Prepaid expenses (other current assets): year 3</t>
        </is>
      </c>
      <c r="B97" s="154">
        <f>B27*B19</f>
        <v/>
      </c>
      <c r="C97" s="154">
        <f>C27*C19</f>
        <v/>
      </c>
      <c r="D97" s="154">
        <f>D27*D19</f>
        <v/>
      </c>
      <c r="E97" s="138" t="n"/>
      <c r="F97" s="138" t="n"/>
      <c r="G97" s="42" t="n"/>
      <c r="H97" s="42" t="n"/>
    </row>
    <row r="98">
      <c r="A98" s="153" t="inlineStr">
        <is>
          <t>Prepaid expenses (other current assets): year 4</t>
        </is>
      </c>
      <c r="B98" s="154">
        <f>B28*B19</f>
        <v/>
      </c>
      <c r="C98" s="154">
        <f>C28*C19</f>
        <v/>
      </c>
      <c r="D98" s="154">
        <f>D28*D19</f>
        <v/>
      </c>
      <c r="E98" s="138" t="n"/>
      <c r="F98" s="138" t="n"/>
      <c r="G98" s="42" t="n"/>
      <c r="H98" s="42" t="n"/>
    </row>
    <row r="99">
      <c r="A99" s="153" t="inlineStr">
        <is>
          <t>Prepaid expenses (other current assets): year 5</t>
        </is>
      </c>
      <c r="B99" s="154">
        <f>B29*B19</f>
        <v/>
      </c>
      <c r="C99" s="154">
        <f>C29*C19</f>
        <v/>
      </c>
      <c r="D99" s="154">
        <f>D29*D19</f>
        <v/>
      </c>
      <c r="E99" s="138" t="n"/>
      <c r="F99" s="138" t="n"/>
      <c r="G99" s="42" t="n"/>
      <c r="H99" s="42" t="n"/>
    </row>
    <row r="100">
      <c r="A100" s="153" t="inlineStr">
        <is>
          <t>Accrued liabilities: year 1</t>
        </is>
      </c>
      <c r="B100" s="154">
        <f>B25*B20</f>
        <v/>
      </c>
      <c r="C100" s="154">
        <f>C25*C20</f>
        <v/>
      </c>
      <c r="D100" s="154">
        <f>D25*D20</f>
        <v/>
      </c>
      <c r="E100" s="138" t="n"/>
      <c r="F100" s="147" t="inlineStr">
        <is>
          <t>Grows at flat percent of revenue every year.</t>
        </is>
      </c>
      <c r="G100" s="42" t="n"/>
      <c r="H100" s="42" t="n"/>
    </row>
    <row r="101">
      <c r="A101" s="153" t="inlineStr">
        <is>
          <t>Accrued liabilities: year 2</t>
        </is>
      </c>
      <c r="B101" s="154">
        <f>B26*B20</f>
        <v/>
      </c>
      <c r="C101" s="154">
        <f>C26*C20</f>
        <v/>
      </c>
      <c r="D101" s="154">
        <f>D26*D20</f>
        <v/>
      </c>
      <c r="E101" s="138" t="n"/>
      <c r="F101" s="138" t="n"/>
      <c r="G101" s="42" t="n"/>
      <c r="H101" s="42" t="n"/>
    </row>
    <row r="102">
      <c r="A102" s="153" t="inlineStr">
        <is>
          <t>Accrued liabilities: year 3</t>
        </is>
      </c>
      <c r="B102" s="154">
        <f>B27*B20</f>
        <v/>
      </c>
      <c r="C102" s="154">
        <f>C27*C20</f>
        <v/>
      </c>
      <c r="D102" s="154">
        <f>D27*D20</f>
        <v/>
      </c>
      <c r="E102" s="138" t="n"/>
      <c r="F102" s="138" t="n"/>
      <c r="G102" s="42" t="n"/>
      <c r="H102" s="42" t="n"/>
    </row>
    <row r="103">
      <c r="A103" s="153" t="inlineStr">
        <is>
          <t>Accrued liabilities: year 4</t>
        </is>
      </c>
      <c r="B103" s="154">
        <f>B28*B20</f>
        <v/>
      </c>
      <c r="C103" s="154">
        <f>C28*C20</f>
        <v/>
      </c>
      <c r="D103" s="154">
        <f>D28*D20</f>
        <v/>
      </c>
      <c r="E103" s="138" t="n"/>
      <c r="F103" s="138" t="n"/>
      <c r="G103" s="42" t="n"/>
      <c r="H103" s="42" t="n"/>
    </row>
    <row r="104">
      <c r="A104" s="153" t="inlineStr">
        <is>
          <t>Accrued liabilities: year 5</t>
        </is>
      </c>
      <c r="B104" s="154">
        <f>B29*B20</f>
        <v/>
      </c>
      <c r="C104" s="154">
        <f>C29*C20</f>
        <v/>
      </c>
      <c r="D104" s="154">
        <f>D29*D20</f>
        <v/>
      </c>
      <c r="E104" s="138" t="n"/>
      <c r="F104" s="138" t="n"/>
      <c r="G104" s="42" t="n"/>
      <c r="H104" s="42" t="n"/>
    </row>
    <row r="105">
      <c r="A105" s="153" t="inlineStr">
        <is>
          <t>Current operating assets (AR + inv + prepaids): year 1</t>
        </is>
      </c>
      <c r="B105" s="154">
        <f>B70+B80+B95</f>
        <v/>
      </c>
      <c r="C105" s="154">
        <f>C70+C80+C95</f>
        <v/>
      </c>
      <c r="D105" s="154">
        <f>D70+D80+D95</f>
        <v/>
      </c>
      <c r="E105" s="138" t="n"/>
      <c r="F105" s="147" t="inlineStr">
        <is>
          <t>Rises as receivables, inventory, prepaids expand.</t>
        </is>
      </c>
      <c r="G105" s="42" t="n"/>
      <c r="H105" s="42" t="n"/>
    </row>
    <row r="106">
      <c r="A106" s="153" t="inlineStr">
        <is>
          <t>Current operating assets (AR + inv + prepaids): year 2</t>
        </is>
      </c>
      <c r="B106" s="154">
        <f>B71+B81+B96</f>
        <v/>
      </c>
      <c r="C106" s="154">
        <f>C71+C81+C96</f>
        <v/>
      </c>
      <c r="D106" s="154">
        <f>D71+D81+D96</f>
        <v/>
      </c>
      <c r="E106" s="138" t="n"/>
      <c r="F106" s="138" t="n"/>
      <c r="G106" s="42" t="n"/>
      <c r="H106" s="42" t="n"/>
    </row>
    <row r="107">
      <c r="A107" s="153" t="inlineStr">
        <is>
          <t>Current operating assets (AR + inv + prepaids): year 3</t>
        </is>
      </c>
      <c r="B107" s="154">
        <f>B72+B82+B97</f>
        <v/>
      </c>
      <c r="C107" s="154">
        <f>C72+C82+C97</f>
        <v/>
      </c>
      <c r="D107" s="154">
        <f>D72+D82+D97</f>
        <v/>
      </c>
      <c r="E107" s="138" t="n"/>
      <c r="F107" s="138" t="n"/>
      <c r="G107" s="42" t="n"/>
      <c r="H107" s="42" t="n"/>
    </row>
    <row r="108">
      <c r="A108" s="153" t="inlineStr">
        <is>
          <t>Current operating assets (AR + inv + prepaids): year 4</t>
        </is>
      </c>
      <c r="B108" s="154">
        <f>B73+B83+B98</f>
        <v/>
      </c>
      <c r="C108" s="154">
        <f>C73+C83+C98</f>
        <v/>
      </c>
      <c r="D108" s="154">
        <f>D73+D83+D98</f>
        <v/>
      </c>
      <c r="E108" s="138" t="n"/>
      <c r="F108" s="138" t="n"/>
      <c r="G108" s="42" t="n"/>
      <c r="H108" s="42" t="n"/>
    </row>
    <row r="109">
      <c r="A109" s="153" t="inlineStr">
        <is>
          <t>Current operating assets (AR + inv + prepaids): year 5</t>
        </is>
      </c>
      <c r="B109" s="154">
        <f>B74+B84+B99</f>
        <v/>
      </c>
      <c r="C109" s="154">
        <f>C74+C84+C99</f>
        <v/>
      </c>
      <c r="D109" s="154">
        <f>D74+D84+D99</f>
        <v/>
      </c>
      <c r="E109" s="138" t="n"/>
      <c r="F109" s="138" t="n"/>
      <c r="G109" s="42" t="n"/>
      <c r="H109" s="42" t="n"/>
    </row>
    <row r="110">
      <c r="A110" s="153" t="inlineStr">
        <is>
          <t>Current operating liabilities (AP + accruals): year 1</t>
        </is>
      </c>
      <c r="B110" s="154">
        <f>B90+B100</f>
        <v/>
      </c>
      <c r="C110" s="154">
        <f>C90+C100</f>
        <v/>
      </c>
      <c r="D110" s="154">
        <f>D90+D100</f>
        <v/>
      </c>
      <c r="E110" s="138" t="n"/>
      <c r="F110" s="147" t="inlineStr">
        <is>
          <t>Rises as payables and accruals grow with sales.</t>
        </is>
      </c>
      <c r="G110" s="42" t="n"/>
      <c r="H110" s="42" t="n"/>
    </row>
    <row r="111">
      <c r="A111" s="153" t="inlineStr">
        <is>
          <t>Current operating liabilities (AP + accruals): year 2</t>
        </is>
      </c>
      <c r="B111" s="154">
        <f>B91+B101</f>
        <v/>
      </c>
      <c r="C111" s="154">
        <f>C91+C101</f>
        <v/>
      </c>
      <c r="D111" s="154">
        <f>D91+D101</f>
        <v/>
      </c>
      <c r="E111" s="138" t="n"/>
      <c r="F111" s="138" t="n"/>
      <c r="G111" s="42" t="n"/>
      <c r="H111" s="42" t="n"/>
    </row>
    <row r="112">
      <c r="A112" s="153" t="inlineStr">
        <is>
          <t>Current operating liabilities (AP + accruals): year 3</t>
        </is>
      </c>
      <c r="B112" s="154">
        <f>B92+B102</f>
        <v/>
      </c>
      <c r="C112" s="154">
        <f>C92+C102</f>
        <v/>
      </c>
      <c r="D112" s="154">
        <f>D92+D102</f>
        <v/>
      </c>
      <c r="E112" s="138" t="n"/>
      <c r="F112" s="138" t="n"/>
      <c r="G112" s="42" t="n"/>
      <c r="H112" s="42" t="n"/>
    </row>
    <row r="113">
      <c r="A113" s="153" t="inlineStr">
        <is>
          <t>Current operating liabilities (AP + accruals): year 4</t>
        </is>
      </c>
      <c r="B113" s="154">
        <f>B93+B103</f>
        <v/>
      </c>
      <c r="C113" s="154">
        <f>C93+C103</f>
        <v/>
      </c>
      <c r="D113" s="154">
        <f>D93+D103</f>
        <v/>
      </c>
      <c r="E113" s="138" t="n"/>
      <c r="F113" s="138" t="n"/>
      <c r="G113" s="42" t="n"/>
      <c r="H113" s="42" t="n"/>
    </row>
    <row r="114">
      <c r="A114" s="153" t="inlineStr">
        <is>
          <t>Current operating liabilities (AP + accruals): year 5</t>
        </is>
      </c>
      <c r="B114" s="154">
        <f>B94+B104</f>
        <v/>
      </c>
      <c r="C114" s="154">
        <f>C94+C104</f>
        <v/>
      </c>
      <c r="D114" s="154">
        <f>D94+D104</f>
        <v/>
      </c>
      <c r="E114" s="138" t="n"/>
      <c r="F114" s="138" t="n"/>
      <c r="G114" s="42" t="n"/>
      <c r="H114" s="42" t="n"/>
    </row>
    <row r="115">
      <c r="A115" s="153" t="inlineStr">
        <is>
          <t>Net working capital: year 1</t>
        </is>
      </c>
      <c r="B115" s="154">
        <f>B105-B110</f>
        <v/>
      </c>
      <c r="C115" s="154">
        <f>C105-C110</f>
        <v/>
      </c>
      <c r="D115" s="154">
        <f>D105-D110</f>
        <v/>
      </c>
      <c r="E115" s="138" t="n"/>
      <c r="F115" s="147" t="inlineStr">
        <is>
          <t>Operating assets minus liabilities: level shifts yearly.</t>
        </is>
      </c>
      <c r="G115" s="42" t="n"/>
      <c r="H115" s="42" t="n"/>
    </row>
    <row r="116">
      <c r="A116" s="153" t="inlineStr">
        <is>
          <t>Net working capital: year 2</t>
        </is>
      </c>
      <c r="B116" s="154">
        <f>B106-B111</f>
        <v/>
      </c>
      <c r="C116" s="154">
        <f>C106-C111</f>
        <v/>
      </c>
      <c r="D116" s="154">
        <f>D106-D111</f>
        <v/>
      </c>
      <c r="E116" s="138" t="n"/>
      <c r="F116" s="138" t="n"/>
      <c r="G116" s="42" t="n"/>
      <c r="H116" s="42" t="n"/>
    </row>
    <row r="117">
      <c r="A117" s="153" t="inlineStr">
        <is>
          <t>Net working capital: year 3</t>
        </is>
      </c>
      <c r="B117" s="154">
        <f>B107-B112</f>
        <v/>
      </c>
      <c r="C117" s="154">
        <f>C107-C112</f>
        <v/>
      </c>
      <c r="D117" s="154">
        <f>D107-D112</f>
        <v/>
      </c>
      <c r="E117" s="138" t="n"/>
      <c r="F117" s="138" t="n"/>
      <c r="G117" s="42" t="n"/>
      <c r="H117" s="42" t="n"/>
    </row>
    <row r="118">
      <c r="A118" s="153" t="inlineStr">
        <is>
          <t>Net working capital: year 4</t>
        </is>
      </c>
      <c r="B118" s="154">
        <f>B108-B113</f>
        <v/>
      </c>
      <c r="C118" s="154">
        <f>C108-C113</f>
        <v/>
      </c>
      <c r="D118" s="154">
        <f>D108-D113</f>
        <v/>
      </c>
      <c r="E118" s="138" t="n"/>
      <c r="F118" s="138" t="n"/>
      <c r="G118" s="42" t="n"/>
      <c r="H118" s="42" t="n"/>
    </row>
    <row r="119">
      <c r="A119" s="153" t="inlineStr">
        <is>
          <t>Net working capital: year 5</t>
        </is>
      </c>
      <c r="B119" s="154">
        <f>B109-B114</f>
        <v/>
      </c>
      <c r="C119" s="154">
        <f>C109-C114</f>
        <v/>
      </c>
      <c r="D119" s="154">
        <f>D109-D114</f>
        <v/>
      </c>
      <c r="E119" s="138" t="n"/>
      <c r="F119" s="138" t="n"/>
      <c r="G119" s="42" t="n"/>
      <c r="H119" s="42" t="n"/>
    </row>
    <row r="120">
      <c r="A120" s="153" t="inlineStr">
        <is>
          <t>ΔNWC (prior yr minus current yr): year 1</t>
        </is>
      </c>
      <c r="B120" s="154">
        <f>DCF!$E$32-B115</f>
        <v/>
      </c>
      <c r="C120" s="154">
        <f>DCF!$E$32-C115</f>
        <v/>
      </c>
      <c r="D120" s="154">
        <f>DCF!$E$32-D115</f>
        <v/>
      </c>
      <c r="E120" s="138" t="n"/>
      <c r="F120" s="147" t="inlineStr">
        <is>
          <t>Prior minus current NWC: positive releases cash.</t>
        </is>
      </c>
      <c r="G120" s="42" t="n"/>
      <c r="H120" s="42" t="n"/>
    </row>
    <row r="121">
      <c r="A121" s="153" t="inlineStr">
        <is>
          <t>ΔNWC (prior yr: prior yr minus current yr): year 2</t>
        </is>
      </c>
      <c r="B121" s="154">
        <f>B115-B116</f>
        <v/>
      </c>
      <c r="C121" s="154">
        <f>C115-C116</f>
        <v/>
      </c>
      <c r="D121" s="154">
        <f>D115-D116</f>
        <v/>
      </c>
      <c r="E121" s="138" t="n"/>
      <c r="F121" s="138" t="n"/>
      <c r="G121" s="42" t="n"/>
      <c r="H121" s="42" t="n"/>
    </row>
    <row r="122">
      <c r="A122" s="153" t="inlineStr">
        <is>
          <t>ΔNWC (prior yr: prior yr minus current yr): year 3</t>
        </is>
      </c>
      <c r="B122" s="154">
        <f>B116-B117</f>
        <v/>
      </c>
      <c r="C122" s="154">
        <f>C116-C117</f>
        <v/>
      </c>
      <c r="D122" s="154">
        <f>D116-D117</f>
        <v/>
      </c>
      <c r="E122" s="138" t="n"/>
      <c r="F122" s="138" t="n"/>
      <c r="G122" s="42" t="n"/>
      <c r="H122" s="42" t="n"/>
    </row>
    <row r="123">
      <c r="A123" s="153" t="inlineStr">
        <is>
          <t>ΔNWC (prior yr: prior yr minus current yr): year 4</t>
        </is>
      </c>
      <c r="B123" s="154">
        <f>B117-B118</f>
        <v/>
      </c>
      <c r="C123" s="154">
        <f>C117-C118</f>
        <v/>
      </c>
      <c r="D123" s="154">
        <f>D117-D118</f>
        <v/>
      </c>
      <c r="E123" s="138" t="n"/>
      <c r="F123" s="138" t="n"/>
      <c r="G123" s="42" t="n"/>
      <c r="H123" s="42" t="n"/>
    </row>
    <row r="124">
      <c r="A124" s="153" t="inlineStr">
        <is>
          <t>ΔNWC (prior yr: prior yr minus current yr): year 5</t>
        </is>
      </c>
      <c r="B124" s="154">
        <f>B118-B119</f>
        <v/>
      </c>
      <c r="C124" s="154">
        <f>C118-C119</f>
        <v/>
      </c>
      <c r="D124" s="154">
        <f>D118-D119</f>
        <v/>
      </c>
      <c r="E124" s="138" t="n"/>
      <c r="F124" s="138" t="n"/>
      <c r="G124" s="42" t="n"/>
      <c r="H124" s="42" t="n"/>
    </row>
    <row r="125">
      <c r="A125" s="153" t="inlineStr">
        <is>
          <t>Unlevered FCF: year 1</t>
        </is>
      </c>
      <c r="B125" s="154">
        <f>B50+B55-B60+B120</f>
        <v/>
      </c>
      <c r="C125" s="154">
        <f>C50+C55-C60+C120</f>
        <v/>
      </c>
      <c r="D125" s="154">
        <f>D50+D55-D60+D120</f>
        <v/>
      </c>
      <c r="E125" s="138" t="n"/>
      <c r="F125" s="147" t="inlineStr">
        <is>
          <t>NOPAT plus depreciation minus capex plus working capital.</t>
        </is>
      </c>
      <c r="G125" s="42" t="n"/>
      <c r="H125" s="42" t="n"/>
    </row>
    <row r="126">
      <c r="A126" s="153" t="inlineStr">
        <is>
          <t>Unlevered FCF: year 2</t>
        </is>
      </c>
      <c r="B126" s="154">
        <f>B51+B56-B61+B121</f>
        <v/>
      </c>
      <c r="C126" s="154">
        <f>C51+C56-C61+C121</f>
        <v/>
      </c>
      <c r="D126" s="154">
        <f>D51+D56-D61+D121</f>
        <v/>
      </c>
      <c r="E126" s="138" t="n"/>
      <c r="F126" s="138" t="n"/>
      <c r="G126" s="42" t="n"/>
      <c r="H126" s="42" t="n"/>
    </row>
    <row r="127">
      <c r="A127" s="153" t="inlineStr">
        <is>
          <t>Unlevered FCF: year 3</t>
        </is>
      </c>
      <c r="B127" s="154">
        <f>B52+B57-B62+B122</f>
        <v/>
      </c>
      <c r="C127" s="154">
        <f>C52+C57-C62+C122</f>
        <v/>
      </c>
      <c r="D127" s="154">
        <f>D52+D57-D62+D122</f>
        <v/>
      </c>
      <c r="E127" s="138" t="n"/>
      <c r="F127" s="138" t="n"/>
      <c r="G127" s="42" t="n"/>
      <c r="H127" s="42" t="n"/>
    </row>
    <row r="128">
      <c r="A128" s="153" t="inlineStr">
        <is>
          <t>Unlevered FCF: year 4</t>
        </is>
      </c>
      <c r="B128" s="154">
        <f>B53+B58-B63+B123</f>
        <v/>
      </c>
      <c r="C128" s="154">
        <f>C53+C58-C63+C123</f>
        <v/>
      </c>
      <c r="D128" s="154">
        <f>D53+D58-D63+D123</f>
        <v/>
      </c>
      <c r="E128" s="138" t="n"/>
      <c r="F128" s="138" t="n"/>
      <c r="G128" s="42" t="n"/>
      <c r="H128" s="42" t="n"/>
    </row>
    <row r="129">
      <c r="A129" s="153" t="inlineStr">
        <is>
          <t>Unlevered FCF: year 5</t>
        </is>
      </c>
      <c r="B129" s="154">
        <f>B54+B59-B64+B124</f>
        <v/>
      </c>
      <c r="C129" s="154">
        <f>C54+C59-C64+C124</f>
        <v/>
      </c>
      <c r="D129" s="154">
        <f>D54+D59-D64+D124</f>
        <v/>
      </c>
      <c r="E129" s="138" t="n"/>
      <c r="F129" s="138" t="n"/>
      <c r="G129" s="42" t="n"/>
      <c r="H129" s="42" t="n"/>
    </row>
    <row r="130">
      <c r="A130" s="138" t="n"/>
      <c r="B130" s="138" t="n"/>
      <c r="C130" s="138" t="n"/>
      <c r="D130" s="138" t="n"/>
      <c r="E130" s="138" t="n"/>
      <c r="F130" s="138" t="n"/>
    </row>
    <row r="131">
      <c r="A131" s="157" t="inlineStr">
        <is>
          <t>Enterprise value (DCF)</t>
        </is>
      </c>
      <c r="B131" s="158">
        <f>NPV(B9,B125,B126,B127,B128,B129)+(B129*(1+B10)/(B9-B10))/(1+B9)^5</f>
        <v/>
      </c>
      <c r="C131" s="158">
        <f>NPV(C9,C125,C126,C127,C128,C129)+(C129*(1+C10)/(C9-C10))/(1+C9)^5</f>
        <v/>
      </c>
      <c r="D131" s="158">
        <f>NPV(D9,D125,D126,D127,D128,D129)+(D129*(1+D10)/(D9-D10))/(1+D9)^5</f>
        <v/>
      </c>
      <c r="E131" s="138" t="n"/>
      <c r="F131" s="138" t="n"/>
      <c r="G131" s="25" t="n"/>
      <c r="H131" s="25" t="n"/>
    </row>
    <row r="132">
      <c r="A132" s="159" t="inlineStr">
        <is>
          <t>Implied share price</t>
        </is>
      </c>
      <c r="B132" s="160">
        <f>(B131+DCF!$E$50+DCF!$E$51)/DCF!$E$55</f>
        <v/>
      </c>
      <c r="C132" s="161">
        <f>(C131+DCF!$E$50+DCF!$E$51)/DCF!$E$55</f>
        <v/>
      </c>
      <c r="D132" s="160">
        <f>(D131+DCF!$E$50+DCF!$E$51)/DCF!$E$55</f>
        <v/>
      </c>
      <c r="E132" s="138" t="n"/>
      <c r="F132" s="138" t="n"/>
      <c r="G132" s="47" t="n"/>
      <c r="H132" s="46" t="n"/>
    </row>
    <row r="133">
      <c r="A133" s="157" t="inlineStr">
        <is>
          <t>Upside / (downside) vs current</t>
        </is>
      </c>
      <c r="B133" s="162">
        <f>B132/100.0-1</f>
        <v/>
      </c>
      <c r="C133" s="162">
        <f>C132/100.0-1</f>
        <v/>
      </c>
      <c r="D133" s="162">
        <f>D132/100.0-1</f>
        <v/>
      </c>
      <c r="E133" s="138" t="n"/>
      <c r="F133" s="138" t="n"/>
      <c r="G133" s="48" t="n"/>
      <c r="H133" s="48" t="n"/>
    </row>
    <row r="134">
      <c r="A134" s="138" t="n"/>
      <c r="B134" s="138" t="n"/>
      <c r="C134" s="138" t="n"/>
      <c r="D134" s="138" t="n"/>
      <c r="E134" s="138" t="n"/>
      <c r="F134" s="138" t="n"/>
    </row>
    <row r="135">
      <c r="A135" s="163" t="inlineStr">
        <is>
          <t>Current price $100.00; cash $1,807,202 k; lease debt $1,798,441 k; funded debt $0; net cash $8,761 k.</t>
        </is>
      </c>
      <c r="B135" s="138" t="n"/>
      <c r="C135" s="138" t="n"/>
      <c r="D135" s="138" t="n"/>
      <c r="E135" s="138" t="n"/>
      <c r="F135" s="138" t="n"/>
    </row>
    <row r="136">
      <c r="A136" s="138" t="n"/>
      <c r="B136" s="138" t="n"/>
      <c r="C136" s="138" t="n"/>
      <c r="D136" s="138" t="n"/>
      <c r="E136" s="138" t="n"/>
      <c r="F136" s="138" t="n"/>
    </row>
    <row r="137">
      <c r="A137" s="142" t="inlineStr">
        <is>
          <t>Pitch deck bridge (IS / CFS / BS)</t>
        </is>
      </c>
      <c r="B137" s="138" t="n"/>
      <c r="C137" s="138" t="n"/>
      <c r="D137" s="138" t="n"/>
      <c r="E137" s="138" t="n"/>
      <c r="F137" s="138" t="n"/>
    </row>
    <row r="138">
      <c r="A138" s="153" t="inlineStr">
        <is>
          <t>Other income: year 1</t>
        </is>
      </c>
      <c r="B138" s="154" t="n">
        <v>45000</v>
      </c>
      <c r="C138" s="154" t="n">
        <v>45000</v>
      </c>
      <c r="D138" s="154" t="n">
        <v>45000</v>
      </c>
      <c r="E138" s="138" t="n"/>
      <c r="F138" s="138" t="n"/>
      <c r="G138" s="42" t="n"/>
      <c r="H138" s="42" t="n"/>
    </row>
    <row r="139">
      <c r="A139" s="153" t="inlineStr">
        <is>
          <t>Other income: year 2</t>
        </is>
      </c>
      <c r="B139" s="154" t="n">
        <v>40000</v>
      </c>
      <c r="C139" s="154" t="n">
        <v>40000</v>
      </c>
      <c r="D139" s="154" t="n">
        <v>40000</v>
      </c>
      <c r="E139" s="138" t="n"/>
      <c r="F139" s="138" t="n"/>
      <c r="G139" s="42" t="n"/>
      <c r="H139" s="42" t="n"/>
    </row>
    <row r="140">
      <c r="A140" s="153" t="inlineStr">
        <is>
          <t>Other income: year 3</t>
        </is>
      </c>
      <c r="B140" s="154" t="n">
        <v>35000</v>
      </c>
      <c r="C140" s="154" t="n">
        <v>35000</v>
      </c>
      <c r="D140" s="154" t="n">
        <v>35000</v>
      </c>
      <c r="E140" s="138" t="n"/>
      <c r="F140" s="138" t="n"/>
      <c r="G140" s="42" t="n"/>
      <c r="H140" s="42" t="n"/>
    </row>
    <row r="141">
      <c r="A141" s="153" t="inlineStr">
        <is>
          <t>Other income: year 4</t>
        </is>
      </c>
      <c r="B141" s="154" t="n">
        <v>30000</v>
      </c>
      <c r="C141" s="154" t="n">
        <v>30000</v>
      </c>
      <c r="D141" s="154" t="n">
        <v>30000</v>
      </c>
      <c r="E141" s="138" t="n"/>
      <c r="F141" s="138" t="n"/>
      <c r="G141" s="42" t="n"/>
      <c r="H141" s="42" t="n"/>
    </row>
    <row r="142">
      <c r="A142" s="153" t="inlineStr">
        <is>
          <t>Other income: year 5</t>
        </is>
      </c>
      <c r="B142" s="154" t="n">
        <v>25000</v>
      </c>
      <c r="C142" s="154" t="n">
        <v>25000</v>
      </c>
      <c r="D142" s="154" t="n">
        <v>25000</v>
      </c>
      <c r="E142" s="138" t="n"/>
      <c r="F142" s="138" t="n"/>
      <c r="G142" s="42" t="n"/>
      <c r="H142" s="42" t="n"/>
    </row>
    <row r="143">
      <c r="A143" s="153" t="inlineStr">
        <is>
          <t>Net income: year 1</t>
        </is>
      </c>
      <c r="B143" s="154">
        <f>(B45+B138)*(1-B11)</f>
        <v/>
      </c>
      <c r="C143" s="154">
        <f>(C45+C138)*(1-C11)</f>
        <v/>
      </c>
      <c r="D143" s="154">
        <f>(D45+D138)*(1-D11)</f>
        <v/>
      </c>
      <c r="E143" s="138" t="n"/>
      <c r="F143" s="138" t="n"/>
      <c r="G143" s="42" t="n"/>
      <c r="H143" s="42" t="n"/>
    </row>
    <row r="144">
      <c r="A144" s="153" t="inlineStr">
        <is>
          <t>Net income: year 2</t>
        </is>
      </c>
      <c r="B144" s="154">
        <f>(B46+B139)*(1-B11)</f>
        <v/>
      </c>
      <c r="C144" s="154">
        <f>(C46+C139)*(1-C11)</f>
        <v/>
      </c>
      <c r="D144" s="154">
        <f>(D46+D139)*(1-D11)</f>
        <v/>
      </c>
      <c r="E144" s="138" t="n"/>
      <c r="F144" s="138" t="n"/>
      <c r="G144" s="42" t="n"/>
      <c r="H144" s="42" t="n"/>
    </row>
    <row r="145">
      <c r="A145" s="153" t="inlineStr">
        <is>
          <t>Net income: year 3</t>
        </is>
      </c>
      <c r="B145" s="154">
        <f>(B47+B140)*(1-B11)</f>
        <v/>
      </c>
      <c r="C145" s="154">
        <f>(C47+C140)*(1-C11)</f>
        <v/>
      </c>
      <c r="D145" s="154">
        <f>(D47+D140)*(1-D11)</f>
        <v/>
      </c>
      <c r="E145" s="138" t="n"/>
      <c r="F145" s="138" t="n"/>
      <c r="G145" s="42" t="n"/>
      <c r="H145" s="42" t="n"/>
    </row>
    <row r="146">
      <c r="A146" s="153" t="inlineStr">
        <is>
          <t>Net income: year 4</t>
        </is>
      </c>
      <c r="B146" s="154">
        <f>(B48+B141)*(1-B11)</f>
        <v/>
      </c>
      <c r="C146" s="154">
        <f>(C48+C141)*(1-C11)</f>
        <v/>
      </c>
      <c r="D146" s="154">
        <f>(D48+D141)*(1-D11)</f>
        <v/>
      </c>
      <c r="E146" s="138" t="n"/>
      <c r="F146" s="138" t="n"/>
      <c r="G146" s="42" t="n"/>
      <c r="H146" s="42" t="n"/>
    </row>
    <row r="147">
      <c r="A147" s="153" t="inlineStr">
        <is>
          <t>Net income: year 5</t>
        </is>
      </c>
      <c r="B147" s="154">
        <f>(B49+B142)*(1-B11)</f>
        <v/>
      </c>
      <c r="C147" s="154">
        <f>(C49+C142)*(1-C11)</f>
        <v/>
      </c>
      <c r="D147" s="154">
        <f>(D49+D142)*(1-D11)</f>
        <v/>
      </c>
      <c r="E147" s="138" t="n"/>
      <c r="F147" s="138" t="n"/>
      <c r="G147" s="42" t="n"/>
      <c r="H147" s="42" t="n"/>
    </row>
    <row r="148">
      <c r="A148" s="153" t="inlineStr">
        <is>
          <t>Cash from operations: year 1</t>
        </is>
      </c>
      <c r="B148" s="154">
        <f>B143+B55+B120</f>
        <v/>
      </c>
      <c r="C148" s="154">
        <f>C143+C55+C120</f>
        <v/>
      </c>
      <c r="D148" s="154">
        <f>D143+D55+D120</f>
        <v/>
      </c>
      <c r="E148" s="138" t="n"/>
      <c r="F148" s="138" t="n"/>
      <c r="G148" s="42" t="n"/>
      <c r="H148" s="42" t="n"/>
    </row>
    <row r="149">
      <c r="A149" s="153" t="inlineStr">
        <is>
          <t>Cash from operations: year 2</t>
        </is>
      </c>
      <c r="B149" s="154">
        <f>B144+B56+B121</f>
        <v/>
      </c>
      <c r="C149" s="154">
        <f>C144+C56+C121</f>
        <v/>
      </c>
      <c r="D149" s="154">
        <f>D144+D56+D121</f>
        <v/>
      </c>
      <c r="E149" s="138" t="n"/>
      <c r="F149" s="138" t="n"/>
      <c r="G149" s="42" t="n"/>
      <c r="H149" s="42" t="n"/>
    </row>
    <row r="150">
      <c r="A150" s="153" t="inlineStr">
        <is>
          <t>Cash from operations: year 3</t>
        </is>
      </c>
      <c r="B150" s="154">
        <f>B145+B57+B122</f>
        <v/>
      </c>
      <c r="C150" s="154">
        <f>C145+C57+C122</f>
        <v/>
      </c>
      <c r="D150" s="154">
        <f>D145+D57+D122</f>
        <v/>
      </c>
      <c r="E150" s="138" t="n"/>
      <c r="F150" s="138" t="n"/>
      <c r="G150" s="42" t="n"/>
      <c r="H150" s="42" t="n"/>
    </row>
    <row r="151">
      <c r="A151" s="153" t="inlineStr">
        <is>
          <t>Cash from operations: year 4</t>
        </is>
      </c>
      <c r="B151" s="154">
        <f>B146+B58+B123</f>
        <v/>
      </c>
      <c r="C151" s="154">
        <f>C146+C58+C123</f>
        <v/>
      </c>
      <c r="D151" s="154">
        <f>D146+D58+D123</f>
        <v/>
      </c>
      <c r="E151" s="138" t="n"/>
      <c r="F151" s="138" t="n"/>
      <c r="G151" s="42" t="n"/>
      <c r="H151" s="42" t="n"/>
    </row>
    <row r="152">
      <c r="A152" s="153" t="inlineStr">
        <is>
          <t>Cash from operations: year 5</t>
        </is>
      </c>
      <c r="B152" s="154">
        <f>B147+B59+B124</f>
        <v/>
      </c>
      <c r="C152" s="154">
        <f>C147+C59+C124</f>
        <v/>
      </c>
      <c r="D152" s="154">
        <f>D147+D59+D124</f>
        <v/>
      </c>
      <c r="E152" s="138" t="n"/>
      <c r="F152" s="138" t="n"/>
      <c r="G152" s="42" t="n"/>
      <c r="H152" s="42" t="n"/>
    </row>
    <row r="153">
      <c r="A153" s="153" t="inlineStr">
        <is>
          <t>Free cash flow (CFS): year 1</t>
        </is>
      </c>
      <c r="B153" s="154">
        <f>B148-B60</f>
        <v/>
      </c>
      <c r="C153" s="154">
        <f>C148-C60</f>
        <v/>
      </c>
      <c r="D153" s="154">
        <f>D148-D60</f>
        <v/>
      </c>
      <c r="E153" s="138" t="n"/>
      <c r="F153" s="138" t="n"/>
      <c r="G153" s="42" t="n"/>
      <c r="H153" s="42" t="n"/>
    </row>
    <row r="154">
      <c r="A154" s="153" t="inlineStr">
        <is>
          <t>Free cash flow (CFS): year 2</t>
        </is>
      </c>
      <c r="B154" s="154">
        <f>B149-B61</f>
        <v/>
      </c>
      <c r="C154" s="154">
        <f>C149-C61</f>
        <v/>
      </c>
      <c r="D154" s="154">
        <f>D149-D61</f>
        <v/>
      </c>
      <c r="E154" s="138" t="n"/>
      <c r="F154" s="138" t="n"/>
      <c r="G154" s="42" t="n"/>
      <c r="H154" s="42" t="n"/>
    </row>
    <row r="155">
      <c r="A155" s="153" t="inlineStr">
        <is>
          <t>Free cash flow (CFS): year 3</t>
        </is>
      </c>
      <c r="B155" s="154">
        <f>B150-B62</f>
        <v/>
      </c>
      <c r="C155" s="154">
        <f>C150-C62</f>
        <v/>
      </c>
      <c r="D155" s="154">
        <f>D150-D62</f>
        <v/>
      </c>
      <c r="E155" s="138" t="n"/>
      <c r="F155" s="138" t="n"/>
      <c r="G155" s="42" t="n"/>
      <c r="H155" s="42" t="n"/>
    </row>
    <row r="156">
      <c r="A156" s="153" t="inlineStr">
        <is>
          <t>Free cash flow (CFS): year 4</t>
        </is>
      </c>
      <c r="B156" s="154">
        <f>B151-B63</f>
        <v/>
      </c>
      <c r="C156" s="154">
        <f>C151-C63</f>
        <v/>
      </c>
      <c r="D156" s="154">
        <f>D151-D63</f>
        <v/>
      </c>
      <c r="E156" s="138" t="n"/>
      <c r="F156" s="138" t="n"/>
      <c r="G156" s="42" t="n"/>
      <c r="H156" s="42" t="n"/>
    </row>
    <row r="157">
      <c r="A157" s="153" t="inlineStr">
        <is>
          <t>Free cash flow (CFS): year 5</t>
        </is>
      </c>
      <c r="B157" s="154">
        <f>B152-B64</f>
        <v/>
      </c>
      <c r="C157" s="154">
        <f>C152-C64</f>
        <v/>
      </c>
      <c r="D157" s="154">
        <f>D152-D64</f>
        <v/>
      </c>
      <c r="E157" s="138" t="n"/>
      <c r="F157" s="138" t="n"/>
      <c r="G157" s="42" t="n"/>
      <c r="H157" s="42" t="n"/>
    </row>
    <row r="158">
      <c r="A158" s="153" t="inlineStr">
        <is>
          <t>Share repurchases: year 1</t>
        </is>
      </c>
      <c r="B158" s="154">
        <f>-B21</f>
        <v/>
      </c>
      <c r="C158" s="154">
        <f>-C21</f>
        <v/>
      </c>
      <c r="D158" s="154">
        <f>-D22*D153</f>
        <v/>
      </c>
      <c r="E158" s="138" t="n"/>
      <c r="F158" s="138" t="n"/>
      <c r="G158" s="42" t="n"/>
      <c r="H158" s="42" t="n"/>
    </row>
    <row r="159">
      <c r="A159" s="153" t="inlineStr">
        <is>
          <t>Share repurchases: year 2</t>
        </is>
      </c>
      <c r="B159" s="154">
        <f>-B21</f>
        <v/>
      </c>
      <c r="C159" s="154">
        <f>-C21</f>
        <v/>
      </c>
      <c r="D159" s="154">
        <f>-D22*D154</f>
        <v/>
      </c>
      <c r="E159" s="138" t="n"/>
      <c r="F159" s="138" t="n"/>
      <c r="G159" s="42" t="n"/>
      <c r="H159" s="42" t="n"/>
    </row>
    <row r="160">
      <c r="A160" s="153" t="inlineStr">
        <is>
          <t>Share repurchases: year 3</t>
        </is>
      </c>
      <c r="B160" s="154">
        <f>-B21</f>
        <v/>
      </c>
      <c r="C160" s="154">
        <f>-C21</f>
        <v/>
      </c>
      <c r="D160" s="154">
        <f>-D22*D155</f>
        <v/>
      </c>
      <c r="E160" s="138" t="n"/>
      <c r="F160" s="138" t="n"/>
      <c r="G160" s="42" t="n"/>
      <c r="H160" s="42" t="n"/>
    </row>
    <row r="161">
      <c r="A161" s="153" t="inlineStr">
        <is>
          <t>Share repurchases: year 4</t>
        </is>
      </c>
      <c r="B161" s="154">
        <f>-B21</f>
        <v/>
      </c>
      <c r="C161" s="154">
        <f>-C21</f>
        <v/>
      </c>
      <c r="D161" s="154">
        <f>-D22*D156</f>
        <v/>
      </c>
      <c r="E161" s="138" t="n"/>
      <c r="F161" s="138" t="n"/>
      <c r="G161" s="42" t="n"/>
      <c r="H161" s="42" t="n"/>
    </row>
    <row r="162">
      <c r="A162" s="153" t="inlineStr">
        <is>
          <t>Share repurchases: year 5</t>
        </is>
      </c>
      <c r="B162" s="154">
        <f>-B21</f>
        <v/>
      </c>
      <c r="C162" s="154">
        <f>-C21</f>
        <v/>
      </c>
      <c r="D162" s="154">
        <f>-D22*D157</f>
        <v/>
      </c>
      <c r="E162" s="138" t="n"/>
      <c r="F162" s="138" t="n"/>
      <c r="G162" s="42" t="n"/>
      <c r="H162" s="42" t="n"/>
    </row>
    <row r="163">
      <c r="A163" s="153" t="inlineStr">
        <is>
          <t>Cash &amp; equivalents: year 1</t>
        </is>
      </c>
      <c r="B163" s="154">
        <f>DCF!$E$50+B153+B158</f>
        <v/>
      </c>
      <c r="C163" s="154">
        <f>DCF!$E$50+C153+C158</f>
        <v/>
      </c>
      <c r="D163" s="154">
        <f>DCF!$E$50+D153+D158</f>
        <v/>
      </c>
      <c r="E163" s="138" t="n"/>
      <c r="F163" s="138" t="n"/>
      <c r="G163" s="42" t="n"/>
      <c r="H163" s="42" t="n"/>
    </row>
    <row r="164">
      <c r="A164" s="153" t="inlineStr">
        <is>
          <t>Cash &amp; equivalents: year 2</t>
        </is>
      </c>
      <c r="B164" s="154">
        <f>B163+B154+B159</f>
        <v/>
      </c>
      <c r="C164" s="154">
        <f>C163+C154+C159</f>
        <v/>
      </c>
      <c r="D164" s="154">
        <f>D163+D154+D159</f>
        <v/>
      </c>
      <c r="E164" s="138" t="n"/>
      <c r="F164" s="138" t="n"/>
      <c r="G164" s="42" t="n"/>
      <c r="H164" s="42" t="n"/>
    </row>
    <row r="165">
      <c r="A165" s="153" t="inlineStr">
        <is>
          <t>Cash &amp; equivalents: year 3</t>
        </is>
      </c>
      <c r="B165" s="154">
        <f>B164+B155+B160</f>
        <v/>
      </c>
      <c r="C165" s="154">
        <f>C164+C155+C160</f>
        <v/>
      </c>
      <c r="D165" s="154">
        <f>D164+D155+D160</f>
        <v/>
      </c>
      <c r="E165" s="138" t="n"/>
      <c r="F165" s="138" t="n"/>
      <c r="G165" s="42" t="n"/>
      <c r="H165" s="42" t="n"/>
    </row>
    <row r="166">
      <c r="A166" s="153" t="inlineStr">
        <is>
          <t>Cash &amp; equivalents: year 4</t>
        </is>
      </c>
      <c r="B166" s="154">
        <f>B165+B156+B161</f>
        <v/>
      </c>
      <c r="C166" s="154">
        <f>C165+C156+C161</f>
        <v/>
      </c>
      <c r="D166" s="154">
        <f>D165+D156+D161</f>
        <v/>
      </c>
      <c r="E166" s="138" t="n"/>
      <c r="F166" s="138" t="n"/>
      <c r="G166" s="42" t="n"/>
      <c r="H166" s="42" t="n"/>
    </row>
    <row r="167">
      <c r="A167" s="153" t="inlineStr">
        <is>
          <t>Cash &amp; equivalents: year 5</t>
        </is>
      </c>
      <c r="B167" s="154">
        <f>B166+B157+B162</f>
        <v/>
      </c>
      <c r="C167" s="154">
        <f>C166+C157+C162</f>
        <v/>
      </c>
      <c r="D167" s="154">
        <f>D166+D157+D162</f>
        <v/>
      </c>
      <c r="E167" s="138" t="n"/>
      <c r="F167" s="138" t="n"/>
      <c r="G167" s="42" t="n"/>
      <c r="H167" s="42" t="n"/>
    </row>
    <row r="168">
      <c r="A168" s="153" t="inlineStr">
        <is>
          <t>Total assets: year 1</t>
        </is>
      </c>
      <c r="B168" s="154">
        <f>$B$194*B25/$B$198</f>
        <v/>
      </c>
      <c r="C168" s="154">
        <f>$B$194*C25/$B$198</f>
        <v/>
      </c>
      <c r="D168" s="154">
        <f>$B$194*D25/$B$198</f>
        <v/>
      </c>
      <c r="E168" s="138" t="n"/>
      <c r="F168" s="138" t="n"/>
      <c r="G168" s="42" t="n"/>
      <c r="H168" s="42" t="n"/>
    </row>
    <row r="169">
      <c r="A169" s="153" t="inlineStr">
        <is>
          <t>Total assets: year 2</t>
        </is>
      </c>
      <c r="B169" s="154">
        <f>$B$194*B26/$B$198</f>
        <v/>
      </c>
      <c r="C169" s="154">
        <f>$B$194*C26/$B$198</f>
        <v/>
      </c>
      <c r="D169" s="154">
        <f>$B$194*D26/$B$198</f>
        <v/>
      </c>
      <c r="E169" s="138" t="n"/>
      <c r="F169" s="138" t="n"/>
      <c r="G169" s="42" t="n"/>
      <c r="H169" s="42" t="n"/>
    </row>
    <row r="170">
      <c r="A170" s="153" t="inlineStr">
        <is>
          <t>Total assets: year 3</t>
        </is>
      </c>
      <c r="B170" s="154">
        <f>$B$194*B27/$B$198</f>
        <v/>
      </c>
      <c r="C170" s="154">
        <f>$B$194*C27/$B$198</f>
        <v/>
      </c>
      <c r="D170" s="154">
        <f>$B$194*D27/$B$198</f>
        <v/>
      </c>
      <c r="E170" s="138" t="n"/>
      <c r="F170" s="138" t="n"/>
      <c r="G170" s="42" t="n"/>
      <c r="H170" s="42" t="n"/>
    </row>
    <row r="171">
      <c r="A171" s="153" t="inlineStr">
        <is>
          <t>Total assets: year 4</t>
        </is>
      </c>
      <c r="B171" s="154">
        <f>$B$194*B28/$B$198</f>
        <v/>
      </c>
      <c r="C171" s="154">
        <f>$B$194*C28/$B$198</f>
        <v/>
      </c>
      <c r="D171" s="154">
        <f>$B$194*D28/$B$198</f>
        <v/>
      </c>
      <c r="E171" s="138" t="n"/>
      <c r="F171" s="138" t="n"/>
      <c r="G171" s="42" t="n"/>
      <c r="H171" s="42" t="n"/>
    </row>
    <row r="172">
      <c r="A172" s="153" t="inlineStr">
        <is>
          <t>Total assets: year 5</t>
        </is>
      </c>
      <c r="B172" s="154">
        <f>$B$194*B29/$B$198</f>
        <v/>
      </c>
      <c r="C172" s="154">
        <f>$B$194*C29/$B$198</f>
        <v/>
      </c>
      <c r="D172" s="154">
        <f>$B$194*D29/$B$198</f>
        <v/>
      </c>
      <c r="E172" s="138" t="n"/>
      <c r="F172" s="138" t="n"/>
      <c r="G172" s="42" t="n"/>
      <c r="H172" s="42" t="n"/>
    </row>
    <row r="173">
      <c r="A173" s="153" t="inlineStr">
        <is>
          <t>Total liabilities: year 1</t>
        </is>
      </c>
      <c r="B173" s="154">
        <f>$B$195*B25/$B$198</f>
        <v/>
      </c>
      <c r="C173" s="154">
        <f>$B$195*C25/$B$198</f>
        <v/>
      </c>
      <c r="D173" s="154">
        <f>$B$195*D25/$B$198</f>
        <v/>
      </c>
      <c r="E173" s="138" t="n"/>
      <c r="F173" s="138" t="n"/>
      <c r="G173" s="42" t="n"/>
      <c r="H173" s="42" t="n"/>
    </row>
    <row r="174">
      <c r="A174" s="153" t="inlineStr">
        <is>
          <t>Total liabilities: year 2</t>
        </is>
      </c>
      <c r="B174" s="154">
        <f>$B$195*B26/$B$198</f>
        <v/>
      </c>
      <c r="C174" s="154">
        <f>$B$195*C26/$B$198</f>
        <v/>
      </c>
      <c r="D174" s="154">
        <f>$B$195*D26/$B$198</f>
        <v/>
      </c>
      <c r="E174" s="138" t="n"/>
      <c r="F174" s="138" t="n"/>
      <c r="G174" s="42" t="n"/>
      <c r="H174" s="42" t="n"/>
    </row>
    <row r="175">
      <c r="A175" s="153" t="inlineStr">
        <is>
          <t>Total liabilities: year 3</t>
        </is>
      </c>
      <c r="B175" s="154">
        <f>$B$195*B27/$B$198</f>
        <v/>
      </c>
      <c r="C175" s="154">
        <f>$B$195*C27/$B$198</f>
        <v/>
      </c>
      <c r="D175" s="154">
        <f>$B$195*D27/$B$198</f>
        <v/>
      </c>
      <c r="E175" s="138" t="n"/>
      <c r="F175" s="138" t="n"/>
      <c r="G175" s="42" t="n"/>
      <c r="H175" s="42" t="n"/>
    </row>
    <row r="176">
      <c r="A176" s="153" t="inlineStr">
        <is>
          <t>Total liabilities: year 4</t>
        </is>
      </c>
      <c r="B176" s="154">
        <f>$B$195*B28/$B$198</f>
        <v/>
      </c>
      <c r="C176" s="154">
        <f>$B$195*C28/$B$198</f>
        <v/>
      </c>
      <c r="D176" s="154">
        <f>$B$195*D28/$B$198</f>
        <v/>
      </c>
      <c r="E176" s="138" t="n"/>
      <c r="F176" s="138" t="n"/>
      <c r="G176" s="42" t="n"/>
      <c r="H176" s="42" t="n"/>
    </row>
    <row r="177">
      <c r="A177" s="153" t="inlineStr">
        <is>
          <t>Total liabilities: year 5</t>
        </is>
      </c>
      <c r="B177" s="154">
        <f>$B$195*B29/$B$198</f>
        <v/>
      </c>
      <c r="C177" s="154">
        <f>$B$195*C29/$B$198</f>
        <v/>
      </c>
      <c r="D177" s="154">
        <f>$B$195*D29/$B$198</f>
        <v/>
      </c>
      <c r="E177" s="138" t="n"/>
      <c r="F177" s="138" t="n"/>
      <c r="G177" s="42" t="n"/>
      <c r="H177" s="42" t="n"/>
    </row>
    <row r="178">
      <c r="A178" s="153" t="inlineStr">
        <is>
          <t>Total equity: year 1</t>
        </is>
      </c>
      <c r="B178" s="154">
        <f>$B$196*B25/$B$198</f>
        <v/>
      </c>
      <c r="C178" s="154">
        <f>$B$196*C25/$B$198</f>
        <v/>
      </c>
      <c r="D178" s="154">
        <f>$B$196*D25/$B$198</f>
        <v/>
      </c>
      <c r="E178" s="138" t="n"/>
      <c r="F178" s="138" t="n"/>
      <c r="G178" s="42" t="n"/>
      <c r="H178" s="42" t="n"/>
    </row>
    <row r="179">
      <c r="A179" s="153" t="inlineStr">
        <is>
          <t>Total equity: year 2</t>
        </is>
      </c>
      <c r="B179" s="154">
        <f>$B$196*B26/$B$198</f>
        <v/>
      </c>
      <c r="C179" s="154">
        <f>$B$196*C26/$B$198</f>
        <v/>
      </c>
      <c r="D179" s="154">
        <f>$B$196*D26/$B$198</f>
        <v/>
      </c>
      <c r="E179" s="138" t="n"/>
      <c r="F179" s="138" t="n"/>
      <c r="G179" s="42" t="n"/>
      <c r="H179" s="42" t="n"/>
    </row>
    <row r="180">
      <c r="A180" s="153" t="inlineStr">
        <is>
          <t>Total equity: year 3</t>
        </is>
      </c>
      <c r="B180" s="154">
        <f>$B$196*B27/$B$198</f>
        <v/>
      </c>
      <c r="C180" s="154">
        <f>$B$196*C27/$B$198</f>
        <v/>
      </c>
      <c r="D180" s="154">
        <f>$B$196*D27/$B$198</f>
        <v/>
      </c>
      <c r="E180" s="138" t="n"/>
      <c r="F180" s="138" t="n"/>
      <c r="G180" s="42" t="n"/>
      <c r="H180" s="42" t="n"/>
    </row>
    <row r="181">
      <c r="A181" s="153" t="inlineStr">
        <is>
          <t>Total equity: year 4</t>
        </is>
      </c>
      <c r="B181" s="154">
        <f>$B$196*B28/$B$198</f>
        <v/>
      </c>
      <c r="C181" s="154">
        <f>$B$196*C28/$B$198</f>
        <v/>
      </c>
      <c r="D181" s="154">
        <f>$B$196*D28/$B$198</f>
        <v/>
      </c>
      <c r="E181" s="138" t="n"/>
      <c r="F181" s="138" t="n"/>
      <c r="G181" s="42" t="n"/>
      <c r="H181" s="42" t="n"/>
    </row>
    <row r="182">
      <c r="A182" s="153" t="inlineStr">
        <is>
          <t>Total equity: year 5</t>
        </is>
      </c>
      <c r="B182" s="154">
        <f>$B$196*B29/$B$198</f>
        <v/>
      </c>
      <c r="C182" s="154">
        <f>$B$196*C29/$B$198</f>
        <v/>
      </c>
      <c r="D182" s="154">
        <f>$B$196*D29/$B$198</f>
        <v/>
      </c>
      <c r="E182" s="138" t="n"/>
      <c r="F182" s="138" t="n"/>
      <c r="G182" s="42" t="n"/>
      <c r="H182" s="42" t="n"/>
    </row>
    <row r="183">
      <c r="A183" s="153" t="inlineStr">
        <is>
          <t>Diluted shares (000): year 1</t>
        </is>
      </c>
      <c r="B183" s="154">
        <f>$B$197-B21/100</f>
        <v/>
      </c>
      <c r="C183" s="154">
        <f>$B$197-C21/100</f>
        <v/>
      </c>
      <c r="D183" s="154">
        <f>$B$197-D22*D153/100</f>
        <v/>
      </c>
      <c r="E183" s="138" t="n"/>
      <c r="F183" s="138" t="n"/>
      <c r="G183" s="42" t="n"/>
      <c r="H183" s="42" t="n"/>
    </row>
    <row r="184">
      <c r="A184" s="153" t="inlineStr">
        <is>
          <t>Diluted shares (000): year 2</t>
        </is>
      </c>
      <c r="B184" s="154">
        <f>B183-B21/108</f>
        <v/>
      </c>
      <c r="C184" s="154">
        <f>C183-C21/108</f>
        <v/>
      </c>
      <c r="D184" s="154">
        <f>D183-D22*D154/108</f>
        <v/>
      </c>
      <c r="E184" s="138" t="n"/>
      <c r="F184" s="138" t="n"/>
      <c r="G184" s="42" t="n"/>
      <c r="H184" s="42" t="n"/>
    </row>
    <row r="185">
      <c r="A185" s="153" t="inlineStr">
        <is>
          <t>Diluted shares (000): year 3</t>
        </is>
      </c>
      <c r="B185" s="154">
        <f>B184-B21/115</f>
        <v/>
      </c>
      <c r="C185" s="154">
        <f>C184-C21/115</f>
        <v/>
      </c>
      <c r="D185" s="154">
        <f>D184-D22*D155/115</f>
        <v/>
      </c>
      <c r="E185" s="138" t="n"/>
      <c r="F185" s="138" t="n"/>
      <c r="G185" s="42" t="n"/>
      <c r="H185" s="42" t="n"/>
    </row>
    <row r="186">
      <c r="A186" s="153" t="inlineStr">
        <is>
          <t>Diluted shares (000): year 4</t>
        </is>
      </c>
      <c r="B186" s="154">
        <f>B185-B21/122</f>
        <v/>
      </c>
      <c r="C186" s="154">
        <f>C185-C21/122</f>
        <v/>
      </c>
      <c r="D186" s="154">
        <f>D185-D22*D156/122</f>
        <v/>
      </c>
      <c r="E186" s="138" t="n"/>
      <c r="F186" s="138" t="n"/>
      <c r="G186" s="42" t="n"/>
      <c r="H186" s="42" t="n"/>
    </row>
    <row r="187">
      <c r="A187" s="153" t="inlineStr">
        <is>
          <t>Diluted shares (000): year 5</t>
        </is>
      </c>
      <c r="B187" s="154">
        <f>B186-B21/130</f>
        <v/>
      </c>
      <c r="C187" s="154">
        <f>C186-C21/130</f>
        <v/>
      </c>
      <c r="D187" s="154">
        <f>D186-D22*D157/130</f>
        <v/>
      </c>
      <c r="E187" s="138" t="n"/>
      <c r="F187" s="138" t="n"/>
      <c r="G187" s="42" t="n"/>
      <c r="H187" s="42" t="n"/>
    </row>
    <row r="188">
      <c r="A188" s="153" t="inlineStr">
        <is>
          <t>Diluted EPS ($): year 1</t>
        </is>
      </c>
      <c r="B188" s="164">
        <f>B143/B183</f>
        <v/>
      </c>
      <c r="C188" s="164">
        <f>C143/C183</f>
        <v/>
      </c>
      <c r="D188" s="164">
        <f>D143/D183</f>
        <v/>
      </c>
      <c r="E188" s="138" t="n"/>
      <c r="F188" s="138" t="n"/>
      <c r="G188" s="49" t="n"/>
      <c r="H188" s="49" t="n"/>
    </row>
    <row r="189">
      <c r="A189" s="153" t="inlineStr">
        <is>
          <t>Diluted EPS ($): year 2</t>
        </is>
      </c>
      <c r="B189" s="164">
        <f>B144/B184</f>
        <v/>
      </c>
      <c r="C189" s="164">
        <f>C144/C184</f>
        <v/>
      </c>
      <c r="D189" s="164">
        <f>D144/D184</f>
        <v/>
      </c>
      <c r="E189" s="138" t="n"/>
      <c r="F189" s="138" t="n"/>
      <c r="G189" s="49" t="n"/>
      <c r="H189" s="49" t="n"/>
    </row>
    <row r="190">
      <c r="A190" s="153" t="inlineStr">
        <is>
          <t>Diluted EPS ($): year 3</t>
        </is>
      </c>
      <c r="B190" s="164">
        <f>B145/B185</f>
        <v/>
      </c>
      <c r="C190" s="164">
        <f>C145/C185</f>
        <v/>
      </c>
      <c r="D190" s="164">
        <f>D145/D185</f>
        <v/>
      </c>
      <c r="E190" s="138" t="n"/>
      <c r="F190" s="138" t="n"/>
      <c r="G190" s="49" t="n"/>
      <c r="H190" s="49" t="n"/>
    </row>
    <row r="191">
      <c r="A191" s="153" t="inlineStr">
        <is>
          <t>Diluted EPS ($): year 4</t>
        </is>
      </c>
      <c r="B191" s="164">
        <f>B146/B186</f>
        <v/>
      </c>
      <c r="C191" s="164">
        <f>C146/C186</f>
        <v/>
      </c>
      <c r="D191" s="164">
        <f>D146/D186</f>
        <v/>
      </c>
      <c r="E191" s="138" t="n"/>
      <c r="F191" s="138" t="n"/>
      <c r="G191" s="49" t="n"/>
      <c r="H191" s="49" t="n"/>
    </row>
    <row r="192">
      <c r="A192" s="153" t="inlineStr">
        <is>
          <t>Diluted EPS ($): year 5</t>
        </is>
      </c>
      <c r="B192" s="164">
        <f>B147/B187</f>
        <v/>
      </c>
      <c r="C192" s="164">
        <f>C147/C187</f>
        <v/>
      </c>
      <c r="D192" s="164">
        <f>D147/D187</f>
        <v/>
      </c>
      <c r="E192" s="138" t="n"/>
      <c r="F192" s="138" t="n"/>
      <c r="G192" s="49" t="n"/>
      <c r="H192" s="49" t="n"/>
    </row>
    <row r="193">
      <c r="A193" s="163" t="inlineStr">
        <is>
          <t>FY25 anchors (drivers — do not edit without source)</t>
        </is>
      </c>
      <c r="B193" s="138" t="n"/>
      <c r="C193" s="138" t="n"/>
      <c r="D193" s="138" t="n"/>
      <c r="E193" s="138" t="n"/>
      <c r="F193" s="138" t="n"/>
    </row>
    <row r="194">
      <c r="A194" s="138" t="inlineStr">
        <is>
          <t>FY25 total assets ($000)</t>
        </is>
      </c>
      <c r="B194" s="168" t="n">
        <v>8456743</v>
      </c>
      <c r="C194" s="138" t="n"/>
      <c r="D194" s="138" t="n"/>
      <c r="E194" s="138" t="n"/>
      <c r="F194" s="138" t="n">
        <v>8456743</v>
      </c>
    </row>
    <row r="195">
      <c r="A195" s="138" t="inlineStr">
        <is>
          <t>FY25 total liabilities ($000)</t>
        </is>
      </c>
      <c r="B195" s="168" t="n">
        <v>3494903</v>
      </c>
      <c r="C195" s="138" t="n"/>
      <c r="D195" s="138" t="n"/>
      <c r="E195" s="138" t="n"/>
      <c r="F195" s="138" t="n">
        <v>3494903</v>
      </c>
    </row>
    <row r="196">
      <c r="A196" s="138" t="inlineStr">
        <is>
          <t>FY25 total equity ($000)</t>
        </is>
      </c>
      <c r="B196" s="168" t="n">
        <v>4961840</v>
      </c>
      <c r="C196" s="138" t="n"/>
      <c r="D196" s="138" t="n"/>
      <c r="E196" s="138" t="n"/>
      <c r="F196" s="138" t="n">
        <v>4961840</v>
      </c>
    </row>
    <row r="197">
      <c r="A197" s="138" t="inlineStr">
        <is>
          <t>FY25 diluted shares (000)</t>
        </is>
      </c>
      <c r="B197" s="168" t="n">
        <v>119068</v>
      </c>
      <c r="C197" s="138" t="n"/>
      <c r="D197" s="138" t="n"/>
      <c r="E197" s="138" t="n"/>
      <c r="F197" s="138" t="n">
        <v>119068</v>
      </c>
    </row>
    <row r="198">
      <c r="A198" s="138" t="inlineStr">
        <is>
          <t>FY25 net revenue ($000)</t>
        </is>
      </c>
      <c r="B198" s="168" t="n">
        <v>11102600</v>
      </c>
      <c r="C198" s="138" t="n"/>
      <c r="D198" s="138" t="n"/>
      <c r="E198" s="138" t="n"/>
      <c r="F198" s="138" t="n">
        <v>11102600</v>
      </c>
    </row>
    <row r="199">
      <c r="A199" s="138" t="n"/>
      <c r="B199" s="138" t="n"/>
      <c r="C199" s="138" t="n"/>
      <c r="D199" s="138" t="n"/>
      <c r="E199" s="138" t="n"/>
      <c r="F199" s="138" t="n"/>
    </row>
    <row r="200">
      <c r="A200" s="138" t="n"/>
      <c r="B200" s="138" t="n"/>
      <c r="C200" s="138" t="n"/>
      <c r="D200" s="138" t="n"/>
      <c r="E200" s="138" t="n"/>
      <c r="F200" s="138" t="n"/>
    </row>
    <row r="201">
      <c r="A201" s="138" t="n"/>
      <c r="B201" s="138" t="n"/>
      <c r="C201" s="138" t="n"/>
      <c r="D201" s="138" t="n"/>
      <c r="E201" s="138" t="n"/>
      <c r="F201" s="138" t="n"/>
    </row>
    <row r="202">
      <c r="A202" s="138" t="inlineStr">
        <is>
          <t>FY25 stock-based compensation ($000)</t>
        </is>
      </c>
      <c r="B202" s="168" t="n">
        <v>62203</v>
      </c>
      <c r="C202" s="138" t="n"/>
      <c r="D202" s="138" t="n"/>
      <c r="E202" s="138" t="n"/>
      <c r="F202" s="138" t="n">
        <v>62203</v>
      </c>
    </row>
    <row r="203">
      <c r="A203" s="138" t="inlineStr">
        <is>
          <t>FY25 implied lease interest ($000)</t>
        </is>
      </c>
      <c r="B203" s="168" t="n">
        <v>1028</v>
      </c>
      <c r="C203" s="138" t="n"/>
      <c r="D203" s="138" t="n"/>
      <c r="E203" s="138" t="n"/>
      <c r="F203" s="138" t="n">
        <v>1028</v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ref="C9" location="'WACC'!E41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1"/>
    <pageSetUpPr/>
  </sheetPr>
  <dimension ref="A1:K59"/>
  <sheetViews>
    <sheetView showGridLines="0" showOutlineSymbols="1"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36" customWidth="1" min="9" max="9"/>
    <col width="28" customWidth="1" min="10" max="11"/>
    <col width="13" customWidth="1" min="11" max="11"/>
    <col width="36" customWidth="1" min="12" max="12"/>
  </cols>
  <sheetData>
    <row r="1">
      <c r="A1" s="50" t="inlineStr">
        <is>
          <t>Revenue drivers (FY26–30)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</row>
    <row r="2">
      <c r="A2" s="26" t="n"/>
      <c r="B2" s="132" t="inlineStr">
        <is>
          <t>×1,000,000 (sessions in millions → count)</t>
        </is>
      </c>
      <c r="C2" s="132" t="inlineStr">
        <is>
          <t>÷1,000 ($ → $000 on this tab)</t>
        </is>
      </c>
    </row>
    <row r="3">
      <c r="A3" t="inlineStr">
        <is>
          <t>Unit conversions (drivers)</t>
        </is>
      </c>
      <c r="B3" t="n">
        <v>1000000</v>
      </c>
      <c r="C3" t="n">
        <v>1000</v>
      </c>
      <c r="H3" s="133" t="inlineStr">
        <is>
          <t>see B2/C2</t>
        </is>
      </c>
      <c r="I3" s="51" t="n"/>
      <c r="J3" s="51" t="inlineStr">
        <is>
          <t>Source (click)</t>
        </is>
      </c>
      <c r="K3" s="51" t="n"/>
    </row>
    <row r="4">
      <c r="A4" s="52" t="inlineStr">
        <is>
          <t>I. STORE FLEET &amp; SQUARE FOOTAGE (company-operated)</t>
        </is>
      </c>
    </row>
    <row r="5">
      <c r="A5" s="53" t="inlineStr">
        <is>
          <t>Driver</t>
        </is>
      </c>
      <c r="B5" s="54" t="inlineStr">
        <is>
          <t>FY2025A</t>
        </is>
      </c>
      <c r="C5" s="55" t="inlineStr">
        <is>
          <t>FY2026E</t>
        </is>
      </c>
      <c r="D5" s="54" t="inlineStr">
        <is>
          <t>FY2027E</t>
        </is>
      </c>
      <c r="E5" s="54" t="inlineStr">
        <is>
          <t>FY2028E</t>
        </is>
      </c>
      <c r="F5" s="54" t="inlineStr">
        <is>
          <t>FY2029E</t>
        </is>
      </c>
      <c r="G5" s="54" t="inlineStr">
        <is>
          <t>FY2030E</t>
        </is>
      </c>
      <c r="H5" s="54" t="inlineStr">
        <is>
          <t>Units</t>
        </is>
      </c>
      <c r="I5" s="169" t="inlineStr">
        <is>
          <t>How it moves</t>
        </is>
      </c>
      <c r="J5" s="127" t="inlineStr">
        <is>
          <t>Source</t>
        </is>
      </c>
      <c r="K5" s="56" t="n"/>
    </row>
    <row r="6" ht="28" customHeight="1">
      <c r="A6" s="41" t="inlineStr">
        <is>
          <t>Americas — beginning stores</t>
        </is>
      </c>
      <c r="B6" s="57" t="n">
        <v>462</v>
      </c>
      <c r="C6" s="42">
        <f>B9</f>
        <v/>
      </c>
      <c r="D6" s="42">
        <f>C9</f>
        <v/>
      </c>
      <c r="E6" s="42">
        <f>D9</f>
        <v/>
      </c>
      <c r="F6" s="42">
        <f>E9</f>
        <v/>
      </c>
      <c r="G6" s="42">
        <f>F9</f>
        <v/>
      </c>
      <c r="H6" s="58" t="inlineStr">
        <is>
          <t>stores</t>
        </is>
      </c>
      <c r="I6" s="135" t="inlineStr">
        <is>
          <t>Prior-year ending count carried into this year.</t>
        </is>
      </c>
      <c r="J6" s="18" t="inlineStr">
        <is>
          <t>Revenue Drivers: beginning-stores formula</t>
        </is>
      </c>
    </row>
    <row r="7" ht="28" customHeight="1">
      <c r="A7" s="41" t="inlineStr">
        <is>
          <t>Americas — openings</t>
        </is>
      </c>
      <c r="C7" s="60" t="n">
        <v>8</v>
      </c>
      <c r="D7" s="60" t="n">
        <v>7</v>
      </c>
      <c r="E7" s="60" t="n">
        <v>6</v>
      </c>
      <c r="F7" s="60" t="n">
        <v>5</v>
      </c>
      <c r="G7" s="60" t="n">
        <v>4</v>
      </c>
      <c r="H7" s="58" t="inlineStr">
        <is>
          <t>stores</t>
        </is>
      </c>
      <c r="I7" s="135" t="inlineStr">
        <is>
          <t>New stores added in region each forecast year.</t>
        </is>
      </c>
      <c r="J7" s="18" t="inlineStr">
        <is>
          <t>FY2025 10-K: store count &amp; expansion</t>
        </is>
      </c>
      <c r="K7" s="19" t="inlineStr">
        <is>
          <t>https://www.sec.gov/Archives/edgar/data/1397187/000139718726000020/lulu-20260201.htm</t>
        </is>
      </c>
    </row>
    <row r="8" ht="28" customHeight="1">
      <c r="A8" s="41" t="inlineStr">
        <is>
          <t>Americas — closures</t>
        </is>
      </c>
      <c r="C8" s="60" t="n">
        <v>3</v>
      </c>
      <c r="D8" s="60" t="n">
        <v>3</v>
      </c>
      <c r="E8" s="60" t="n">
        <v>2</v>
      </c>
      <c r="F8" s="60" t="n">
        <v>2</v>
      </c>
      <c r="G8" s="60" t="n">
        <v>2</v>
      </c>
      <c r="H8" s="58" t="inlineStr">
        <is>
          <t>stores</t>
        </is>
      </c>
      <c r="I8" s="135" t="inlineStr">
        <is>
          <t>Stores closed yearly as leases roll off.</t>
        </is>
      </c>
      <c r="J8" s="18" t="inlineStr">
        <is>
          <t>FY2025 10-K: lease renewal / fleet</t>
        </is>
      </c>
      <c r="K8" s="19" t="inlineStr">
        <is>
          <t>https://www.sec.gov/Archives/edgar/data/1397187/000139718726000020/lulu-20260201.htm</t>
        </is>
      </c>
    </row>
    <row r="9" ht="28" customHeight="1">
      <c r="A9" s="61" t="inlineStr">
        <is>
          <t>Americas — ending stores</t>
        </is>
      </c>
      <c r="B9" s="57" t="n">
        <v>476</v>
      </c>
      <c r="C9" s="62">
        <f>C6+C7-C8</f>
        <v/>
      </c>
      <c r="D9" s="62">
        <f>D6+D7-D8</f>
        <v/>
      </c>
      <c r="E9" s="62">
        <f>E6+E7-E8</f>
        <v/>
      </c>
      <c r="F9" s="62">
        <f>F6+F7-F8</f>
        <v/>
      </c>
      <c r="G9" s="62">
        <f>G6+G7-G8</f>
        <v/>
      </c>
      <c r="H9" s="58" t="inlineStr">
        <is>
          <t>stores</t>
        </is>
      </c>
      <c r="I9" s="135" t="inlineStr">
        <is>
          <t>Beginning plus openings minus closures each year.</t>
        </is>
      </c>
      <c r="J9" s="18" t="inlineStr">
        <is>
          <t>Revenue Drivers: ending-stores formula</t>
        </is>
      </c>
    </row>
    <row r="10" ht="28" customHeight="1">
      <c r="A10" s="41" t="inlineStr">
        <is>
          <t>China Mainland — beginning stores</t>
        </is>
      </c>
      <c r="B10" s="57" t="n">
        <v>151</v>
      </c>
      <c r="C10" s="42">
        <f>B13</f>
        <v/>
      </c>
      <c r="D10" s="42">
        <f>C13</f>
        <v/>
      </c>
      <c r="E10" s="42">
        <f>D13</f>
        <v/>
      </c>
      <c r="F10" s="42">
        <f>E13</f>
        <v/>
      </c>
      <c r="G10" s="42">
        <f>F13</f>
        <v/>
      </c>
      <c r="H10" s="58" t="inlineStr">
        <is>
          <t>stores</t>
        </is>
      </c>
      <c r="I10" s="135" t="inlineStr">
        <is>
          <t>Prior-year ending count carried into this year.</t>
        </is>
      </c>
      <c r="J10" s="18" t="inlineStr">
        <is>
          <t>Revenue Drivers: beginning-stores formula</t>
        </is>
      </c>
    </row>
    <row r="11" ht="28" customHeight="1">
      <c r="A11" s="41" t="inlineStr">
        <is>
          <t>China Mainland — openings</t>
        </is>
      </c>
      <c r="C11" s="60" t="n">
        <v>20</v>
      </c>
      <c r="D11" s="60" t="n">
        <v>18</v>
      </c>
      <c r="E11" s="60" t="n">
        <v>16</v>
      </c>
      <c r="F11" s="60" t="n">
        <v>14</v>
      </c>
      <c r="G11" s="60" t="n">
        <v>12</v>
      </c>
      <c r="H11" s="58" t="inlineStr">
        <is>
          <t>stores</t>
        </is>
      </c>
      <c r="I11" s="135" t="inlineStr">
        <is>
          <t>New stores added in region each forecast year.</t>
        </is>
      </c>
      <c r="J11" s="18" t="inlineStr">
        <is>
          <t>FY2025 10-K: store count &amp; expansion</t>
        </is>
      </c>
      <c r="K11" s="19" t="inlineStr">
        <is>
          <t>https://www.sec.gov/Archives/edgar/data/1397187/000139718726000020/lulu-20260201.htm</t>
        </is>
      </c>
    </row>
    <row r="12" ht="28" customHeight="1">
      <c r="A12" s="41" t="inlineStr">
        <is>
          <t>China Mainland — closures</t>
        </is>
      </c>
      <c r="C12" s="60" t="n">
        <v>1</v>
      </c>
      <c r="D12" s="60" t="n">
        <v>1</v>
      </c>
      <c r="E12" s="60" t="n">
        <v>1</v>
      </c>
      <c r="F12" s="60" t="n">
        <v>1</v>
      </c>
      <c r="G12" s="60" t="n">
        <v>1</v>
      </c>
      <c r="H12" s="58" t="inlineStr">
        <is>
          <t>stores</t>
        </is>
      </c>
      <c r="I12" s="135" t="inlineStr">
        <is>
          <t>Stores closed yearly as leases roll off.</t>
        </is>
      </c>
      <c r="J12" s="18" t="inlineStr">
        <is>
          <t>FY2025 10-K: lease renewal / fleet</t>
        </is>
      </c>
      <c r="K12" s="19" t="inlineStr">
        <is>
          <t>https://www.sec.gov/Archives/edgar/data/1397187/000139718726000020/lulu-20260201.htm</t>
        </is>
      </c>
    </row>
    <row r="13" ht="28" customHeight="1">
      <c r="A13" s="61" t="inlineStr">
        <is>
          <t>China Mainland — ending stores</t>
        </is>
      </c>
      <c r="B13" s="57" t="n">
        <v>172</v>
      </c>
      <c r="C13" s="62">
        <f>C10+C11-C12</f>
        <v/>
      </c>
      <c r="D13" s="62">
        <f>D10+D11-D12</f>
        <v/>
      </c>
      <c r="E13" s="62">
        <f>E10+E11-E12</f>
        <v/>
      </c>
      <c r="F13" s="62">
        <f>F10+F11-F12</f>
        <v/>
      </c>
      <c r="G13" s="62">
        <f>G10+G11-G12</f>
        <v/>
      </c>
      <c r="H13" s="58" t="inlineStr">
        <is>
          <t>stores</t>
        </is>
      </c>
      <c r="I13" s="135" t="inlineStr">
        <is>
          <t>Beginning plus openings minus closures each year.</t>
        </is>
      </c>
      <c r="J13" s="18" t="inlineStr">
        <is>
          <t>Revenue Drivers: ending-stores formula</t>
        </is>
      </c>
    </row>
    <row r="14" ht="28" customHeight="1">
      <c r="A14" s="41" t="inlineStr">
        <is>
          <t>Rest of World — beginning stores</t>
        </is>
      </c>
      <c r="B14" s="57" t="n">
        <v>154</v>
      </c>
      <c r="C14" s="42">
        <f>B17</f>
        <v/>
      </c>
      <c r="D14" s="42">
        <f>C17</f>
        <v/>
      </c>
      <c r="E14" s="42">
        <f>D17</f>
        <v/>
      </c>
      <c r="F14" s="42">
        <f>E17</f>
        <v/>
      </c>
      <c r="G14" s="42">
        <f>F17</f>
        <v/>
      </c>
      <c r="H14" s="58" t="inlineStr">
        <is>
          <t>stores</t>
        </is>
      </c>
      <c r="I14" s="135" t="inlineStr">
        <is>
          <t>Prior-year ending count carried into this year.</t>
        </is>
      </c>
      <c r="J14" s="18" t="inlineStr">
        <is>
          <t>Revenue Drivers: beginning-stores formula</t>
        </is>
      </c>
    </row>
    <row r="15" ht="28" customHeight="1">
      <c r="A15" s="41" t="inlineStr">
        <is>
          <t>Rest of World — openings</t>
        </is>
      </c>
      <c r="C15" s="60" t="n">
        <v>7</v>
      </c>
      <c r="D15" s="60" t="n">
        <v>6</v>
      </c>
      <c r="E15" s="60" t="n">
        <v>5</v>
      </c>
      <c r="F15" s="60" t="n">
        <v>5</v>
      </c>
      <c r="G15" s="60" t="n">
        <v>4</v>
      </c>
      <c r="H15" s="58" t="inlineStr">
        <is>
          <t>stores</t>
        </is>
      </c>
      <c r="I15" s="135" t="inlineStr">
        <is>
          <t>New stores added in region each forecast year.</t>
        </is>
      </c>
      <c r="J15" s="18" t="inlineStr">
        <is>
          <t>FY2025 10-K: store count &amp; expansion</t>
        </is>
      </c>
      <c r="K15" s="19" t="inlineStr">
        <is>
          <t>https://www.sec.gov/Archives/edgar/data/1397187/000139718726000020/lulu-20260201.htm</t>
        </is>
      </c>
    </row>
    <row r="16" ht="28" customHeight="1">
      <c r="A16" s="41" t="inlineStr">
        <is>
          <t>Rest of World — closures</t>
        </is>
      </c>
      <c r="C16" s="60" t="n">
        <v>2</v>
      </c>
      <c r="D16" s="60" t="n">
        <v>2</v>
      </c>
      <c r="E16" s="60" t="n">
        <v>2</v>
      </c>
      <c r="F16" s="60" t="n">
        <v>2</v>
      </c>
      <c r="G16" s="60" t="n">
        <v>2</v>
      </c>
      <c r="H16" s="58" t="inlineStr">
        <is>
          <t>stores</t>
        </is>
      </c>
      <c r="I16" s="135" t="inlineStr">
        <is>
          <t>Stores closed yearly as leases roll off.</t>
        </is>
      </c>
      <c r="J16" s="18" t="inlineStr">
        <is>
          <t>FY2025 10-K: lease renewal / fleet</t>
        </is>
      </c>
      <c r="K16" s="19" t="inlineStr">
        <is>
          <t>https://www.sec.gov/Archives/edgar/data/1397187/000139718726000020/lulu-20260201.htm</t>
        </is>
      </c>
    </row>
    <row r="17" ht="28" customHeight="1">
      <c r="A17" s="61" t="inlineStr">
        <is>
          <t>Rest of World — ending stores</t>
        </is>
      </c>
      <c r="B17" s="57" t="n">
        <v>163</v>
      </c>
      <c r="C17" s="62">
        <f>C14+C15-C16</f>
        <v/>
      </c>
      <c r="D17" s="62">
        <f>D14+D15-D16</f>
        <v/>
      </c>
      <c r="E17" s="62">
        <f>E14+E15-E16</f>
        <v/>
      </c>
      <c r="F17" s="62">
        <f>F14+F15-F16</f>
        <v/>
      </c>
      <c r="G17" s="62">
        <f>G14+G15-G16</f>
        <v/>
      </c>
      <c r="H17" s="58" t="inlineStr">
        <is>
          <t>stores</t>
        </is>
      </c>
      <c r="I17" s="135" t="inlineStr">
        <is>
          <t>Beginning plus openings minus closures each year.</t>
        </is>
      </c>
      <c r="J17" s="18" t="inlineStr">
        <is>
          <t>Revenue Drivers: ending-stores formula</t>
        </is>
      </c>
    </row>
    <row r="18" ht="28" customHeight="1">
      <c r="A18" s="61" t="inlineStr">
        <is>
          <t>Total ending stores</t>
        </is>
      </c>
      <c r="B18" s="63" t="n">
        <v>811</v>
      </c>
      <c r="C18" s="62">
        <f>C9+C13+C17</f>
        <v/>
      </c>
      <c r="D18" s="62">
        <f>D9+D13+D17</f>
        <v/>
      </c>
      <c r="E18" s="62">
        <f>E9+E13+E17</f>
        <v/>
      </c>
      <c r="F18" s="62">
        <f>F9+F13+F17</f>
        <v/>
      </c>
      <c r="G18" s="62">
        <f>G9+G13+G17</f>
        <v/>
      </c>
      <c r="I18" s="135" t="inlineStr">
        <is>
          <t>Sum of Americas, China, and Rest of World.</t>
        </is>
      </c>
      <c r="J18" s="18" t="inlineStr">
        <is>
          <t>Revenue Drivers: total-stores formula</t>
        </is>
      </c>
    </row>
    <row r="19" ht="28" customHeight="1">
      <c r="A19" s="41" t="inlineStr">
        <is>
          <t>Avg square feet per store</t>
        </is>
      </c>
      <c r="B19" s="60" t="n">
        <v>4366</v>
      </c>
      <c r="C19" s="60" t="n">
        <v>4400</v>
      </c>
      <c r="D19" s="60" t="n">
        <v>4425</v>
      </c>
      <c r="E19" s="60" t="n">
        <v>4450</v>
      </c>
      <c r="F19" s="60" t="n">
        <v>4475</v>
      </c>
      <c r="G19" s="60" t="n">
        <v>4500</v>
      </c>
      <c r="H19" s="58" t="inlineStr">
        <is>
          <t>sq ft</t>
        </is>
      </c>
      <c r="I19" s="135" t="inlineStr">
        <is>
          <t>Average box size grows modestly through FY30.</t>
        </is>
      </c>
      <c r="J19" s="18" t="inlineStr">
        <is>
          <t>FY2025 10-K: sales per square foot</t>
        </is>
      </c>
      <c r="K19" s="19" t="inlineStr">
        <is>
          <t>https://www.sec.gov/Archives/edgar/data/1397187/000139718726000020/lulu-20260201.htm</t>
        </is>
      </c>
    </row>
    <row r="20" ht="28" customHeight="1">
      <c r="A20" s="41" t="inlineStr">
        <is>
          <t>Total square footage (end stores × avg sq ft)</t>
        </is>
      </c>
      <c r="B20" s="42">
        <f>B18*B19</f>
        <v/>
      </c>
      <c r="C20" s="42">
        <f>C18*C19</f>
        <v/>
      </c>
      <c r="D20" s="42">
        <f>D18*D19</f>
        <v/>
      </c>
      <c r="E20" s="42">
        <f>E18*E19</f>
        <v/>
      </c>
      <c r="F20" s="42">
        <f>F18*F19</f>
        <v/>
      </c>
      <c r="G20" s="42">
        <f>G18*G19</f>
        <v/>
      </c>
      <c r="H20" s="58" t="inlineStr">
        <is>
          <t>sq ft</t>
        </is>
      </c>
      <c r="I20" s="135" t="inlineStr">
        <is>
          <t>Ending stores times average square feet per store.</t>
        </is>
      </c>
      <c r="J20" s="128" t="inlineStr">
        <is>
          <t>Revenue Drivers: total-sqft formula</t>
        </is>
      </c>
    </row>
    <row r="22">
      <c r="A22" s="52" t="inlineStr">
        <is>
          <t>II. STORE PRODUCTIVITY (brick &amp; mortar channel)</t>
        </is>
      </c>
    </row>
    <row r="23">
      <c r="A23" s="53" t="inlineStr">
        <is>
          <t>Driver</t>
        </is>
      </c>
      <c r="B23" s="54" t="inlineStr">
        <is>
          <t>FY2025A</t>
        </is>
      </c>
      <c r="C23" s="55" t="inlineStr">
        <is>
          <t>FY2026E</t>
        </is>
      </c>
      <c r="D23" s="54" t="inlineStr">
        <is>
          <t>FY2027E</t>
        </is>
      </c>
      <c r="E23" s="54" t="inlineStr">
        <is>
          <t>FY2028E</t>
        </is>
      </c>
      <c r="F23" s="54" t="inlineStr">
        <is>
          <t>FY2029E</t>
        </is>
      </c>
      <c r="G23" s="54" t="inlineStr">
        <is>
          <t>FY2030E</t>
        </is>
      </c>
      <c r="H23" s="54" t="inlineStr">
        <is>
          <t>Units</t>
        </is>
      </c>
      <c r="I23" s="56" t="n"/>
      <c r="J23" s="129" t="inlineStr">
        <is>
          <t>Source</t>
        </is>
      </c>
      <c r="K23" s="56" t="n"/>
    </row>
    <row r="24" ht="28" customHeight="1">
      <c r="A24" s="41" t="inlineStr">
        <is>
          <t>Sales per square foot ($)</t>
        </is>
      </c>
      <c r="B24" s="60" t="n">
        <v>1426</v>
      </c>
      <c r="C24" s="60" t="n">
        <v>1360</v>
      </c>
      <c r="D24" s="60" t="n">
        <v>1380</v>
      </c>
      <c r="E24" s="60" t="n">
        <v>1400</v>
      </c>
      <c r="F24" s="60" t="n">
        <v>1420</v>
      </c>
      <c r="G24" s="60" t="n">
        <v>1440</v>
      </c>
      <c r="H24" s="58" t="inlineStr">
        <is>
          <t>$/sq ft</t>
        </is>
      </c>
      <c r="I24" s="135" t="inlineStr">
        <is>
          <t>Sales per foot recovers slowly after FY26 trough.</t>
        </is>
      </c>
      <c r="J24" s="18" t="inlineStr">
        <is>
          <t>FY2025 10-K: comparable sales &amp; SPSF</t>
        </is>
      </c>
      <c r="K24" s="19" t="inlineStr">
        <is>
          <t>https://www.sec.gov/Archives/edgar/data/1397187/000139718726000020/lulu-20260201.htm</t>
        </is>
      </c>
    </row>
    <row r="25" ht="28" customHeight="1">
      <c r="A25" s="41" t="inlineStr">
        <is>
          <t>Americas — comparable sales growth</t>
        </is>
      </c>
      <c r="B25" s="64" t="n">
        <v>-0.03</v>
      </c>
      <c r="C25" s="64" t="n">
        <v>-0.04</v>
      </c>
      <c r="D25" s="64" t="n">
        <v>0</v>
      </c>
      <c r="E25" s="64" t="n">
        <v>0.01</v>
      </c>
      <c r="F25" s="64" t="n">
        <v>0.02</v>
      </c>
      <c r="G25" s="64" t="n">
        <v>0.02</v>
      </c>
      <c r="H25" s="58" t="inlineStr">
        <is>
          <t>%</t>
        </is>
      </c>
      <c r="I25" s="135" t="inlineStr">
        <is>
          <t>Declines then flatlines as Americas traffic stabilizes.</t>
        </is>
      </c>
      <c r="J25" s="18" t="inlineStr">
        <is>
          <t>FY2025 10-K: Americas comparable sales</t>
        </is>
      </c>
      <c r="K25" s="19" t="inlineStr">
        <is>
          <t>https://www.sec.gov/Archives/edgar/data/1397187/000139718726000020/lulu-20260201.htm</t>
        </is>
      </c>
    </row>
    <row r="26" ht="28" customHeight="1">
      <c r="A26" s="41" t="inlineStr">
        <is>
          <t>China Mainland — comparable sales growth</t>
        </is>
      </c>
      <c r="B26" s="64" t="n">
        <v>0.2</v>
      </c>
      <c r="C26" s="64" t="n">
        <v>0.14</v>
      </c>
      <c r="D26" s="64" t="n">
        <v>0.12</v>
      </c>
      <c r="E26" s="64" t="n">
        <v>0.1</v>
      </c>
      <c r="F26" s="64" t="n">
        <v>0.08</v>
      </c>
      <c r="G26" s="64" t="n">
        <v>0.07000000000000001</v>
      </c>
      <c r="H26" s="58" t="inlineStr">
        <is>
          <t>%</t>
        </is>
      </c>
      <c r="I26" s="135" t="inlineStr">
        <is>
          <t>Strong growth moderates as China store base scales.</t>
        </is>
      </c>
      <c r="J26" s="18" t="inlineStr">
        <is>
          <t>FY2025 10-K: China Mainland comparable sales</t>
        </is>
      </c>
      <c r="K26" s="19" t="inlineStr">
        <is>
          <t>https://www.sec.gov/Archives/edgar/data/1397187/000139718726000020/lulu-20260201.htm</t>
        </is>
      </c>
    </row>
    <row r="27" ht="28" customHeight="1">
      <c r="A27" s="41" t="inlineStr">
        <is>
          <t>Rest of World — comparable sales growth</t>
        </is>
      </c>
      <c r="B27" s="64" t="n">
        <v>0.09</v>
      </c>
      <c r="C27" s="64" t="n">
        <v>0.07000000000000001</v>
      </c>
      <c r="D27" s="64" t="n">
        <v>0.06</v>
      </c>
      <c r="E27" s="64" t="n">
        <v>0.05</v>
      </c>
      <c r="F27" s="64" t="n">
        <v>0.04</v>
      </c>
      <c r="G27" s="64" t="n">
        <v>0.04</v>
      </c>
      <c r="H27" s="58" t="inlineStr">
        <is>
          <t>%</t>
        </is>
      </c>
      <c r="I27" s="135" t="inlineStr">
        <is>
          <t>Mid-single-digit comps fading to low-single digits.</t>
        </is>
      </c>
      <c r="J27" s="18" t="inlineStr">
        <is>
          <t>FY2025 10-K: Rest of World comparable sales</t>
        </is>
      </c>
      <c r="K27" s="19" t="inlineStr">
        <is>
          <t>https://www.sec.gov/Archives/edgar/data/1397187/000139718726000020/lulu-20260201.htm</t>
        </is>
      </c>
    </row>
    <row r="28" ht="28" customHeight="1">
      <c r="A28" s="41" t="inlineStr">
        <is>
          <t>Prior-year store channel revenue ($000)</t>
        </is>
      </c>
      <c r="B28" s="65" t="n">
        <v>5049744</v>
      </c>
      <c r="C28" s="42">
        <f>B31</f>
        <v/>
      </c>
      <c r="D28" s="42">
        <f>C31</f>
        <v/>
      </c>
      <c r="E28" s="42">
        <f>D31</f>
        <v/>
      </c>
      <c r="F28" s="42">
        <f>E31</f>
        <v/>
      </c>
      <c r="G28" s="42">
        <f>F31</f>
        <v/>
      </c>
      <c r="H28" s="58" t="inlineStr">
        <is>
          <t>$000</t>
        </is>
      </c>
      <c r="I28" s="135" t="inlineStr">
        <is>
          <t>Last year's store revenue rolled forward annually.</t>
        </is>
      </c>
      <c r="J28" s="18" t="inlineStr">
        <is>
          <t>Revenue Drivers: prior store-rev formula</t>
        </is>
      </c>
    </row>
    <row r="29" ht="28" customHeight="1">
      <c r="A29" s="41" t="inlineStr">
        <is>
          <t>Comparable store revenue ($000)</t>
        </is>
      </c>
      <c r="B29" s="57" t="n">
        <v>5049744</v>
      </c>
      <c r="C29" s="42">
        <f>B28*0.71*(1+C25)+B28*0.16*(1+C26)+B28*0.13*(1+C27)</f>
        <v/>
      </c>
      <c r="D29" s="42">
        <f>C28*0.71*(1+D25)+C28*0.16*(1+D26)+C28*0.13*(1+D27)</f>
        <v/>
      </c>
      <c r="E29" s="42">
        <f>D28*0.71*(1+E25)+D28*0.16*(1+E26)+D28*0.13*(1+E27)</f>
        <v/>
      </c>
      <c r="F29" s="42">
        <f>E28*0.71*(1+F25)+E28*0.16*(1+F26)+E28*0.13*(1+F27)</f>
        <v/>
      </c>
      <c r="G29" s="42">
        <f>F28*0.71*(1+G25)+F28*0.16*(1+G26)+F28*0.13*(1+G27)</f>
        <v/>
      </c>
      <c r="I29" s="135" t="inlineStr">
        <is>
          <t>Prior revenue grown by weighted geographic comp rates.</t>
        </is>
      </c>
      <c r="J29" s="18" t="inlineStr">
        <is>
          <t>Revenue Drivers: comp-store formula</t>
        </is>
      </c>
    </row>
    <row r="30" ht="28" customHeight="1">
      <c r="A30" s="41" t="inlineStr">
        <is>
          <t>Net new store revenue contribution ($000)</t>
        </is>
      </c>
      <c r="B30" s="42" t="n">
        <v>0</v>
      </c>
      <c r="C30" s="42">
        <f>(C7-C8+C11-C12+C15-C16)*C19*C24/1000*0.55</f>
        <v/>
      </c>
      <c r="D30" s="42">
        <f>(D7-D8+D11-D12+D15-D16)*D19*D24/1000*0.55</f>
        <v/>
      </c>
      <c r="E30" s="42">
        <f>(E7-E8+E11-E12+E15-E16)*E19*E24/1000*0.55</f>
        <v/>
      </c>
      <c r="F30" s="42">
        <f>(F7-F8+F11-F12+F15-F16)*F19*F24/1000*0.55</f>
        <v/>
      </c>
      <c r="G30" s="42">
        <f>(G7-G8+G11-G12+G15-G16)*G19*G24/1000*0.55</f>
        <v/>
      </c>
      <c r="I30" s="135" t="inlineStr">
        <is>
          <t>Net new doors times sq ft, productivity, ramp.</t>
        </is>
      </c>
      <c r="J30" s="128" t="inlineStr">
        <is>
          <t>Revenue Drivers: net-new-store formula</t>
        </is>
      </c>
    </row>
    <row r="31" ht="28" customHeight="1">
      <c r="A31" s="61" t="inlineStr">
        <is>
          <t>Store channel revenue ($000)</t>
        </is>
      </c>
      <c r="B31" s="63" t="n">
        <v>5049744</v>
      </c>
      <c r="C31" s="62">
        <f>C29+C30</f>
        <v/>
      </c>
      <c r="D31" s="62">
        <f>D29+D30</f>
        <v/>
      </c>
      <c r="E31" s="62">
        <f>E29+E30</f>
        <v/>
      </c>
      <c r="F31" s="62">
        <f>F29+F30</f>
        <v/>
      </c>
      <c r="G31" s="62">
        <f>G29+G30</f>
        <v/>
      </c>
      <c r="I31" s="135" t="inlineStr">
        <is>
          <t>Comparable store sales plus new store contribution.</t>
        </is>
      </c>
      <c r="J31" s="18" t="inlineStr">
        <is>
          <t>Revenue Drivers: store-channel formula</t>
        </is>
      </c>
    </row>
    <row r="32" ht="28" customHeight="1">
      <c r="A32" s="41" t="n"/>
      <c r="B32" s="66" t="n">
        <v>42.5</v>
      </c>
      <c r="C32" s="66" t="n">
        <v>40</v>
      </c>
      <c r="D32" s="66" t="n">
        <v>41</v>
      </c>
      <c r="E32" s="66" t="n">
        <v>42</v>
      </c>
      <c r="F32" s="66" t="n">
        <v>43</v>
      </c>
      <c r="G32" s="66" t="n">
        <v>44</v>
      </c>
      <c r="H32" s="58" t="inlineStr">
        <is>
          <t>M visits</t>
        </is>
      </c>
      <c r="I32" s="17" t="n"/>
      <c r="J32" s="18" t="inlineStr">
        <is>
          <t>FY2025 10-K: store traffic commentary</t>
        </is>
      </c>
      <c r="K32" s="19" t="inlineStr">
        <is>
          <t>https://www.sec.gov/Archives/edgar/data/1397187/000139718726000020/lulu-20260201.htm</t>
        </is>
      </c>
    </row>
    <row r="33" ht="28" customHeight="1">
      <c r="A33" s="41" t="n"/>
      <c r="B33" s="64" t="n">
        <v>0.28</v>
      </c>
      <c r="C33" s="64" t="n">
        <v>0.27</v>
      </c>
      <c r="D33" s="64" t="n">
        <v>0.275</v>
      </c>
      <c r="E33" s="64" t="n">
        <v>0.28</v>
      </c>
      <c r="F33" s="64" t="n">
        <v>0.285</v>
      </c>
      <c r="G33" s="64" t="n">
        <v>0.29</v>
      </c>
      <c r="I33" s="17" t="n"/>
      <c r="J33" s="18" t="inlineStr">
        <is>
          <t>FY2025 10-K: conversion rate commentary</t>
        </is>
      </c>
      <c r="K33" s="19" t="inlineStr">
        <is>
          <t>https://www.sec.gov/Archives/edgar/data/1397187/000139718726000020/lulu-20260201.htm</t>
        </is>
      </c>
    </row>
    <row r="34" ht="28" customHeight="1">
      <c r="A34" s="41" t="n"/>
      <c r="B34" s="67" t="n">
        <v>118</v>
      </c>
      <c r="C34" s="67" t="n">
        <v>115</v>
      </c>
      <c r="D34" s="67" t="n">
        <v>116</v>
      </c>
      <c r="E34" s="67" t="n">
        <v>118</v>
      </c>
      <c r="F34" s="67" t="n">
        <v>120</v>
      </c>
      <c r="G34" s="67" t="n">
        <v>122</v>
      </c>
      <c r="I34" s="17" t="n"/>
      <c r="J34" s="18" t="inlineStr">
        <is>
          <t>FY2025 10-K: average order value commentary</t>
        </is>
      </c>
      <c r="K34" s="19" t="inlineStr">
        <is>
          <t>https://www.sec.gov/Archives/edgar/data/1397187/000139718726000020/lulu-20260201.htm</t>
        </is>
      </c>
    </row>
    <row r="36">
      <c r="A36" s="52" t="inlineStr">
        <is>
          <t>III. DIRECT-TO-CONSUMER (e-commerce / digital)</t>
        </is>
      </c>
    </row>
    <row r="37">
      <c r="A37" s="53" t="inlineStr">
        <is>
          <t>Driver</t>
        </is>
      </c>
      <c r="B37" s="54" t="inlineStr">
        <is>
          <t>FY2025A</t>
        </is>
      </c>
      <c r="C37" s="55" t="inlineStr">
        <is>
          <t>FY2026E</t>
        </is>
      </c>
      <c r="D37" s="54" t="inlineStr">
        <is>
          <t>FY2027E</t>
        </is>
      </c>
      <c r="E37" s="54" t="inlineStr">
        <is>
          <t>FY2028E</t>
        </is>
      </c>
      <c r="F37" s="54" t="inlineStr">
        <is>
          <t>FY2029E</t>
        </is>
      </c>
      <c r="G37" s="54" t="inlineStr">
        <is>
          <t>FY2030E</t>
        </is>
      </c>
      <c r="H37" s="54" t="inlineStr">
        <is>
          <t>Units</t>
        </is>
      </c>
      <c r="I37" s="56" t="n"/>
      <c r="J37" s="129" t="inlineStr">
        <is>
          <t>Source</t>
        </is>
      </c>
      <c r="K37" s="56" t="n"/>
    </row>
    <row r="38" ht="28" customHeight="1">
      <c r="A38" s="41" t="inlineStr">
        <is>
          <t>Unique digital sessions (millions)</t>
        </is>
      </c>
      <c r="B38" s="60" t="n">
        <v>485</v>
      </c>
      <c r="C38" s="60" t="n">
        <v>485</v>
      </c>
      <c r="D38" s="60" t="n">
        <v>505</v>
      </c>
      <c r="E38" s="60" t="n">
        <v>525</v>
      </c>
      <c r="F38" s="60" t="n">
        <v>545</v>
      </c>
      <c r="G38" s="60" t="n">
        <v>560</v>
      </c>
      <c r="H38" s="58" t="inlineStr">
        <is>
          <t>M</t>
        </is>
      </c>
      <c r="I38" s="135" t="inlineStr">
        <is>
          <t>Digital traffic grows modestly across forecast years.</t>
        </is>
      </c>
      <c r="J38" s="18" t="inlineStr">
        <is>
          <t>FY2025 10-K: e-commerce revenue</t>
        </is>
      </c>
      <c r="K38" s="19" t="inlineStr">
        <is>
          <t>https://www.sec.gov/Archives/edgar/data/1397187/000139718726000020/lulu-20260201.htm</t>
        </is>
      </c>
    </row>
    <row r="39" ht="28" customHeight="1">
      <c r="A39" s="41" t="inlineStr">
        <is>
          <t>Digital conversion rate</t>
        </is>
      </c>
      <c r="B39" s="64" t="n">
        <v>0.033</v>
      </c>
      <c r="C39" s="64" t="n">
        <v>0.033</v>
      </c>
      <c r="D39" s="64" t="n">
        <v>0.034</v>
      </c>
      <c r="E39" s="64" t="n">
        <v>0.035</v>
      </c>
      <c r="F39" s="64" t="n">
        <v>0.035</v>
      </c>
      <c r="G39" s="64" t="n">
        <v>0.036</v>
      </c>
      <c r="I39" s="135" t="inlineStr">
        <is>
          <t>Conversion rate recovers gradually from FY26 pressure.</t>
        </is>
      </c>
      <c r="J39" s="18" t="inlineStr">
        <is>
          <t>FY2025 10-K: digital / traffic commentary</t>
        </is>
      </c>
      <c r="K39" s="19" t="inlineStr">
        <is>
          <t>https://www.sec.gov/Archives/edgar/data/1397187/000139718726000020/lulu-20260201.htm</t>
        </is>
      </c>
    </row>
    <row r="40" ht="28" customHeight="1">
      <c r="A40" s="41" t="inlineStr">
        <is>
          <t>Digital average order value ($)</t>
        </is>
      </c>
      <c r="B40" s="67" t="n">
        <v>307</v>
      </c>
      <c r="C40" s="67" t="n">
        <v>305</v>
      </c>
      <c r="D40" s="67" t="n">
        <v>308</v>
      </c>
      <c r="E40" s="67" t="n">
        <v>310</v>
      </c>
      <c r="F40" s="67" t="n">
        <v>312</v>
      </c>
      <c r="G40" s="67" t="n">
        <v>315</v>
      </c>
      <c r="I40" s="135" t="inlineStr">
        <is>
          <t>Order size steps up slowly with promo normalization.</t>
        </is>
      </c>
      <c r="J40" s="18" t="inlineStr">
        <is>
          <t>FY2025 10-K: e-commerce revenue</t>
        </is>
      </c>
      <c r="K40" s="19" t="inlineStr">
        <is>
          <t>https://www.sec.gov/Archives/edgar/data/1397187/000139718726000020/lulu-20260201.htm</t>
        </is>
      </c>
    </row>
    <row r="41" ht="28" customHeight="1">
      <c r="A41" s="61" t="inlineStr">
        <is>
          <t>E-commerce revenue ($000)</t>
        </is>
      </c>
      <c r="B41" s="63" t="n">
        <v>4918697</v>
      </c>
      <c r="C41" s="62">
        <f>C38*$B$3*C39*C40/$C$3</f>
        <v/>
      </c>
      <c r="D41" s="62">
        <f>D38*$B$3*D39*D40/$C$3</f>
        <v/>
      </c>
      <c r="E41" s="62">
        <f>E38*$B$3*E39*E40/$C$3</f>
        <v/>
      </c>
      <c r="F41" s="62">
        <f>F38*$B$3*F39*F40/$C$3</f>
        <v/>
      </c>
      <c r="G41" s="62">
        <f>G38*$B$3*G39*G40/$C$3</f>
        <v/>
      </c>
      <c r="I41" s="135" t="inlineStr">
        <is>
          <t>Sessions times conversion times average order value.</t>
        </is>
      </c>
      <c r="J41" s="18" t="inlineStr">
        <is>
          <t>Revenue Drivers: e-comm formula</t>
        </is>
      </c>
    </row>
    <row r="43">
      <c r="A43" s="52" t="inlineStr">
        <is>
          <t>IV. OTHER CHANNELS, GEOGRAPHY &amp; PRODUCT MIX</t>
        </is>
      </c>
    </row>
    <row r="44">
      <c r="A44" s="53" t="inlineStr">
        <is>
          <t>Driver</t>
        </is>
      </c>
      <c r="B44" s="54" t="inlineStr">
        <is>
          <t>FY2025A</t>
        </is>
      </c>
      <c r="C44" s="55" t="inlineStr">
        <is>
          <t>FY2026E</t>
        </is>
      </c>
      <c r="D44" s="54" t="inlineStr">
        <is>
          <t>FY2027E</t>
        </is>
      </c>
      <c r="E44" s="54" t="inlineStr">
        <is>
          <t>FY2028E</t>
        </is>
      </c>
      <c r="F44" s="54" t="inlineStr">
        <is>
          <t>FY2029E</t>
        </is>
      </c>
      <c r="G44" s="54" t="inlineStr">
        <is>
          <t>FY2030E</t>
        </is>
      </c>
      <c r="H44" s="54" t="inlineStr">
        <is>
          <t>Units</t>
        </is>
      </c>
      <c r="I44" s="56" t="n"/>
      <c r="J44" s="129" t="inlineStr">
        <is>
          <t>Source</t>
        </is>
      </c>
      <c r="K44" s="56" t="n"/>
    </row>
    <row r="45" ht="28" customHeight="1">
      <c r="A45" s="41" t="inlineStr">
        <is>
          <t>Other channels (wholesale / license / outlets) ($000)</t>
        </is>
      </c>
      <c r="B45" s="65" t="n">
        <v>1134159</v>
      </c>
      <c r="C45" s="42">
        <f>B45*(1+-0.02)</f>
        <v/>
      </c>
      <c r="D45" s="42">
        <f>C45*(1+0.0)</f>
        <v/>
      </c>
      <c r="E45" s="42">
        <f>D45*(1+0.02)</f>
        <v/>
      </c>
      <c r="F45" s="42">
        <f>E45*(1+0.02)</f>
        <v/>
      </c>
      <c r="G45" s="42">
        <f>F45*(1+0.02)</f>
        <v/>
      </c>
      <c r="H45" s="58" t="inlineStr">
        <is>
          <t>$000</t>
        </is>
      </c>
      <c r="I45" s="135" t="inlineStr">
        <is>
          <t>Wholesale, license, outlets: low-single-digit growth.</t>
        </is>
      </c>
      <c r="J45" s="18" t="inlineStr">
        <is>
          <t>FY2025 10-K: channel revenue table</t>
        </is>
      </c>
      <c r="K45" s="19" t="inlineStr">
        <is>
          <t>https://www.sec.gov/Archives/edgar/data/1397187/000139718726000020/lulu-20260201.htm</t>
        </is>
      </c>
    </row>
    <row r="46" ht="70" customHeight="1">
      <c r="A46" s="41" t="inlineStr">
        <is>
          <t>Americas net revenue ($000)</t>
        </is>
      </c>
      <c r="B46" s="65" t="n">
        <v>7847044</v>
      </c>
      <c r="C46" s="42">
        <f>B46*(C31+C41+C45)/(B31+B41+B45)</f>
        <v/>
      </c>
      <c r="D46" s="42">
        <f>B46*(D31+D41+D45)/(B31+B41+B45)</f>
        <v/>
      </c>
      <c r="E46" s="42">
        <f>B46*(E31+E41+E45)/(B31+B41+B45)</f>
        <v/>
      </c>
      <c r="F46" s="42">
        <f>B46*(F31+F41+F45)/(B31+B41+B45)</f>
        <v/>
      </c>
      <c r="G46" s="42">
        <f>B46*(G31+G41+G45)/(B31+B41+B45)</f>
        <v/>
      </c>
      <c r="H46" s="58" t="inlineStr">
        <is>
          <t>$000</t>
        </is>
      </c>
      <c r="I46" s="135" t="inlineStr">
        <is>
          <t>Americas revenue scales with consolidated growth rate.</t>
        </is>
      </c>
      <c r="J46" s="18" t="inlineStr">
        <is>
          <t>FY2025 10-K: segmented net revenue</t>
        </is>
      </c>
      <c r="K46" s="19" t="inlineStr">
        <is>
          <t>https://www.sec.gov/Archives/edgar/data/1397187/000139718726000020/lulu-20260201.htm</t>
        </is>
      </c>
    </row>
    <row r="47" ht="70" customHeight="1">
      <c r="A47" s="41" t="inlineStr">
        <is>
          <t>China Mainland net revenue ($000)</t>
        </is>
      </c>
      <c r="B47" s="65" t="n">
        <v>1754799</v>
      </c>
      <c r="C47" s="42">
        <f>B47*(C31+C41+C45)/(B31+B41+B45)</f>
        <v/>
      </c>
      <c r="D47" s="42">
        <f>B47*(D31+D41+D45)/(B31+B41+B45)</f>
        <v/>
      </c>
      <c r="E47" s="42">
        <f>B47*(E31+E41+E45)/(B31+B41+B45)</f>
        <v/>
      </c>
      <c r="F47" s="42">
        <f>B47*(F31+F41+F45)/(B31+B41+B45)</f>
        <v/>
      </c>
      <c r="G47" s="42">
        <f>B47*(G31+G41+G45)/(B31+B41+B45)</f>
        <v/>
      </c>
      <c r="H47" s="58" t="inlineStr">
        <is>
          <t>$000</t>
        </is>
      </c>
      <c r="I47" s="135" t="inlineStr">
        <is>
          <t>China revenue grows faster than consolidated average.</t>
        </is>
      </c>
      <c r="J47" s="18" t="inlineStr">
        <is>
          <t>FY2025 10-K: segmented net revenue</t>
        </is>
      </c>
      <c r="K47" s="19" t="inlineStr">
        <is>
          <t>https://www.sec.gov/Archives/edgar/data/1397187/000139718726000020/lulu-20260201.htm</t>
        </is>
      </c>
    </row>
    <row r="48" ht="70" customHeight="1">
      <c r="A48" s="41" t="inlineStr">
        <is>
          <t>Rest of World net revenue ($000)</t>
        </is>
      </c>
      <c r="B48" s="65" t="n">
        <v>1500757</v>
      </c>
      <c r="C48" s="42">
        <f>B48*(C31+C41+C45)/(B31+B41+B45)</f>
        <v/>
      </c>
      <c r="D48" s="42">
        <f>B48*(D31+D41+D45)/(B31+B41+B45)</f>
        <v/>
      </c>
      <c r="E48" s="42">
        <f>B48*(E31+E41+E45)/(B31+B41+B45)</f>
        <v/>
      </c>
      <c r="F48" s="42">
        <f>B48*(F31+F41+F45)/(B31+B41+B45)</f>
        <v/>
      </c>
      <c r="G48" s="42">
        <f>B48*(G31+G41+G45)/(B31+B41+B45)</f>
        <v/>
      </c>
      <c r="H48" s="58" t="inlineStr">
        <is>
          <t>$000</t>
        </is>
      </c>
      <c r="I48" s="135" t="inlineStr">
        <is>
          <t>Rest of World scales with total revenue growth.</t>
        </is>
      </c>
      <c r="J48" s="18" t="inlineStr">
        <is>
          <t>FY2025 10-K: segmented net revenue</t>
        </is>
      </c>
      <c r="K48" s="19" t="inlineStr">
        <is>
          <t>https://www.sec.gov/Archives/edgar/data/1397187/000139718726000020/lulu-20260201.htm</t>
        </is>
      </c>
    </row>
    <row r="49" ht="28" customHeight="1">
      <c r="A49" s="41" t="inlineStr">
        <is>
          <t>Women's % of revenue</t>
        </is>
      </c>
      <c r="B49" s="64" t="n">
        <v>0.63</v>
      </c>
      <c r="C49" s="64" t="n">
        <v>0.62</v>
      </c>
      <c r="D49" s="64" t="n">
        <v>0.615</v>
      </c>
      <c r="E49" s="64" t="n">
        <v>0.61</v>
      </c>
      <c r="F49" s="64" t="n">
        <v>0.605</v>
      </c>
      <c r="G49" s="64" t="n">
        <v>0.6</v>
      </c>
      <c r="I49" s="135" t="inlineStr">
        <is>
          <t>Women's share fades slightly as men's mix rises.</t>
        </is>
      </c>
      <c r="J49" s="18" t="inlineStr">
        <is>
          <t>FY2025 10-K: product category mix</t>
        </is>
      </c>
      <c r="K49" s="19" t="inlineStr">
        <is>
          <t>https://www.sec.gov/Archives/edgar/data/1397187/000139718726000020/lulu-20260201.htm</t>
        </is>
      </c>
    </row>
    <row r="50" ht="28" customHeight="1">
      <c r="A50" s="41" t="inlineStr">
        <is>
          <t>Men's % of revenue</t>
        </is>
      </c>
      <c r="B50" s="64" t="n">
        <v>0.24</v>
      </c>
      <c r="C50" s="64" t="n">
        <v>0.25</v>
      </c>
      <c r="D50" s="64" t="n">
        <v>0.255</v>
      </c>
      <c r="E50" s="64" t="n">
        <v>0.26</v>
      </c>
      <c r="F50" s="64" t="n">
        <v>0.265</v>
      </c>
      <c r="G50" s="64" t="n">
        <v>0.27</v>
      </c>
      <c r="I50" s="135" t="inlineStr">
        <is>
          <t>Men's mix rises gradually through the forecast.</t>
        </is>
      </c>
      <c r="J50" s="18" t="inlineStr">
        <is>
          <t>FY2025 10-K: product category mix</t>
        </is>
      </c>
      <c r="K50" s="19" t="inlineStr">
        <is>
          <t>https://www.sec.gov/Archives/edgar/data/1397187/000139718726000020/lulu-20260201.htm</t>
        </is>
      </c>
    </row>
    <row r="51" ht="28" customHeight="1">
      <c r="A51" s="41" t="inlineStr">
        <is>
          <t>Accessories &amp; other % of revenue</t>
        </is>
      </c>
      <c r="B51" s="64" t="n">
        <v>0.13</v>
      </c>
      <c r="C51" s="64" t="n">
        <v>0.13</v>
      </c>
      <c r="D51" s="64" t="n">
        <v>0.13</v>
      </c>
      <c r="E51" s="64" t="n">
        <v>0.13</v>
      </c>
      <c r="F51" s="64" t="n">
        <v>0.13</v>
      </c>
      <c r="G51" s="64" t="n">
        <v>0.13</v>
      </c>
      <c r="I51" s="135" t="inlineStr">
        <is>
          <t>Accessories share held steady near thirteen percent.</t>
        </is>
      </c>
      <c r="J51" s="18" t="inlineStr">
        <is>
          <t>FY2025 10-K: product category mix</t>
        </is>
      </c>
      <c r="K51" s="19" t="inlineStr">
        <is>
          <t>https://www.sec.gov/Archives/edgar/data/1397187/000139718726000020/lulu-20260201.htm</t>
        </is>
      </c>
    </row>
    <row r="53">
      <c r="A53" s="52" t="inlineStr">
        <is>
          <t>V. CONSOLIDATED REVENUE &amp; RECONCILIATION</t>
        </is>
      </c>
    </row>
    <row r="54">
      <c r="A54" s="53" t="inlineStr">
        <is>
          <t>Driver</t>
        </is>
      </c>
      <c r="B54" s="54" t="inlineStr">
        <is>
          <t>FY2025A</t>
        </is>
      </c>
      <c r="C54" s="55" t="inlineStr">
        <is>
          <t>FY2026E</t>
        </is>
      </c>
      <c r="D54" s="54" t="inlineStr">
        <is>
          <t>FY2027E</t>
        </is>
      </c>
      <c r="E54" s="54" t="inlineStr">
        <is>
          <t>FY2028E</t>
        </is>
      </c>
      <c r="F54" s="54" t="inlineStr">
        <is>
          <t>FY2029E</t>
        </is>
      </c>
      <c r="G54" s="54" t="inlineStr">
        <is>
          <t>FY2030E</t>
        </is>
      </c>
      <c r="H54" s="54" t="inlineStr">
        <is>
          <t>Units</t>
        </is>
      </c>
      <c r="I54" s="56" t="n"/>
      <c r="J54" s="129" t="inlineStr">
        <is>
          <t>Source</t>
        </is>
      </c>
      <c r="K54" s="56" t="n"/>
    </row>
    <row r="55" ht="28" customHeight="1">
      <c r="A55" s="68" t="inlineStr">
        <is>
          <t>Bottom-up total revenue ($000)</t>
        </is>
      </c>
      <c r="B55" s="69" t="n">
        <v>11102600</v>
      </c>
      <c r="C55" s="70">
        <f>C31+C41+C45</f>
        <v/>
      </c>
      <c r="D55" s="70">
        <f>D31+D41+D45</f>
        <v/>
      </c>
      <c r="E55" s="70">
        <f>E31+E41+E45</f>
        <v/>
      </c>
      <c r="F55" s="70">
        <f>F31+F41+F45</f>
        <v/>
      </c>
      <c r="G55" s="70">
        <f>G31+G41+G45</f>
        <v/>
      </c>
      <c r="I55" s="135" t="inlineStr">
        <is>
          <t>Store channel plus e-comm plus other channels.</t>
        </is>
      </c>
      <c r="J55" s="18" t="inlineStr">
        <is>
          <t>Revenue Drivers: total-rev formula</t>
        </is>
      </c>
    </row>
    <row r="56" ht="28" customHeight="1">
      <c r="A56" s="41" t="inlineStr">
        <is>
          <t>Scenarios base-case revenue ($000)</t>
        </is>
      </c>
      <c r="B56" s="65" t="n">
        <v>11102600</v>
      </c>
      <c r="C56" s="42">
        <f>Scenarios!$C$25</f>
        <v/>
      </c>
      <c r="D56" s="42">
        <f>Scenarios!$C$26</f>
        <v/>
      </c>
      <c r="E56" s="42">
        <f>Scenarios!$C$27</f>
        <v/>
      </c>
      <c r="F56" s="42">
        <f>Scenarios!$C$28</f>
        <v/>
      </c>
      <c r="G56" s="42">
        <f>Scenarios!$C$29</f>
        <v/>
      </c>
      <c r="I56" s="135" t="inlineStr">
        <is>
          <t>Pulls Scenarios base revenue path used by DCF.</t>
        </is>
      </c>
      <c r="J56" s="18" t="inlineStr">
        <is>
          <t>Scenarios tab: base revenue</t>
        </is>
      </c>
      <c r="K56" t="inlineStr">
        <is>
          <t>Scenarios tab: base revenue</t>
        </is>
      </c>
    </row>
    <row r="57" ht="28" customHeight="1">
      <c r="A57" s="41" t="inlineStr">
        <is>
          <t>Variance (bottom-up − scenarios) ($000)</t>
        </is>
      </c>
      <c r="B57" s="42">
        <f>B55-B56</f>
        <v/>
      </c>
      <c r="C57" s="42">
        <f>C55-C56</f>
        <v/>
      </c>
      <c r="D57" s="42">
        <f>D55-D56</f>
        <v/>
      </c>
      <c r="E57" s="42">
        <f>E55-E56</f>
        <v/>
      </c>
      <c r="F57" s="42">
        <f>F55-F56</f>
        <v/>
      </c>
      <c r="G57" s="42">
        <f>G55-G56</f>
        <v/>
      </c>
      <c r="I57" s="135" t="inlineStr">
        <is>
          <t>Driver-built revenue minus Scenarios base-case revenue.</t>
        </is>
      </c>
      <c r="J57" s="128" t="inlineStr">
        <is>
          <t>Revenue Drivers: variance formula</t>
        </is>
      </c>
    </row>
    <row r="58" ht="28" customHeight="1">
      <c r="A58" s="41" t="inlineStr">
        <is>
          <t>Variance (%)</t>
        </is>
      </c>
      <c r="B58" s="43">
        <f>IF(B56=0,"",B57/B56)</f>
        <v/>
      </c>
      <c r="C58" s="43">
        <f>IF(C56=0,"",C57/C56)</f>
        <v/>
      </c>
      <c r="D58" s="43">
        <f>IF(D56=0,"",D57/D56)</f>
        <v/>
      </c>
      <c r="E58" s="43">
        <f>IF(E56=0,"",E57/E56)</f>
        <v/>
      </c>
      <c r="F58" s="43">
        <f>IF(F56=0,"",F57/F56)</f>
        <v/>
      </c>
      <c r="G58" s="43">
        <f>IF(G56=0,"",G57/G56)</f>
        <v/>
      </c>
      <c r="I58" s="135" t="inlineStr">
        <is>
          <t>Variance as percent of Scenarios consolidated revenue.</t>
        </is>
      </c>
      <c r="J58" s="128" t="inlineStr">
        <is>
          <t>Revenue Drivers: variance % formula</t>
        </is>
      </c>
    </row>
    <row r="59">
      <c r="A59" s="26" t="inlineStr">
        <is>
          <t>Note: DCF / Scenarios consolidated revenue is the valuation anchor: drivers do not feed the DCF. A small variance vs Scenarios means the bottom-up path still hangs together, so the Scenarios case stays viable. Bigger gaps = revisit drivers or Scenarios assumptions.</t>
        </is>
      </c>
    </row>
  </sheetData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K7" r:id="rId3"/>
    <hyperlink xmlns:r="http://schemas.openxmlformats.org/officeDocument/2006/relationships" ref="J8" r:id="rId4"/>
    <hyperlink xmlns:r="http://schemas.openxmlformats.org/officeDocument/2006/relationships" ref="K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J12" r:id="rId10"/>
    <hyperlink xmlns:r="http://schemas.openxmlformats.org/officeDocument/2006/relationships" ref="K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K15" r:id="rId15"/>
    <hyperlink xmlns:r="http://schemas.openxmlformats.org/officeDocument/2006/relationships" ref="J16" r:id="rId16"/>
    <hyperlink xmlns:r="http://schemas.openxmlformats.org/officeDocument/2006/relationships" ref="K16" r:id="rId17"/>
    <hyperlink xmlns:r="http://schemas.openxmlformats.org/officeDocument/2006/relationships" ref="J17" r:id="rId18"/>
    <hyperlink xmlns:r="http://schemas.openxmlformats.org/officeDocument/2006/relationships" ref="B18" r:id="rId19"/>
    <hyperlink xmlns:r="http://schemas.openxmlformats.org/officeDocument/2006/relationships" ref="J18" r:id="rId20"/>
    <hyperlink xmlns:r="http://schemas.openxmlformats.org/officeDocument/2006/relationships" ref="J19" r:id="rId21"/>
    <hyperlink xmlns:r="http://schemas.openxmlformats.org/officeDocument/2006/relationships" ref="K19" r:id="rId22"/>
    <hyperlink xmlns:r="http://schemas.openxmlformats.org/officeDocument/2006/relationships" ref="J24" r:id="rId23"/>
    <hyperlink xmlns:r="http://schemas.openxmlformats.org/officeDocument/2006/relationships" ref="K24" r:id="rId24"/>
    <hyperlink xmlns:r="http://schemas.openxmlformats.org/officeDocument/2006/relationships" ref="J25" r:id="rId25"/>
    <hyperlink xmlns:r="http://schemas.openxmlformats.org/officeDocument/2006/relationships" ref="K25" r:id="rId26"/>
    <hyperlink xmlns:r="http://schemas.openxmlformats.org/officeDocument/2006/relationships" ref="J26" r:id="rId27"/>
    <hyperlink xmlns:r="http://schemas.openxmlformats.org/officeDocument/2006/relationships" ref="K26" r:id="rId28"/>
    <hyperlink xmlns:r="http://schemas.openxmlformats.org/officeDocument/2006/relationships" ref="J27" r:id="rId29"/>
    <hyperlink xmlns:r="http://schemas.openxmlformats.org/officeDocument/2006/relationships" ref="K27" r:id="rId30"/>
    <hyperlink xmlns:r="http://schemas.openxmlformats.org/officeDocument/2006/relationships" ref="B28" r:id="rId31"/>
    <hyperlink xmlns:r="http://schemas.openxmlformats.org/officeDocument/2006/relationships" ref="J28" r:id="rId32"/>
    <hyperlink xmlns:r="http://schemas.openxmlformats.org/officeDocument/2006/relationships" ref="J29" r:id="rId33"/>
    <hyperlink xmlns:r="http://schemas.openxmlformats.org/officeDocument/2006/relationships" ref="B31" r:id="rId34"/>
    <hyperlink xmlns:r="http://schemas.openxmlformats.org/officeDocument/2006/relationships" ref="J31" r:id="rId35"/>
    <hyperlink xmlns:r="http://schemas.openxmlformats.org/officeDocument/2006/relationships" ref="K32" r:id="rId36"/>
    <hyperlink xmlns:r="http://schemas.openxmlformats.org/officeDocument/2006/relationships" ref="K33" r:id="rId37"/>
    <hyperlink xmlns:r="http://schemas.openxmlformats.org/officeDocument/2006/relationships" ref="K34" r:id="rId38"/>
    <hyperlink xmlns:r="http://schemas.openxmlformats.org/officeDocument/2006/relationships" ref="J38" r:id="rId39"/>
    <hyperlink xmlns:r="http://schemas.openxmlformats.org/officeDocument/2006/relationships" ref="K38" r:id="rId40"/>
    <hyperlink xmlns:r="http://schemas.openxmlformats.org/officeDocument/2006/relationships" ref="J39" r:id="rId41"/>
    <hyperlink xmlns:r="http://schemas.openxmlformats.org/officeDocument/2006/relationships" ref="K39" r:id="rId42"/>
    <hyperlink xmlns:r="http://schemas.openxmlformats.org/officeDocument/2006/relationships" ref="J40" r:id="rId43"/>
    <hyperlink xmlns:r="http://schemas.openxmlformats.org/officeDocument/2006/relationships" ref="K40" r:id="rId44"/>
    <hyperlink xmlns:r="http://schemas.openxmlformats.org/officeDocument/2006/relationships" ref="B41" r:id="rId45"/>
    <hyperlink xmlns:r="http://schemas.openxmlformats.org/officeDocument/2006/relationships" ref="J41" r:id="rId46"/>
    <hyperlink xmlns:r="http://schemas.openxmlformats.org/officeDocument/2006/relationships" ref="B45" r:id="rId47"/>
    <hyperlink xmlns:r="http://schemas.openxmlformats.org/officeDocument/2006/relationships" ref="J45" r:id="rId48"/>
    <hyperlink xmlns:r="http://schemas.openxmlformats.org/officeDocument/2006/relationships" ref="K45" r:id="rId49"/>
    <hyperlink xmlns:r="http://schemas.openxmlformats.org/officeDocument/2006/relationships" ref="B46" r:id="rId50"/>
    <hyperlink xmlns:r="http://schemas.openxmlformats.org/officeDocument/2006/relationships" ref="J46" r:id="rId51"/>
    <hyperlink xmlns:r="http://schemas.openxmlformats.org/officeDocument/2006/relationships" ref="K46" r:id="rId52"/>
    <hyperlink xmlns:r="http://schemas.openxmlformats.org/officeDocument/2006/relationships" ref="B47" r:id="rId53"/>
    <hyperlink xmlns:r="http://schemas.openxmlformats.org/officeDocument/2006/relationships" ref="J47" r:id="rId54"/>
    <hyperlink xmlns:r="http://schemas.openxmlformats.org/officeDocument/2006/relationships" ref="K47" r:id="rId55"/>
    <hyperlink xmlns:r="http://schemas.openxmlformats.org/officeDocument/2006/relationships" ref="B48" r:id="rId56"/>
    <hyperlink xmlns:r="http://schemas.openxmlformats.org/officeDocument/2006/relationships" ref="J48" r:id="rId57"/>
    <hyperlink xmlns:r="http://schemas.openxmlformats.org/officeDocument/2006/relationships" ref="K48" r:id="rId58"/>
    <hyperlink xmlns:r="http://schemas.openxmlformats.org/officeDocument/2006/relationships" ref="J49" r:id="rId59"/>
    <hyperlink xmlns:r="http://schemas.openxmlformats.org/officeDocument/2006/relationships" ref="K49" r:id="rId60"/>
    <hyperlink xmlns:r="http://schemas.openxmlformats.org/officeDocument/2006/relationships" ref="J50" r:id="rId61"/>
    <hyperlink xmlns:r="http://schemas.openxmlformats.org/officeDocument/2006/relationships" ref="K50" r:id="rId62"/>
    <hyperlink xmlns:r="http://schemas.openxmlformats.org/officeDocument/2006/relationships" ref="J51" r:id="rId63"/>
    <hyperlink xmlns:r="http://schemas.openxmlformats.org/officeDocument/2006/relationships" ref="K51" r:id="rId64"/>
    <hyperlink xmlns:r="http://schemas.openxmlformats.org/officeDocument/2006/relationships" ref="B55" r:id="rId65"/>
    <hyperlink xmlns:r="http://schemas.openxmlformats.org/officeDocument/2006/relationships" ref="J55" r:id="rId66"/>
    <hyperlink xmlns:r="http://schemas.openxmlformats.org/officeDocument/2006/relationships" ref="B56" r:id="rId67"/>
    <hyperlink ref="J56" location="'Scenarios'!G25"/>
    <hyperlink ref="K56" location="'Scenarios'!G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0" summaryRight="1"/>
    <pageSetUpPr/>
  </sheetPr>
  <dimension ref="A1:J104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6" customWidth="1" min="2" max="2"/>
    <col width="16" customWidth="1" min="3" max="3"/>
    <col width="3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16" customWidth="1" min="12" max="12"/>
    <col width="36" customWidth="1" min="13" max="13"/>
  </cols>
  <sheetData>
    <row r="1" ht="16" customHeight="1">
      <c r="A1" s="12" t="inlineStr">
        <is>
          <t>DISCOUNTED CASH FLOW — BASE CASE (US$ thousands)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78" t="n"/>
      <c r="C2" s="78" t="inlineStr">
        <is>
          <t>Source (click)</t>
        </is>
      </c>
      <c r="D2" s="78" t="n"/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</row>
    <row r="3" ht="28" customHeight="1">
      <c r="A3" s="82" t="inlineStr">
        <is>
          <t>Forecast linked to Scenarios (base case)</t>
        </is>
      </c>
      <c r="C3" s="19" t="n"/>
      <c r="E3" s="83" t="inlineStr">
        <is>
          <t>10-K</t>
        </is>
      </c>
    </row>
    <row r="4" ht="15" customHeight="1">
      <c r="A4" s="38" t="n"/>
      <c r="C4" s="85" t="n"/>
      <c r="D4" s="85" t="inlineStr">
        <is>
          <t>Revenue Drivers tab</t>
        </is>
      </c>
    </row>
    <row r="5">
      <c r="A5" s="16" t="inlineStr">
        <is>
          <t>Net revenue</t>
        </is>
      </c>
      <c r="E5" s="74" t="n">
        <v>11102600</v>
      </c>
      <c r="F5" s="75">
        <f>Scenarios!$C$25</f>
        <v/>
      </c>
      <c r="G5" s="75">
        <f>Scenarios!$C$26</f>
        <v/>
      </c>
      <c r="H5" s="75">
        <f>Scenarios!$C$27</f>
        <v/>
      </c>
      <c r="I5" s="75">
        <f>Scenarios!$C$28</f>
        <v/>
      </c>
      <c r="J5" s="75">
        <f>Scenarios!$C$29</f>
        <v/>
      </c>
    </row>
    <row r="6" ht="42" customHeight="1">
      <c r="A6" s="16" t="inlineStr">
        <is>
          <t>Revenue growth %</t>
        </is>
      </c>
      <c r="B6" s="19" t="n"/>
      <c r="C6" s="38" t="inlineStr">
        <is>
          <t>LULU Q2 FY2026 earnings release</t>
        </is>
      </c>
      <c r="D6" s="19" t="n"/>
      <c r="F6" s="32">
        <f>F5/E5-1</f>
        <v/>
      </c>
      <c r="G6" s="32">
        <f>G5/F5-1</f>
        <v/>
      </c>
      <c r="H6" s="32">
        <f>H5/G5-1</f>
        <v/>
      </c>
      <c r="I6" s="32">
        <f>I5/H5-1</f>
        <v/>
      </c>
      <c r="J6" s="32">
        <f>J5/I5-1</f>
        <v/>
      </c>
    </row>
    <row r="7" ht="112" customHeight="1">
      <c r="A7" s="16" t="inlineStr">
        <is>
          <t>Gross margin %</t>
        </is>
      </c>
      <c r="B7" s="17" t="n"/>
      <c r="C7" s="18" t="inlineStr">
        <is>
          <t>LULU FY2025 10-K: Gross profit &amp; COGS</t>
        </is>
      </c>
      <c r="D7" s="19" t="n"/>
      <c r="E7" s="77">
        <f>(E5-E8)/E5</f>
        <v/>
      </c>
      <c r="F7" s="20">
        <f>Scenarios!$C$14</f>
        <v/>
      </c>
      <c r="G7" s="20">
        <f>Scenarios!$C$14</f>
        <v/>
      </c>
      <c r="H7" s="20">
        <f>Scenarios!$C$14</f>
        <v/>
      </c>
      <c r="I7" s="20">
        <f>Scenarios!$C$14</f>
        <v/>
      </c>
      <c r="J7" s="20">
        <f>Scenarios!$C$14</f>
        <v/>
      </c>
    </row>
    <row r="8">
      <c r="A8" s="16" t="inlineStr">
        <is>
          <t>Cost of goods sold (COGS)</t>
        </is>
      </c>
      <c r="E8" s="74" t="n">
        <v>4818468</v>
      </c>
      <c r="F8" s="75">
        <f>Scenarios!$C$35</f>
        <v/>
      </c>
      <c r="G8" s="75">
        <f>Scenarios!$C$36</f>
        <v/>
      </c>
      <c r="H8" s="75">
        <f>Scenarios!$C$37</f>
        <v/>
      </c>
      <c r="I8" s="75">
        <f>Scenarios!$C$38</f>
        <v/>
      </c>
      <c r="J8" s="75">
        <f>Scenarios!$C$39</f>
        <v/>
      </c>
    </row>
    <row r="9" ht="42" customHeight="1">
      <c r="A9" s="16" t="inlineStr">
        <is>
          <t>Clean / run-rate EBIT margin %</t>
        </is>
      </c>
      <c r="B9" s="19" t="n"/>
      <c r="C9" s="38" t="inlineStr">
        <is>
          <t>Q2 FY2026 release: 18.8% OM minus 560bps tariffs</t>
        </is>
      </c>
      <c r="D9" s="19" t="n"/>
      <c r="F9" s="32">
        <f>Scenarios!$C$40</f>
        <v/>
      </c>
      <c r="G9" s="32">
        <f>Scenarios!$C$41</f>
        <v/>
      </c>
      <c r="H9" s="32">
        <f>Scenarios!$C$42</f>
        <v/>
      </c>
      <c r="I9" s="32">
        <f>Scenarios!$C$43</f>
        <v/>
      </c>
      <c r="J9" s="32">
        <f>Scenarios!$C$44</f>
        <v/>
      </c>
    </row>
    <row r="10" ht="28" customHeight="1">
      <c r="A10" s="16" t="inlineStr">
        <is>
          <t>Plus: FY26 IEEPA tariff refunds (one-time)</t>
        </is>
      </c>
      <c r="B10" s="17" t="n"/>
      <c r="C10" s="18" t="inlineStr">
        <is>
          <t>Q2 FY2026 release: $134.5M IEEPA tariff refunds</t>
        </is>
      </c>
      <c r="D10" s="19" t="n"/>
      <c r="E10" s="74" t="n">
        <v>0</v>
      </c>
      <c r="F10" s="37">
        <f>Scenarios!$C$7</f>
        <v/>
      </c>
      <c r="G10" s="37" t="n">
        <v>0</v>
      </c>
      <c r="H10" s="37" t="n">
        <v>0</v>
      </c>
      <c r="I10" s="37" t="n">
        <v>0</v>
      </c>
      <c r="J10" s="37" t="n">
        <v>0</v>
      </c>
    </row>
    <row r="11">
      <c r="A11" s="23" t="inlineStr">
        <is>
          <t>EBIT (incl. FY26 refund)</t>
        </is>
      </c>
      <c r="E11" s="76" t="n">
        <v>2210615</v>
      </c>
      <c r="F11" s="25">
        <f>Scenarios!$C$45</f>
        <v/>
      </c>
      <c r="G11" s="25">
        <f>Scenarios!$C$46</f>
        <v/>
      </c>
      <c r="H11" s="25">
        <f>Scenarios!$C$47</f>
        <v/>
      </c>
      <c r="I11" s="25">
        <f>Scenarios!$C$48</f>
        <v/>
      </c>
      <c r="J11" s="25">
        <f>Scenarios!$C$49</f>
        <v/>
      </c>
    </row>
    <row r="12">
      <c r="A12" s="16" t="inlineStr">
        <is>
          <t>Reported EBIT margin % (incl. FY26 refund)</t>
        </is>
      </c>
      <c r="E12" s="77">
        <f>E11/E5</f>
        <v/>
      </c>
      <c r="F12" s="32">
        <f>F11/F5</f>
        <v/>
      </c>
      <c r="G12" s="32">
        <f>G11/G5</f>
        <v/>
      </c>
      <c r="H12" s="32">
        <f>H11/H5</f>
        <v/>
      </c>
      <c r="I12" s="32">
        <f>I11/I5</f>
        <v/>
      </c>
      <c r="J12" s="32">
        <f>J11/J5</f>
        <v/>
      </c>
    </row>
    <row r="13">
      <c r="A13" s="16" t="inlineStr">
        <is>
          <t>Less: unlevered tax (cash tax rate)</t>
        </is>
      </c>
      <c r="F13" s="75">
        <f>-F11*Scenarios!$C$11</f>
        <v/>
      </c>
      <c r="G13" s="75">
        <f>-G11*Scenarios!$C$11</f>
        <v/>
      </c>
      <c r="H13" s="75">
        <f>-H11*Scenarios!$C$11</f>
        <v/>
      </c>
      <c r="I13" s="75">
        <f>-I11*Scenarios!$C$11</f>
        <v/>
      </c>
      <c r="J13" s="75">
        <f>-J11*Scenarios!$C$11</f>
        <v/>
      </c>
    </row>
    <row r="14">
      <c r="A14" s="23" t="inlineStr">
        <is>
          <t>NOPAT</t>
        </is>
      </c>
      <c r="F14" s="25">
        <f>Scenarios!$C$50</f>
        <v/>
      </c>
      <c r="G14" s="25">
        <f>Scenarios!$C$51</f>
        <v/>
      </c>
      <c r="H14" s="25">
        <f>Scenarios!$C$52</f>
        <v/>
      </c>
      <c r="I14" s="25">
        <f>Scenarios!$C$53</f>
        <v/>
      </c>
      <c r="J14" s="25">
        <f>Scenarios!$C$54</f>
        <v/>
      </c>
    </row>
    <row r="15" ht="28" customHeight="1">
      <c r="A15" s="16" t="inlineStr">
        <is>
          <t>D&amp;A % of revenue</t>
        </is>
      </c>
      <c r="B15" s="17" t="n"/>
      <c r="C15" s="18" t="inlineStr">
        <is>
          <t>LULU CF statement (10-K)</t>
        </is>
      </c>
      <c r="D15" s="19" t="n"/>
      <c r="F15" s="20">
        <f>Scenarios!$C$12</f>
        <v/>
      </c>
      <c r="G15" s="20">
        <f>Scenarios!$C$12</f>
        <v/>
      </c>
      <c r="H15" s="20">
        <f>Scenarios!$C$12</f>
        <v/>
      </c>
      <c r="I15" s="20">
        <f>Scenarios!$C$12</f>
        <v/>
      </c>
      <c r="J15" s="20">
        <f>Scenarios!$C$12</f>
        <v/>
      </c>
    </row>
    <row r="16">
      <c r="A16" s="16" t="inlineStr">
        <is>
          <t>Plus: depreciation &amp; amortization</t>
        </is>
      </c>
      <c r="F16" s="75">
        <f>Scenarios!$C$55</f>
        <v/>
      </c>
      <c r="G16" s="75">
        <f>Scenarios!$C$56</f>
        <v/>
      </c>
      <c r="H16" s="75">
        <f>Scenarios!$C$57</f>
        <v/>
      </c>
      <c r="I16" s="75">
        <f>Scenarios!$C$58</f>
        <v/>
      </c>
      <c r="J16" s="75">
        <f>Scenarios!$C$59</f>
        <v/>
      </c>
    </row>
    <row r="17" ht="150" customHeight="1">
      <c r="A17" s="16" t="inlineStr">
        <is>
          <t>Capex % of revenue</t>
        </is>
      </c>
      <c r="B17" s="19" t="n"/>
      <c r="C17" s="38" t="inlineStr">
        <is>
          <t>LULU 10-K: 2026 capex guide $725–745M</t>
        </is>
      </c>
      <c r="D17" s="19" t="n"/>
      <c r="F17" s="20">
        <f>Scenarios!$C$13</f>
        <v/>
      </c>
      <c r="G17" s="20">
        <f>Scenarios!$C$13</f>
        <v/>
      </c>
      <c r="H17" s="20">
        <f>Scenarios!$C$13</f>
        <v/>
      </c>
      <c r="I17" s="20">
        <f>Scenarios!$C$13</f>
        <v/>
      </c>
      <c r="J17" s="20">
        <f>Scenarios!$C$13</f>
        <v/>
      </c>
    </row>
    <row r="18">
      <c r="A18" s="16" t="inlineStr">
        <is>
          <t>Less: capital expenditures</t>
        </is>
      </c>
      <c r="F18" s="75">
        <f>-Scenarios!$C$60</f>
        <v/>
      </c>
      <c r="G18" s="75">
        <f>-Scenarios!$C$61</f>
        <v/>
      </c>
      <c r="H18" s="75">
        <f>-Scenarios!$C$62</f>
        <v/>
      </c>
      <c r="I18" s="75">
        <f>-Scenarios!$C$63</f>
        <v/>
      </c>
      <c r="J18" s="75">
        <f>-Scenarios!$C$64</f>
        <v/>
      </c>
    </row>
    <row r="19" collapsed="1">
      <c r="A19" s="52" t="inlineStr">
        <is>
          <t>Working capital schedule (driver-based) [click − to collapse detail]</t>
        </is>
      </c>
    </row>
    <row r="20" outlineLevel="1" ht="150" customHeight="1">
      <c r="A20" s="16" t="inlineStr">
        <is>
          <t>DSO (days) — flat vs FY25</t>
        </is>
      </c>
      <c r="B20" s="17" t="n"/>
      <c r="C20" s="18" t="inlineStr">
        <is>
          <t>LULU FY2025 10-K: Accounts receivable, net</t>
        </is>
      </c>
      <c r="D20" s="19" t="n"/>
      <c r="E20" s="131">
        <f>(E21/E5)*365</f>
        <v/>
      </c>
      <c r="F20" s="28">
        <f>Scenarios!$C$65</f>
        <v/>
      </c>
      <c r="G20" s="28">
        <f>Scenarios!$C$66</f>
        <v/>
      </c>
      <c r="H20" s="28">
        <f>Scenarios!$C$67</f>
        <v/>
      </c>
      <c r="I20" s="28">
        <f>Scenarios!$C$68</f>
        <v/>
      </c>
      <c r="J20" s="28">
        <f>Scenarios!$C$69</f>
        <v/>
      </c>
    </row>
    <row r="21" outlineLevel="1" ht="98" customHeight="1">
      <c r="A21" s="16" t="inlineStr">
        <is>
          <t>Accounts receivable, net</t>
        </is>
      </c>
      <c r="B21" s="17" t="n"/>
      <c r="C21" s="18" t="inlineStr">
        <is>
          <t>LULU FY2025 10-K: Accounts receivable, net</t>
        </is>
      </c>
      <c r="D21" s="19" t="n"/>
      <c r="E21" s="74" t="n">
        <v>190657</v>
      </c>
      <c r="F21" s="75">
        <f>Scenarios!$C$70</f>
        <v/>
      </c>
      <c r="G21" s="75">
        <f>Scenarios!$C$71</f>
        <v/>
      </c>
      <c r="H21" s="75">
        <f>Scenarios!$C$72</f>
        <v/>
      </c>
      <c r="I21" s="75">
        <f>Scenarios!$C$73</f>
        <v/>
      </c>
      <c r="J21" s="75">
        <f>Scenarios!$C$74</f>
        <v/>
      </c>
    </row>
    <row r="22" outlineLevel="1" ht="150" customHeight="1">
      <c r="A22" s="16" t="inlineStr">
        <is>
          <t>DIO (days) — FY25 anchor, −1 day/yr</t>
        </is>
      </c>
      <c r="B22" s="19" t="n"/>
      <c r="C22" s="38" t="inlineStr">
        <is>
          <t>LULU FY2025 10-K: Inventories &amp; COGS</t>
        </is>
      </c>
      <c r="D22" s="19" t="n"/>
      <c r="E22" s="131">
        <f>(E23/E8)*365</f>
        <v/>
      </c>
      <c r="F22" s="28">
        <f>Scenarios!$C$75</f>
        <v/>
      </c>
      <c r="G22" s="28">
        <f>Scenarios!$C$76</f>
        <v/>
      </c>
      <c r="H22" s="28">
        <f>Scenarios!$C$77</f>
        <v/>
      </c>
      <c r="I22" s="28">
        <f>Scenarios!$C$78</f>
        <v/>
      </c>
      <c r="J22" s="28">
        <f>Scenarios!$C$79</f>
        <v/>
      </c>
    </row>
    <row r="23" outlineLevel="1" ht="112" customHeight="1">
      <c r="A23" s="16" t="inlineStr">
        <is>
          <t>Inventories</t>
        </is>
      </c>
      <c r="B23" s="17" t="n"/>
      <c r="C23" s="18" t="inlineStr">
        <is>
          <t>LULU FY2025 10-K: Inventories</t>
        </is>
      </c>
      <c r="D23" s="19" t="n"/>
      <c r="E23" s="74" t="n">
        <v>1700753</v>
      </c>
      <c r="F23" s="75">
        <f>Scenarios!$C$80</f>
        <v/>
      </c>
      <c r="G23" s="75">
        <f>Scenarios!$C$81</f>
        <v/>
      </c>
      <c r="H23" s="75">
        <f>Scenarios!$C$82</f>
        <v/>
      </c>
      <c r="I23" s="75">
        <f>Scenarios!$C$83</f>
        <v/>
      </c>
      <c r="J23" s="75">
        <f>Scenarios!$C$84</f>
        <v/>
      </c>
    </row>
    <row r="24" outlineLevel="1" ht="84" customHeight="1">
      <c r="A24" s="16" t="inlineStr">
        <is>
          <t>DPO (days) — flat vs FY25</t>
        </is>
      </c>
      <c r="B24" s="17" t="n"/>
      <c r="C24" s="18" t="inlineStr">
        <is>
          <t>LULU FY2025 10-K: Accounts payable &amp; COGS</t>
        </is>
      </c>
      <c r="D24" s="19" t="n"/>
      <c r="E24" s="131">
        <f>(E25/E8)*365</f>
        <v/>
      </c>
      <c r="F24" s="28">
        <f>Scenarios!$C$85</f>
        <v/>
      </c>
      <c r="G24" s="28">
        <f>Scenarios!$C$86</f>
        <v/>
      </c>
      <c r="H24" s="28">
        <f>Scenarios!$C$87</f>
        <v/>
      </c>
      <c r="I24" s="28">
        <f>Scenarios!$C$88</f>
        <v/>
      </c>
      <c r="J24" s="28">
        <f>Scenarios!$C$89</f>
        <v/>
      </c>
    </row>
    <row r="25" outlineLevel="1" ht="84" customHeight="1">
      <c r="A25" s="16" t="inlineStr">
        <is>
          <t>Accounts payable</t>
        </is>
      </c>
      <c r="B25" s="17" t="n"/>
      <c r="C25" s="18" t="inlineStr">
        <is>
          <t>LULU FY2025 10-K: Accounts payable</t>
        </is>
      </c>
      <c r="D25" s="19" t="n"/>
      <c r="E25" s="74" t="n">
        <v>331421</v>
      </c>
      <c r="F25" s="75">
        <f>Scenarios!$C$90</f>
        <v/>
      </c>
      <c r="G25" s="75">
        <f>Scenarios!$C$91</f>
        <v/>
      </c>
      <c r="H25" s="75">
        <f>Scenarios!$C$92</f>
        <v/>
      </c>
      <c r="I25" s="75">
        <f>Scenarios!$C$93</f>
        <v/>
      </c>
      <c r="J25" s="75">
        <f>Scenarios!$C$94</f>
        <v/>
      </c>
    </row>
    <row r="26" outlineLevel="1" ht="84" customHeight="1">
      <c r="A26" s="16" t="inlineStr">
        <is>
          <t>Prepaid expenses (% of revenue)</t>
        </is>
      </c>
      <c r="B26" s="17" t="n"/>
      <c r="C26" s="18" t="inlineStr">
        <is>
          <t>LULU FY2025 10-K: other current assets (residual)</t>
        </is>
      </c>
      <c r="D26" s="19" t="n"/>
      <c r="E26" s="77">
        <f>E27/E5</f>
        <v/>
      </c>
      <c r="F26" s="20">
        <f>Scenarios!$C$19</f>
        <v/>
      </c>
      <c r="G26" s="20">
        <f>Scenarios!$C$19</f>
        <v/>
      </c>
      <c r="H26" s="20">
        <f>Scenarios!$C$19</f>
        <v/>
      </c>
      <c r="I26" s="20">
        <f>Scenarios!$C$19</f>
        <v/>
      </c>
      <c r="J26" s="20">
        <f>Scenarios!$C$19</f>
        <v/>
      </c>
    </row>
    <row r="27" outlineLevel="1" ht="84" customHeight="1">
      <c r="A27" s="16" t="inlineStr">
        <is>
          <t>Prepaid expenses (other current assets)</t>
        </is>
      </c>
      <c r="B27" s="17" t="n"/>
      <c r="C27" s="18" t="inlineStr">
        <is>
          <t>LULU FY2025 10-K: other current assets (residual)</t>
        </is>
      </c>
      <c r="D27" s="19" t="n"/>
      <c r="E27" s="74" t="n">
        <v>564089</v>
      </c>
      <c r="F27" s="75">
        <f>Scenarios!$C$95</f>
        <v/>
      </c>
      <c r="G27" s="75">
        <f>Scenarios!$C$96</f>
        <v/>
      </c>
      <c r="H27" s="75">
        <f>Scenarios!$C$97</f>
        <v/>
      </c>
      <c r="I27" s="75">
        <f>Scenarios!$C$98</f>
        <v/>
      </c>
      <c r="J27" s="75">
        <f>Scenarios!$C$99</f>
        <v/>
      </c>
    </row>
    <row r="28" outlineLevel="1" ht="84" customHeight="1">
      <c r="A28" s="16" t="inlineStr">
        <is>
          <t>Accrued liabilities (% of revenue)</t>
        </is>
      </c>
      <c r="B28" s="17" t="n"/>
      <c r="C28" s="18" t="inlineStr">
        <is>
          <t>LULU FY2025 10-K: Accrued liabilities and other</t>
        </is>
      </c>
      <c r="D28" s="19" t="n"/>
      <c r="E28" s="77">
        <f>E29/E5</f>
        <v/>
      </c>
      <c r="F28" s="20">
        <f>Scenarios!$C$20</f>
        <v/>
      </c>
      <c r="G28" s="20">
        <f>Scenarios!$C$20</f>
        <v/>
      </c>
      <c r="H28" s="20">
        <f>Scenarios!$C$20</f>
        <v/>
      </c>
      <c r="I28" s="20">
        <f>Scenarios!$C$20</f>
        <v/>
      </c>
      <c r="J28" s="20">
        <f>Scenarios!$C$20</f>
        <v/>
      </c>
    </row>
    <row r="29" outlineLevel="1" ht="84" customHeight="1">
      <c r="A29" s="16" t="inlineStr">
        <is>
          <t>Accrued liabilities and other</t>
        </is>
      </c>
      <c r="B29" s="17" t="n"/>
      <c r="C29" s="18" t="inlineStr">
        <is>
          <t>LULU FY2025 10-K: Accrued liabilities and other</t>
        </is>
      </c>
      <c r="D29" s="19" t="n"/>
      <c r="E29" s="74" t="n">
        <v>662982</v>
      </c>
      <c r="F29" s="75">
        <f>Scenarios!$C$100</f>
        <v/>
      </c>
      <c r="G29" s="75">
        <f>Scenarios!$C$101</f>
        <v/>
      </c>
      <c r="H29" s="75">
        <f>Scenarios!$C$102</f>
        <v/>
      </c>
      <c r="I29" s="75">
        <f>Scenarios!$C$103</f>
        <v/>
      </c>
      <c r="J29" s="75">
        <f>Scenarios!$C$104</f>
        <v/>
      </c>
    </row>
    <row r="30" outlineLevel="1" ht="42" customHeight="1">
      <c r="A30" s="16" t="inlineStr">
        <is>
          <t>Current operating assets (AR + inv + prepaids)</t>
        </is>
      </c>
      <c r="B30" s="17" t="n"/>
      <c r="C30" s="18" t="inlineStr">
        <is>
          <t>Scenarios tab: AR + inventory + prepaids</t>
        </is>
      </c>
      <c r="D30" s="19" t="n"/>
      <c r="F30" s="75">
        <f>Scenarios!$C$105</f>
        <v/>
      </c>
      <c r="G30" s="75">
        <f>Scenarios!$C$106</f>
        <v/>
      </c>
      <c r="H30" s="75">
        <f>Scenarios!$C$107</f>
        <v/>
      </c>
      <c r="I30" s="75">
        <f>Scenarios!$C$108</f>
        <v/>
      </c>
      <c r="J30" s="75">
        <f>Scenarios!$C$109</f>
        <v/>
      </c>
    </row>
    <row r="31" outlineLevel="1" ht="42" customHeight="1">
      <c r="A31" s="16" t="inlineStr">
        <is>
          <t>Current operating liabilities (AP + accruals)</t>
        </is>
      </c>
      <c r="B31" s="17" t="n"/>
      <c r="C31" s="18" t="inlineStr">
        <is>
          <t>Scenarios tab: AP + accrued liabilities</t>
        </is>
      </c>
      <c r="D31" s="19" t="n"/>
      <c r="F31" s="75">
        <f>Scenarios!$C$110</f>
        <v/>
      </c>
      <c r="G31" s="75">
        <f>Scenarios!$C$111</f>
        <v/>
      </c>
      <c r="H31" s="75">
        <f>Scenarios!$C$112</f>
        <v/>
      </c>
      <c r="I31" s="75">
        <f>Scenarios!$C$113</f>
        <v/>
      </c>
      <c r="J31" s="75">
        <f>Scenarios!$C$114</f>
        <v/>
      </c>
    </row>
    <row r="32" outlineLevel="1" ht="42" customHeight="1">
      <c r="A32" s="23" t="inlineStr">
        <is>
          <t>Net working capital</t>
        </is>
      </c>
      <c r="B32" s="17" t="n"/>
      <c r="C32" s="18" t="inlineStr">
        <is>
          <t>LULU FY2025 10-K: working-capital components</t>
        </is>
      </c>
      <c r="D32" s="19" t="n"/>
      <c r="E32" s="76" t="n">
        <v>1461096</v>
      </c>
      <c r="F32" s="25">
        <f>Scenarios!$C$115</f>
        <v/>
      </c>
      <c r="G32" s="25">
        <f>Scenarios!$C$116</f>
        <v/>
      </c>
      <c r="H32" s="25">
        <f>Scenarios!$C$117</f>
        <v/>
      </c>
      <c r="I32" s="25">
        <f>Scenarios!$C$118</f>
        <v/>
      </c>
      <c r="J32" s="25">
        <f>Scenarios!$C$119</f>
        <v/>
      </c>
    </row>
    <row r="33" ht="56" customHeight="1">
      <c r="A33" s="23" t="inlineStr">
        <is>
          <t>ΔNWC (prior yr − current yr)</t>
        </is>
      </c>
      <c r="B33" s="17" t="n"/>
      <c r="C33" s="18" t="inlineStr">
        <is>
          <t>Scenarios tab: NWC roll-forward (driver schedule)</t>
        </is>
      </c>
      <c r="D33" s="19" t="n"/>
      <c r="F33" s="25">
        <f>Scenarios!$C$120</f>
        <v/>
      </c>
      <c r="G33" s="25">
        <f>Scenarios!$C$121</f>
        <v/>
      </c>
      <c r="H33" s="25">
        <f>Scenarios!$C$122</f>
        <v/>
      </c>
      <c r="I33" s="25">
        <f>Scenarios!$C$123</f>
        <v/>
      </c>
      <c r="J33" s="25">
        <f>Scenarios!$C$124</f>
        <v/>
      </c>
    </row>
    <row r="34">
      <c r="A34" s="26" t="n"/>
    </row>
    <row r="35">
      <c r="A35" s="23" t="inlineStr">
        <is>
          <t>Unlevered free cash flow</t>
        </is>
      </c>
      <c r="F35" s="89">
        <f>Scenarios!$C$125</f>
        <v/>
      </c>
      <c r="G35" s="89">
        <f>Scenarios!$C$126</f>
        <v/>
      </c>
      <c r="H35" s="89">
        <f>Scenarios!$C$127</f>
        <v/>
      </c>
      <c r="I35" s="89">
        <f>Scenarios!$C$128</f>
        <v/>
      </c>
      <c r="J35" s="89">
        <f>Scenarios!$C$129</f>
        <v/>
      </c>
    </row>
    <row r="36">
      <c r="A36" s="16" t="inlineStr">
        <is>
          <t>Discount period (years)</t>
        </is>
      </c>
      <c r="F36" s="90" t="n">
        <v>1</v>
      </c>
      <c r="G36" s="90" t="n">
        <v>2</v>
      </c>
      <c r="H36" s="90" t="n">
        <v>3</v>
      </c>
      <c r="I36" s="90" t="n">
        <v>4</v>
      </c>
      <c r="J36" s="90" t="n">
        <v>5</v>
      </c>
    </row>
    <row r="37">
      <c r="A37" s="16" t="inlineStr">
        <is>
          <t>Discount factor @ WACC</t>
        </is>
      </c>
      <c r="F37" s="91">
        <f>1/(1+Scenarios!$C$9)^F36</f>
        <v/>
      </c>
      <c r="G37" s="91">
        <f>1/(1+Scenarios!$C$9)^G36</f>
        <v/>
      </c>
      <c r="H37" s="91">
        <f>1/(1+Scenarios!$C$9)^H36</f>
        <v/>
      </c>
      <c r="I37" s="91">
        <f>1/(1+Scenarios!$C$9)^I36</f>
        <v/>
      </c>
      <c r="J37" s="91">
        <f>1/(1+Scenarios!$C$9)^J36</f>
        <v/>
      </c>
    </row>
    <row r="38">
      <c r="A38" s="23" t="inlineStr">
        <is>
          <t>PV of unlevered FCF</t>
        </is>
      </c>
      <c r="F38" s="25">
        <f>F35*F37</f>
        <v/>
      </c>
      <c r="G38" s="25">
        <f>G35*G37</f>
        <v/>
      </c>
      <c r="H38" s="25">
        <f>H35*H37</f>
        <v/>
      </c>
      <c r="I38" s="25">
        <f>I35*I37</f>
        <v/>
      </c>
      <c r="J38" s="25">
        <f>J35*J37</f>
        <v/>
      </c>
    </row>
    <row r="40">
      <c r="A40" s="15" t="n"/>
    </row>
    <row r="41">
      <c r="A41" s="93" t="inlineStr">
        <is>
          <t>VALUATION — GORDON GROWTH (PERPETUITY) METHOD</t>
        </is>
      </c>
      <c r="B41" s="13" t="n"/>
      <c r="C41" s="13" t="n"/>
    </row>
    <row r="42">
      <c r="A42" s="23" t="inlineStr">
        <is>
          <t>Sum of PV of explicit FCF (FY26–FY30)</t>
        </is>
      </c>
      <c r="E42" s="70">
        <f>SUM(F38:J38)</f>
        <v/>
      </c>
    </row>
    <row r="43" ht="28" customHeight="1">
      <c r="A43" s="16" t="inlineStr">
        <is>
          <t>Terminal growth rate (g)</t>
        </is>
      </c>
      <c r="B43" s="17" t="n"/>
      <c r="C43" s="18" t="inlineStr">
        <is>
          <t>FRED: Real GDP (GDPC1)</t>
        </is>
      </c>
      <c r="D43" s="19" t="n"/>
      <c r="E43" s="32">
        <f>Scenarios!$C$10</f>
        <v/>
      </c>
    </row>
    <row r="44">
      <c r="A44" s="23" t="inlineStr">
        <is>
          <t>Terminal EBITDA (FY2030E EBIT + D&amp;A)</t>
        </is>
      </c>
      <c r="E44" s="25">
        <f>J11+J16</f>
        <v/>
      </c>
    </row>
    <row r="45">
      <c r="A45" s="16" t="inlineStr">
        <is>
          <t>Terminal value = FCF₅×(1+g)/(WACC−g)</t>
        </is>
      </c>
      <c r="E45" s="75">
        <f>J35*(1+Scenarios!$C$10)/(Scenarios!$C$9-Scenarios!$C$10)</f>
        <v/>
      </c>
    </row>
    <row r="46">
      <c r="A46" s="16" t="inlineStr">
        <is>
          <t>Implied exit EV/EBITDA = Gordon TV / FY30 EBITDA</t>
        </is>
      </c>
      <c r="E46" s="94">
        <f>E45/E44</f>
        <v/>
      </c>
    </row>
    <row r="47">
      <c r="A47" s="16" t="n"/>
      <c r="E47" s="94">
        <f>J35/E44*(1+Scenarios!$C$10)/(Scenarios!$C$9-Scenarios!$C$10)</f>
        <v/>
      </c>
    </row>
    <row r="48">
      <c r="A48" s="23" t="inlineStr">
        <is>
          <t>PV of terminal value</t>
        </is>
      </c>
      <c r="E48" s="70">
        <f>E45/(1+Scenarios!$C$9)^J36</f>
        <v/>
      </c>
    </row>
    <row r="49">
      <c r="A49" s="23" t="inlineStr">
        <is>
          <t>Enterprise value</t>
        </is>
      </c>
      <c r="E49" s="25">
        <f>E42+E48</f>
        <v/>
      </c>
    </row>
    <row r="50" ht="28" customHeight="1">
      <c r="A50" s="16" t="inlineStr">
        <is>
          <t>Plus: cash &amp; equivalents (FY2025)</t>
        </is>
      </c>
      <c r="C50" s="95" t="inlineStr">
        <is>
          <t>10-K</t>
        </is>
      </c>
      <c r="D50" s="19" t="n"/>
      <c r="E50" s="74" t="n">
        <v>1807202</v>
      </c>
    </row>
    <row r="51" ht="28" customHeight="1">
      <c r="A51" s="16" t="inlineStr">
        <is>
          <t>Less: total debt &amp; operating leases</t>
        </is>
      </c>
      <c r="B51" s="17" t="n"/>
      <c r="C51" s="18" t="inlineStr">
        <is>
          <t>LULU FY2025 10-K: operating lease liabilities</t>
        </is>
      </c>
      <c r="D51" s="19" t="n"/>
      <c r="E51" s="74" t="n">
        <v>-1798441</v>
      </c>
    </row>
    <row r="52">
      <c r="A52" s="26" t="n"/>
    </row>
    <row r="53">
      <c r="A53" s="26" t="n"/>
    </row>
    <row r="54">
      <c r="A54" s="23" t="inlineStr">
        <is>
          <t>Equity value</t>
        </is>
      </c>
      <c r="E54" s="25">
        <f>E49+E50+E51</f>
        <v/>
      </c>
    </row>
    <row r="55" ht="28" customHeight="1">
      <c r="A55" s="16" t="inlineStr">
        <is>
          <t>Shares outstanding (000)</t>
        </is>
      </c>
      <c r="C55" s="95" t="inlineStr">
        <is>
          <t>10-K</t>
        </is>
      </c>
      <c r="D55" s="19" t="n"/>
      <c r="E55" s="74" t="n">
        <v>111380</v>
      </c>
    </row>
    <row r="56">
      <c r="A56" s="23" t="inlineStr">
        <is>
          <t>Implied value per share</t>
        </is>
      </c>
      <c r="E56" s="96">
        <f>E54/E55</f>
        <v/>
      </c>
    </row>
    <row r="57" ht="28" customHeight="1">
      <c r="A57" s="16" t="inlineStr">
        <is>
          <t>Current share price</t>
        </is>
      </c>
      <c r="C57" s="95" t="inlineStr">
        <is>
          <t>NASDAQ</t>
        </is>
      </c>
      <c r="D57" s="19" t="n"/>
      <c r="E57" s="97" t="n">
        <v>100</v>
      </c>
    </row>
    <row r="58">
      <c r="A58" s="23" t="inlineStr">
        <is>
          <t>Implied upside / (downside)</t>
        </is>
      </c>
      <c r="E58" s="98">
        <f>E56/E57-1</f>
        <v/>
      </c>
    </row>
    <row r="59">
      <c r="A59" s="16" t="n"/>
      <c r="E59" s="32">
        <f>E48/E49</f>
        <v/>
      </c>
    </row>
    <row r="62">
      <c r="A62" s="93" t="inlineStr">
        <is>
          <t>SHARE REPURCHASE &amp; EPS ACCRETION SCHEDULE</t>
        </is>
      </c>
      <c r="B62" s="13" t="n"/>
      <c r="C62" s="13" t="n"/>
      <c r="D62" s="13" t="n"/>
      <c r="E62" s="13" t="n"/>
    </row>
    <row r="63">
      <c r="A63" s="26" t="inlineStr">
        <is>
          <t>Guardrail: implied value per share above still divides equity value by Day-1 shares (E55 = 111,380k). This schedule does not change intrinsic DCF per share.</t>
        </is>
      </c>
    </row>
    <row r="65">
      <c r="A65" s="16" t="inlineStr">
        <is>
          <t>Annual repurchase budget ($000) — base case</t>
        </is>
      </c>
      <c r="E65" s="37">
        <f>Scenarios!$C$21</f>
        <v/>
      </c>
      <c r="F65" s="37">
        <f>$E$65</f>
        <v/>
      </c>
      <c r="G65" s="37">
        <f>$E$65</f>
        <v/>
      </c>
      <c r="H65" s="37">
        <f>$E$65</f>
        <v/>
      </c>
      <c r="I65" s="37">
        <f>$E$65</f>
        <v/>
      </c>
      <c r="J65" s="37">
        <f>$E$65</f>
        <v/>
      </c>
    </row>
    <row r="66">
      <c r="A66" s="16" t="inlineStr">
        <is>
          <t>Cost of equity — share-price growth rate</t>
        </is>
      </c>
      <c r="E66" s="20" t="n">
        <v>0.105</v>
      </c>
      <c r="F66" s="20">
        <f>$E$66</f>
        <v/>
      </c>
      <c r="G66" s="20">
        <f>$E$66</f>
        <v/>
      </c>
      <c r="H66" s="20">
        <f>$E$66</f>
        <v/>
      </c>
      <c r="I66" s="20">
        <f>$E$66</f>
        <v/>
      </c>
      <c r="J66" s="20">
        <f>$E$66</f>
        <v/>
      </c>
    </row>
    <row r="68">
      <c r="A68" s="16" t="inlineStr">
        <is>
          <t>Unlevered free cash flow (from DCF above)</t>
        </is>
      </c>
      <c r="F68" s="75">
        <f>F35</f>
        <v/>
      </c>
      <c r="G68" s="75">
        <f>G35</f>
        <v/>
      </c>
      <c r="H68" s="75">
        <f>H35</f>
        <v/>
      </c>
      <c r="I68" s="75">
        <f>I35</f>
        <v/>
      </c>
      <c r="J68" s="75">
        <f>J35</f>
        <v/>
      </c>
    </row>
    <row r="69">
      <c r="A69" s="16" t="inlineStr">
        <is>
          <t>Repurchase cash deployed (= fixed budget)</t>
        </is>
      </c>
      <c r="E69" s="75" t="n">
        <v>0</v>
      </c>
      <c r="F69" s="75">
        <f>F65</f>
        <v/>
      </c>
      <c r="G69" s="75">
        <f>G65</f>
        <v/>
      </c>
      <c r="H69" s="75">
        <f>H65</f>
        <v/>
      </c>
      <c r="I69" s="75">
        <f>I65</f>
        <v/>
      </c>
      <c r="J69" s="75">
        <f>J65</f>
        <v/>
      </c>
    </row>
    <row r="70">
      <c r="A70" s="16" t="inlineStr">
        <is>
          <t>Repurchase as % of UFCF (derived)</t>
        </is>
      </c>
      <c r="F70" s="32">
        <f>F69/F68</f>
        <v/>
      </c>
      <c r="G70" s="32">
        <f>G69/G68</f>
        <v/>
      </c>
      <c r="H70" s="32">
        <f>H69/H68</f>
        <v/>
      </c>
      <c r="I70" s="32">
        <f>I69/I68</f>
        <v/>
      </c>
      <c r="J70" s="32">
        <f>J69/J68</f>
        <v/>
      </c>
    </row>
    <row r="72">
      <c r="A72" s="16" t="inlineStr">
        <is>
          <t>Projected share price ($)</t>
        </is>
      </c>
      <c r="E72" s="99" t="n">
        <v>100</v>
      </c>
      <c r="F72" s="99">
        <f>E72*(1+$E$66)</f>
        <v/>
      </c>
      <c r="G72" s="99">
        <f>F72*(1+$E$66)</f>
        <v/>
      </c>
      <c r="H72" s="99">
        <f>G72*(1+$E$66)</f>
        <v/>
      </c>
      <c r="I72" s="99">
        <f>H72*(1+$E$66)</f>
        <v/>
      </c>
      <c r="J72" s="99">
        <f>I72*(1+$E$66)</f>
        <v/>
      </c>
    </row>
    <row r="73">
      <c r="A73" s="16" t="inlineStr">
        <is>
          <t>Shares retired (000)</t>
        </is>
      </c>
      <c r="E73" s="75" t="n">
        <v>0</v>
      </c>
      <c r="F73" s="75">
        <f>F69/F72</f>
        <v/>
      </c>
      <c r="G73" s="75">
        <f>G69/G72</f>
        <v/>
      </c>
      <c r="H73" s="75">
        <f>H69/H72</f>
        <v/>
      </c>
      <c r="I73" s="75">
        <f>I69/I72</f>
        <v/>
      </c>
      <c r="J73" s="75">
        <f>J69/J72</f>
        <v/>
      </c>
    </row>
    <row r="74">
      <c r="A74" s="16" t="inlineStr">
        <is>
          <t>Beginning shares (000)</t>
        </is>
      </c>
      <c r="E74" s="22" t="n">
        <v>111380</v>
      </c>
      <c r="F74" s="75">
        <f>$E$74</f>
        <v/>
      </c>
      <c r="G74" s="75">
        <f>F75</f>
        <v/>
      </c>
      <c r="H74" s="75">
        <f>G75</f>
        <v/>
      </c>
      <c r="I74" s="75">
        <f>H75</f>
        <v/>
      </c>
      <c r="J74" s="75">
        <f>I75</f>
        <v/>
      </c>
    </row>
    <row r="75">
      <c r="A75" s="23" t="inlineStr">
        <is>
          <t>Ending shares (000)</t>
        </is>
      </c>
      <c r="E75" s="100" t="n">
        <v>111380</v>
      </c>
      <c r="F75" s="25">
        <f>Scenarios!$C$183</f>
        <v/>
      </c>
      <c r="G75" s="25">
        <f>Scenarios!$C$184</f>
        <v/>
      </c>
      <c r="H75" s="25">
        <f>Scenarios!$C$185</f>
        <v/>
      </c>
      <c r="I75" s="25">
        <f>Scenarios!$C$186</f>
        <v/>
      </c>
      <c r="J75" s="25">
        <f>Scenarios!$C$187</f>
        <v/>
      </c>
    </row>
    <row r="77">
      <c r="A77" s="16" t="inlineStr">
        <is>
          <t>Projected net income ($000)</t>
        </is>
      </c>
      <c r="E77" s="22" t="n">
        <v>1579183</v>
      </c>
      <c r="F77" s="75">
        <f>Scenarios!$C$143</f>
        <v/>
      </c>
      <c r="G77" s="75">
        <f>Scenarios!$C$144</f>
        <v/>
      </c>
      <c r="H77" s="75">
        <f>Scenarios!$C$145</f>
        <v/>
      </c>
      <c r="I77" s="75">
        <f>Scenarios!$C$146</f>
        <v/>
      </c>
      <c r="J77" s="75">
        <f>Scenarios!$C$147</f>
        <v/>
      </c>
    </row>
    <row r="78">
      <c r="A78" s="23" t="inlineStr">
        <is>
          <t>Accretive EPS ($/share) = Net income ÷ ending shares</t>
        </is>
      </c>
      <c r="E78" s="101">
        <f>E77/E75</f>
        <v/>
      </c>
      <c r="F78" s="101">
        <f>Scenarios!$C$188</f>
        <v/>
      </c>
      <c r="G78" s="101">
        <f>Scenarios!$C$189</f>
        <v/>
      </c>
      <c r="H78" s="101">
        <f>Scenarios!$C$190</f>
        <v/>
      </c>
      <c r="I78" s="101">
        <f>Scenarios!$C$191</f>
        <v/>
      </c>
      <c r="J78" s="101">
        <f>Scenarios!$C$192</f>
        <v/>
      </c>
    </row>
    <row r="80">
      <c r="A80" s="93" t="n"/>
      <c r="B80" s="13" t="n"/>
      <c r="C80" s="13" t="n"/>
    </row>
    <row r="81">
      <c r="A81" s="15" t="inlineStr">
        <is>
          <t>Exit multiple is the Gordon identity — not a peer pick or an average</t>
        </is>
      </c>
    </row>
    <row r="82" ht="28" customHeight="1">
      <c r="A82" s="16" t="inlineStr">
        <is>
          <t>Selected exit EV/EBITDA (Gordon implied)</t>
        </is>
      </c>
      <c r="B82" s="17" t="n"/>
      <c r="C82" s="18" t="inlineStr">
        <is>
          <t>DCF: Gordon implied exit (TV / FY30 EBITDA)</t>
        </is>
      </c>
      <c r="D82" s="19" t="n"/>
      <c r="E82" s="94">
        <f>E46</f>
        <v/>
      </c>
    </row>
    <row r="83">
      <c r="A83" s="16" t="inlineStr">
        <is>
          <t>Terminal value = Terminal EBITDA × exit multiple</t>
        </is>
      </c>
      <c r="E83" s="75">
        <f>E44*E82</f>
        <v/>
      </c>
    </row>
    <row r="84">
      <c r="A84" s="16" t="inlineStr">
        <is>
          <t>PV of terminal value</t>
        </is>
      </c>
      <c r="E84" s="75">
        <f>E83/(1+Scenarios!$C$9)^J36</f>
        <v/>
      </c>
    </row>
    <row r="85">
      <c r="A85" s="23" t="inlineStr">
        <is>
          <t>Enterprise value (exit method)</t>
        </is>
      </c>
      <c r="E85" s="25">
        <f>E42+E84</f>
        <v/>
      </c>
    </row>
    <row r="86">
      <c r="A86" s="23" t="inlineStr">
        <is>
          <t>Implied value per share (exit method)</t>
        </is>
      </c>
      <c r="E86" s="102">
        <f>(E85+E50+E51)/E55</f>
        <v/>
      </c>
    </row>
    <row r="88">
      <c r="A88" s="93" t="inlineStr">
        <is>
          <t>TERMINAL VALUE RECONCILIATION (GORDON vs EXIT MULTIPLE)</t>
        </is>
      </c>
      <c r="B88" s="13" t="n"/>
      <c r="C88" s="13" t="n"/>
      <c r="D88" s="13" t="n"/>
    </row>
    <row r="89">
      <c r="A89" s="103" t="inlineStr"/>
      <c r="B89" s="54" t="n"/>
      <c r="C89" s="54" t="inlineStr">
        <is>
          <t>Exit Multiple</t>
        </is>
      </c>
      <c r="D89" s="54" t="n"/>
    </row>
    <row r="90">
      <c r="A90" s="23" t="inlineStr">
        <is>
          <t>Terminal value ($)</t>
        </is>
      </c>
      <c r="B90" s="70">
        <f>E45</f>
        <v/>
      </c>
      <c r="C90" s="70">
        <f>E83</f>
        <v/>
      </c>
      <c r="D90" s="70">
        <f>B90-C90</f>
        <v/>
      </c>
    </row>
    <row r="91">
      <c r="A91" s="23" t="inlineStr">
        <is>
          <t>Exit EV/EBITDA (implied vs selected)</t>
        </is>
      </c>
      <c r="B91" s="104">
        <f>E46</f>
        <v/>
      </c>
      <c r="C91" s="104">
        <f>E82</f>
        <v/>
      </c>
      <c r="D91" s="104">
        <f>B91-C91</f>
        <v/>
      </c>
    </row>
    <row r="92">
      <c r="A92" s="16" t="inlineStr">
        <is>
          <t>Terminal value variance (%)</t>
        </is>
      </c>
      <c r="B92" s="32" t="inlineStr"/>
      <c r="C92" s="32" t="inlineStr"/>
      <c r="D92" s="32">
        <f>(B90-C90)/B90</f>
        <v/>
      </c>
    </row>
    <row r="93">
      <c r="A93" s="23" t="inlineStr">
        <is>
          <t>Implied share price</t>
        </is>
      </c>
      <c r="B93" s="105">
        <f>E56</f>
        <v/>
      </c>
      <c r="C93" s="105">
        <f>E86</f>
        <v/>
      </c>
      <c r="D93" s="105">
        <f>B93-C93</f>
        <v/>
      </c>
    </row>
    <row r="94">
      <c r="A94" s="68" t="inlineStr">
        <is>
          <t>Sanity check: multiples within ±1.5 turns?</t>
        </is>
      </c>
      <c r="B94" s="106">
        <f>IF(ABS(D91)&lt;=1.5,"PASS","REVIEW")</f>
        <v/>
      </c>
      <c r="C94" s="107">
        <f>TEXT(D91,"0.0")&amp;"x spread vs Gordon-implied exit"</f>
        <v/>
      </c>
      <c r="D94" s="26" t="n"/>
    </row>
    <row r="97">
      <c r="A97" s="93" t="inlineStr">
        <is>
          <t>SENSITIVITY — IMPLIED SHARE PRICE (WACC vs terminal growth)</t>
        </is>
      </c>
      <c r="B97" s="13" t="n"/>
      <c r="C97" s="13" t="n"/>
      <c r="D97" s="13" t="n"/>
      <c r="E97" s="13" t="n"/>
      <c r="F97" s="13" t="n"/>
      <c r="G97" s="13" t="n"/>
      <c r="H97" s="13" t="n"/>
    </row>
    <row r="98" ht="28" customHeight="1">
      <c r="A98" s="108" t="inlineStr">
        <is>
          <t>WACC \ g</t>
        </is>
      </c>
      <c r="B98" s="17" t="n"/>
      <c r="C98" s="18" t="inlineStr">
        <is>
          <t>FRED: Real GDP (GDPC1)</t>
        </is>
      </c>
      <c r="D98" s="19" t="n"/>
      <c r="F98" s="109" t="n">
        <v>0.015</v>
      </c>
      <c r="G98" s="109" t="n">
        <v>0.02</v>
      </c>
      <c r="H98" s="109" t="n">
        <v>0.0225</v>
      </c>
      <c r="I98" s="109" t="n">
        <v>0.025</v>
      </c>
      <c r="J98" s="109" t="n">
        <v>0.03</v>
      </c>
    </row>
    <row r="99" ht="28" customHeight="1">
      <c r="A99" s="109" t="n">
        <v>0.095</v>
      </c>
      <c r="C99" s="95" t="inlineStr">
        <is>
          <t>Damodaran: Historical Implied ERP</t>
        </is>
      </c>
      <c r="D99" s="19" t="n"/>
      <c r="F99" s="110">
        <f>(NPV($A99,$F$35:$J$35)+($J$35*(1+F$98)/($A99-F$98))/(1+$A99)^$J$36+$E$50+$E$51)/$E$55</f>
        <v/>
      </c>
      <c r="G99" s="110">
        <f>(NPV($A99,$F$35:$J$35)+($J$35*(1+G$98)/($A99-G$98))/(1+$A99)^$J$36+$E$50+$E$51)/$E$55</f>
        <v/>
      </c>
      <c r="H99" s="110">
        <f>(NPV($A99,$F$35:$J$35)+($J$35*(1+H$98)/($A99-H$98))/(1+$A99)^$J$36+$E$50+$E$51)/$E$55</f>
        <v/>
      </c>
      <c r="I99" s="110">
        <f>(NPV($A99,$F$35:$J$35)+($J$35*(1+I$98)/($A99-I$98))/(1+$A99)^$J$36+$E$50+$E$51)/$E$55</f>
        <v/>
      </c>
      <c r="J99" s="110">
        <f>(NPV($A99,$F$35:$J$35)+($J$35*(1+J$98)/($A99-J$98))/(1+$A99)^$J$36+$E$50+$E$51)/$E$55</f>
        <v/>
      </c>
    </row>
    <row r="100" ht="28" customHeight="1">
      <c r="A100" s="109" t="n">
        <v>0.1</v>
      </c>
      <c r="D100" s="19" t="n"/>
      <c r="F100" s="110">
        <f>(NPV($A100,$F$35:$J$35)+($J$35*(1+F$98)/($A100-F$98))/(1+$A100)^$J$36+$E$50+$E$51)/$E$55</f>
        <v/>
      </c>
      <c r="G100" s="110">
        <f>(NPV($A100,$F$35:$J$35)+($J$35*(1+G$98)/($A100-G$98))/(1+$A100)^$J$36+$E$50+$E$51)/$E$55</f>
        <v/>
      </c>
      <c r="H100" s="110">
        <f>(NPV($A100,$F$35:$J$35)+($J$35*(1+H$98)/($A100-H$98))/(1+$A100)^$J$36+$E$50+$E$51)/$E$55</f>
        <v/>
      </c>
      <c r="I100" s="110">
        <f>(NPV($A100,$F$35:$J$35)+($J$35*(1+I$98)/($A100-I$98))/(1+$A100)^$J$36+$E$50+$E$51)/$E$55</f>
        <v/>
      </c>
      <c r="J100" s="110">
        <f>(NPV($A100,$F$35:$J$35)+($J$35*(1+J$98)/($A100-J$98))/(1+$A100)^$J$36+$E$50+$E$51)/$E$55</f>
        <v/>
      </c>
    </row>
    <row r="101" ht="28" customHeight="1">
      <c r="A101" s="109" t="n">
        <v>0.105</v>
      </c>
      <c r="D101" s="19" t="n"/>
      <c r="F101" s="110">
        <f>(NPV($A101,$F$35:$J$35)+($J$35*(1+F$98)/($A101-F$98))/(1+$A101)^$J$36+$E$50+$E$51)/$E$55</f>
        <v/>
      </c>
      <c r="G101" s="110">
        <f>(NPV($A101,$F$35:$J$35)+($J$35*(1+G$98)/($A101-G$98))/(1+$A101)^$J$36+$E$50+$E$51)/$E$55</f>
        <v/>
      </c>
      <c r="H101" s="111">
        <f>(NPV($A101,$F$35:$J$35)+($J$35*(1+H$98)/($A101-H$98))/(1+$A101)^$J$36+$E$50+$E$51)/$E$55</f>
        <v/>
      </c>
      <c r="I101" s="110">
        <f>(NPV($A101,$F$35:$J$35)+($J$35*(1+I$98)/($A101-I$98))/(1+$A101)^$J$36+$E$50+$E$51)/$E$55</f>
        <v/>
      </c>
      <c r="J101" s="110">
        <f>(NPV($A101,$F$35:$J$35)+($J$35*(1+J$98)/($A101-J$98))/(1+$A101)^$J$36+$E$50+$E$51)/$E$55</f>
        <v/>
      </c>
    </row>
    <row r="102" ht="28" customHeight="1">
      <c r="A102" s="109" t="n">
        <v>0.11</v>
      </c>
      <c r="D102" s="19" t="n"/>
      <c r="F102" s="110">
        <f>(NPV($A102,$F$35:$J$35)+($J$35*(1+F$98)/($A102-F$98))/(1+$A102)^$J$36+$E$50+$E$51)/$E$55</f>
        <v/>
      </c>
      <c r="G102" s="110">
        <f>(NPV($A102,$F$35:$J$35)+($J$35*(1+G$98)/($A102-G$98))/(1+$A102)^$J$36+$E$50+$E$51)/$E$55</f>
        <v/>
      </c>
      <c r="H102" s="110">
        <f>(NPV($A102,$F$35:$J$35)+($J$35*(1+H$98)/($A102-H$98))/(1+$A102)^$J$36+$E$50+$E$51)/$E$55</f>
        <v/>
      </c>
      <c r="I102" s="110">
        <f>(NPV($A102,$F$35:$J$35)+($J$35*(1+I$98)/($A102-I$98))/(1+$A102)^$J$36+$E$50+$E$51)/$E$55</f>
        <v/>
      </c>
      <c r="J102" s="110">
        <f>(NPV($A102,$F$35:$J$35)+($J$35*(1+J$98)/($A102-J$98))/(1+$A102)^$J$36+$E$50+$E$51)/$E$55</f>
        <v/>
      </c>
    </row>
    <row r="103" ht="28" customHeight="1">
      <c r="A103" s="109" t="n">
        <v>0.115</v>
      </c>
      <c r="D103" s="19" t="n"/>
      <c r="F103" s="110">
        <f>(NPV($A103,$F$35:$J$35)+($J$35*(1+F$98)/($A103-F$98))/(1+$A103)^$J$36+$E$50+$E$51)/$E$55</f>
        <v/>
      </c>
      <c r="G103" s="110">
        <f>(NPV($A103,$F$35:$J$35)+($J$35*(1+G$98)/($A103-G$98))/(1+$A103)^$J$36+$E$50+$E$51)/$E$55</f>
        <v/>
      </c>
      <c r="H103" s="110">
        <f>(NPV($A103,$F$35:$J$35)+($J$35*(1+H$98)/($A103-H$98))/(1+$A103)^$J$36+$E$50+$E$51)/$E$55</f>
        <v/>
      </c>
      <c r="I103" s="110">
        <f>(NPV($A103,$F$35:$J$35)+($J$35*(1+I$98)/($A103-I$98))/(1+$A103)^$J$36+$E$50+$E$51)/$E$55</f>
        <v/>
      </c>
      <c r="J103" s="110">
        <f>(NPV($A103,$F$35:$J$35)+($J$35*(1+J$98)/($A103-J$98))/(1+$A103)^$J$36+$E$50+$E$51)/$E$55</f>
        <v/>
      </c>
    </row>
    <row r="104" ht="28" customHeight="1">
      <c r="B104" s="17" t="n"/>
      <c r="C104" s="18" t="inlineStr">
        <is>
          <t>Scenarios: WACC &amp; terminal g</t>
        </is>
      </c>
      <c r="D104" s="19" t="n"/>
    </row>
  </sheetData>
  <hyperlinks>
    <hyperlink xmlns:r="http://schemas.openxmlformats.org/officeDocument/2006/relationships" ref="E3" r:id="rId1"/>
    <hyperlink ref="D4" location="'Revenue Drivers'!A1"/>
    <hyperlink xmlns:r="http://schemas.openxmlformats.org/officeDocument/2006/relationships" ref="E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C15" r:id="rId12"/>
    <hyperlink xmlns:r="http://schemas.openxmlformats.org/officeDocument/2006/relationships" ref="C17" r:id="rId13"/>
    <hyperlink xmlns:r="http://schemas.openxmlformats.org/officeDocument/2006/relationships" ref="C20" r:id="rId14"/>
    <hyperlink xmlns:r="http://schemas.openxmlformats.org/officeDocument/2006/relationships" ref="E20" r:id="rId15"/>
    <hyperlink xmlns:r="http://schemas.openxmlformats.org/officeDocument/2006/relationships" ref="C21" r:id="rId16"/>
    <hyperlink xmlns:r="http://schemas.openxmlformats.org/officeDocument/2006/relationships" ref="E21" r:id="rId17"/>
    <hyperlink xmlns:r="http://schemas.openxmlformats.org/officeDocument/2006/relationships" ref="C22" r:id="rId18"/>
    <hyperlink xmlns:r="http://schemas.openxmlformats.org/officeDocument/2006/relationships" ref="E22" r:id="rId19"/>
    <hyperlink xmlns:r="http://schemas.openxmlformats.org/officeDocument/2006/relationships" ref="C23" r:id="rId20"/>
    <hyperlink xmlns:r="http://schemas.openxmlformats.org/officeDocument/2006/relationships" ref="E23" r:id="rId21"/>
    <hyperlink xmlns:r="http://schemas.openxmlformats.org/officeDocument/2006/relationships" ref="C24" r:id="rId22"/>
    <hyperlink xmlns:r="http://schemas.openxmlformats.org/officeDocument/2006/relationships" ref="E24" r:id="rId23"/>
    <hyperlink xmlns:r="http://schemas.openxmlformats.org/officeDocument/2006/relationships" ref="C25" r:id="rId24"/>
    <hyperlink xmlns:r="http://schemas.openxmlformats.org/officeDocument/2006/relationships" ref="E25" r:id="rId25"/>
    <hyperlink xmlns:r="http://schemas.openxmlformats.org/officeDocument/2006/relationships" ref="C26" r:id="rId26"/>
    <hyperlink xmlns:r="http://schemas.openxmlformats.org/officeDocument/2006/relationships" ref="E26" r:id="rId27"/>
    <hyperlink xmlns:r="http://schemas.openxmlformats.org/officeDocument/2006/relationships" ref="C27" r:id="rId28"/>
    <hyperlink xmlns:r="http://schemas.openxmlformats.org/officeDocument/2006/relationships" ref="E27" r:id="rId29"/>
    <hyperlink xmlns:r="http://schemas.openxmlformats.org/officeDocument/2006/relationships" ref="C28" r:id="rId30"/>
    <hyperlink xmlns:r="http://schemas.openxmlformats.org/officeDocument/2006/relationships" ref="E28" r:id="rId31"/>
    <hyperlink xmlns:r="http://schemas.openxmlformats.org/officeDocument/2006/relationships" ref="C29" r:id="rId32"/>
    <hyperlink xmlns:r="http://schemas.openxmlformats.org/officeDocument/2006/relationships" ref="E29" r:id="rId33"/>
    <hyperlink ref="C30" location="'Scenarios'!A105"/>
    <hyperlink ref="C31" location="'Scenarios'!A110"/>
    <hyperlink xmlns:r="http://schemas.openxmlformats.org/officeDocument/2006/relationships" ref="C32" r:id="rId34"/>
    <hyperlink xmlns:r="http://schemas.openxmlformats.org/officeDocument/2006/relationships" ref="E32" r:id="rId35"/>
    <hyperlink ref="C33" location="'Scenarios'!A120"/>
    <hyperlink xmlns:r="http://schemas.openxmlformats.org/officeDocument/2006/relationships" ref="C43" r:id="rId36"/>
    <hyperlink xmlns:r="http://schemas.openxmlformats.org/officeDocument/2006/relationships" ref="C50" r:id="rId37"/>
    <hyperlink xmlns:r="http://schemas.openxmlformats.org/officeDocument/2006/relationships" ref="E50" r:id="rId38"/>
    <hyperlink xmlns:r="http://schemas.openxmlformats.org/officeDocument/2006/relationships" ref="C51" r:id="rId39"/>
    <hyperlink xmlns:r="http://schemas.openxmlformats.org/officeDocument/2006/relationships" ref="E51" r:id="rId40"/>
    <hyperlink xmlns:r="http://schemas.openxmlformats.org/officeDocument/2006/relationships" ref="C55" r:id="rId41"/>
    <hyperlink xmlns:r="http://schemas.openxmlformats.org/officeDocument/2006/relationships" ref="E55" r:id="rId42"/>
    <hyperlink xmlns:r="http://schemas.openxmlformats.org/officeDocument/2006/relationships" ref="C57" r:id="rId43"/>
    <hyperlink xmlns:r="http://schemas.openxmlformats.org/officeDocument/2006/relationships" ref="E57" r:id="rId44"/>
    <hyperlink ref="C82" location="'DCF'!E46"/>
    <hyperlink xmlns:r="http://schemas.openxmlformats.org/officeDocument/2006/relationships" ref="C98" r:id="rId45"/>
    <hyperlink xmlns:r="http://schemas.openxmlformats.org/officeDocument/2006/relationships" ref="C99" r:id="rId46"/>
    <hyperlink ref="C104" location="'Scenarios'!G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1"/>
    <pageSetUpPr/>
  </sheetPr>
  <dimension ref="A1:J63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8" customWidth="1" min="2" max="2"/>
    <col width="18" customWidth="1" min="3" max="3"/>
    <col width="4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16" customHeight="1">
      <c r="A1" s="12" t="inlineStr">
        <is>
          <t>RELATIVE VALUATION — IMPLIED PRICE RANGES (FOOTBALL FIELD)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B2" s="15" t="n"/>
      <c r="C2" s="15" t="inlineStr">
        <is>
          <t>Source (click)</t>
        </is>
      </c>
      <c r="D2" s="15" t="n"/>
    </row>
    <row r="3">
      <c r="A3" s="14" t="inlineStr">
        <is>
          <t>LULU operating metrics (FY2025A / FY2026E)</t>
        </is>
      </c>
    </row>
    <row r="4" ht="28" customHeight="1">
      <c r="A4" s="16" t="inlineStr">
        <is>
          <t>FY2025A revenue</t>
        </is>
      </c>
      <c r="C4" s="95" t="inlineStr">
        <is>
          <t>10-K</t>
        </is>
      </c>
      <c r="D4" s="19" t="n"/>
      <c r="E4" s="74" t="n">
        <v>11102600</v>
      </c>
    </row>
    <row r="5">
      <c r="A5" s="16" t="inlineStr">
        <is>
          <t>FY2025A EBITDA (EBIT + D&amp;A)</t>
        </is>
      </c>
      <c r="E5" s="75">
        <f>DCF!$E$11+DCF!$E$16</f>
        <v/>
      </c>
    </row>
    <row r="6">
      <c r="A6" s="16" t="inlineStr">
        <is>
          <t>FY2030E terminal EBITDA (DCF EBIT + D&amp;A)</t>
        </is>
      </c>
      <c r="C6" s="95" t="inlineStr">
        <is>
          <t>↳ DCF base case</t>
        </is>
      </c>
      <c r="E6" s="75">
        <f>DCF!E44</f>
        <v/>
      </c>
    </row>
    <row r="7" ht="28" customHeight="1">
      <c r="A7" s="16" t="inlineStr">
        <is>
          <t>FY2026E diluted EPS (guidance midpoint)</t>
        </is>
      </c>
      <c r="C7" s="95" t="inlineStr">
        <is>
          <t>Release</t>
        </is>
      </c>
      <c r="D7" s="19" t="n"/>
      <c r="E7" s="97" t="n">
        <v>9.609999999999999</v>
      </c>
    </row>
    <row r="8" ht="28" customHeight="1">
      <c r="A8" s="16" t="inlineStr">
        <is>
          <t>Cash &amp; equivalents</t>
        </is>
      </c>
      <c r="C8" s="95" t="inlineStr">
        <is>
          <t>10-K</t>
        </is>
      </c>
      <c r="D8" s="19" t="n"/>
      <c r="E8" s="74" t="n">
        <v>1807202</v>
      </c>
    </row>
    <row r="9" ht="28" customHeight="1">
      <c r="A9" s="16" t="inlineStr">
        <is>
          <t>Shares outstanding (000)</t>
        </is>
      </c>
      <c r="C9" s="95" t="inlineStr">
        <is>
          <t>10-K</t>
        </is>
      </c>
      <c r="D9" s="19" t="n"/>
      <c r="E9" s="74" t="n">
        <v>111380</v>
      </c>
    </row>
    <row r="10" ht="28" customHeight="1">
      <c r="A10" s="16" t="inlineStr">
        <is>
          <t>Current share price</t>
        </is>
      </c>
      <c r="C10" s="95" t="inlineStr">
        <is>
          <t>NASDAQ</t>
        </is>
      </c>
      <c r="D10" s="19" t="n"/>
      <c r="E10" s="97" t="n">
        <v>100</v>
      </c>
    </row>
    <row r="11">
      <c r="A11" s="107" t="n"/>
      <c r="E11" s="112">
        <f>(E10*E9-E8)/E5</f>
        <v/>
      </c>
    </row>
    <row r="12">
      <c r="A12" s="107" t="n"/>
      <c r="E12" s="112">
        <f>E10/E7</f>
        <v/>
      </c>
    </row>
    <row r="14">
      <c r="A14" s="14" t="inlineStr">
        <is>
          <t>EXIT MULTIPLE BUILD — FY2030E TERMINAL YEAR</t>
        </is>
      </c>
    </row>
    <row r="15">
      <c r="A15" s="107" t="inlineStr">
        <is>
          <t>Peer / reference EV/EBITDA (forward / illustrative)</t>
        </is>
      </c>
    </row>
    <row r="16">
      <c r="A16" s="14" t="inlineStr">
        <is>
          <t>PITCHBOOK PUBCOMPS — daily EV / TTM EBITDA as of 04-Sep-2026 ($000)</t>
        </is>
      </c>
    </row>
    <row r="17">
      <c r="A17" s="26" t="n"/>
    </row>
    <row r="18">
      <c r="A18" s="113" t="inlineStr">
        <is>
          <t>Company</t>
        </is>
      </c>
      <c r="B18" s="113" t="n"/>
      <c r="C18" s="113" t="inlineStr">
        <is>
          <t>Source</t>
        </is>
      </c>
      <c r="D18" s="113" t="n"/>
      <c r="E18" s="114" t="inlineStr">
        <is>
          <t>EV/EBITDA</t>
        </is>
      </c>
      <c r="I18" s="114" t="inlineStr">
        <is>
          <t>EV ($000)</t>
        </is>
      </c>
      <c r="J18" s="114" t="inlineStr">
        <is>
          <t>EBITDA ($000)</t>
        </is>
      </c>
    </row>
    <row r="19" ht="28" customHeight="1">
      <c r="A19" s="16" t="inlineStr">
        <is>
          <t>lululemon (LULU)</t>
        </is>
      </c>
      <c r="B19" s="17" t="n"/>
      <c r="C19" s="24" t="inlineStr">
        <is>
          <t>PitchBook Comps Set 04-Sep-2026</t>
        </is>
      </c>
      <c r="D19" s="19" t="n"/>
      <c r="E19" s="115">
        <f>IF(J19&lt;=0,"n.m.",I19/J19)</f>
        <v/>
      </c>
      <c r="I19" s="116" t="n">
        <v>11890440</v>
      </c>
      <c r="J19" s="116" t="n">
        <v>2548084</v>
      </c>
    </row>
    <row r="20" ht="28" customHeight="1">
      <c r="A20" s="16" t="inlineStr">
        <is>
          <t>Under Armour (UAA)</t>
        </is>
      </c>
      <c r="B20" s="17" t="n"/>
      <c r="C20" s="24" t="inlineStr">
        <is>
          <t>PitchBook Comps Set 04-Sep-2026</t>
        </is>
      </c>
      <c r="D20" s="19" t="n"/>
      <c r="E20" s="115">
        <f>IF(J20&lt;=0,"n.m.",I20/J20)</f>
        <v/>
      </c>
      <c r="I20" s="116" t="n">
        <v>3208397</v>
      </c>
      <c r="J20" s="116" t="n">
        <v>-23230</v>
      </c>
    </row>
    <row r="21" ht="28" customHeight="1">
      <c r="A21" s="16" t="inlineStr">
        <is>
          <t>adidas (ADS)</t>
        </is>
      </c>
      <c r="B21" s="17" t="n"/>
      <c r="C21" s="24" t="inlineStr">
        <is>
          <t>PitchBook Comps Set 04-Sep-2026</t>
        </is>
      </c>
      <c r="D21" s="19" t="n"/>
      <c r="E21" s="115">
        <f>IF(J21&lt;=0,"n.m.",I21/J21)</f>
        <v/>
      </c>
      <c r="I21" s="116" t="n">
        <v>35661944</v>
      </c>
      <c r="J21" s="116" t="n">
        <v>3857684</v>
      </c>
    </row>
    <row r="22" ht="28" customHeight="1">
      <c r="A22" s="16" t="inlineStr">
        <is>
          <t>Nike (NKE)</t>
        </is>
      </c>
      <c r="B22" s="17" t="n"/>
      <c r="C22" s="24" t="inlineStr">
        <is>
          <t>PitchBook Comps Set 04-Sep-2026</t>
        </is>
      </c>
      <c r="D22" s="19" t="n"/>
      <c r="E22" s="115">
        <f>IF(J22&lt;=0,"n.m.",I22/J22)</f>
        <v/>
      </c>
      <c r="I22" s="116" t="n">
        <v>58972350</v>
      </c>
      <c r="J22" s="116" t="n">
        <v>4647000</v>
      </c>
    </row>
    <row r="23" ht="28" customHeight="1">
      <c r="A23" s="16" t="inlineStr">
        <is>
          <t>Deckers (DECK)</t>
        </is>
      </c>
      <c r="B23" s="17" t="n"/>
      <c r="C23" s="24" t="inlineStr">
        <is>
          <t>PitchBook Comps Set 04-Sep-2026</t>
        </is>
      </c>
      <c r="D23" s="19" t="n"/>
      <c r="E23" s="115">
        <f>IF(J23&lt;=0,"n.m.",I23/J23)</f>
        <v/>
      </c>
      <c r="I23" s="116" t="n">
        <v>10555510</v>
      </c>
      <c r="J23" s="116" t="n">
        <v>1329439</v>
      </c>
    </row>
    <row r="24" ht="28" customHeight="1">
      <c r="A24" s="16" t="inlineStr">
        <is>
          <t>Williams-Sonoma (WSM)</t>
        </is>
      </c>
      <c r="B24" s="17" t="n"/>
      <c r="C24" s="24" t="inlineStr">
        <is>
          <t>PitchBook Comps Set 04-Sep-2026</t>
        </is>
      </c>
      <c r="D24" s="19" t="n"/>
      <c r="E24" s="115">
        <f>IF(J24&lt;=0,"n.m.",I24/J24)</f>
        <v/>
      </c>
      <c r="I24" s="116" t="n">
        <v>27284350</v>
      </c>
      <c r="J24" s="116" t="n">
        <v>1768400</v>
      </c>
    </row>
    <row r="25" ht="28" customHeight="1">
      <c r="A25" s="16" t="inlineStr">
        <is>
          <t>Crocs (CROX)</t>
        </is>
      </c>
      <c r="B25" s="17" t="n"/>
      <c r="C25" s="24" t="inlineStr">
        <is>
          <t>PitchBook Comps Set 04-Sep-2026</t>
        </is>
      </c>
      <c r="D25" s="19" t="n"/>
      <c r="E25" s="115">
        <f>IF(J25&lt;=0,"n.m.",I25/J25)</f>
        <v/>
      </c>
      <c r="I25" s="116" t="n">
        <v>7153911</v>
      </c>
      <c r="J25" s="116" t="n">
        <v>922278</v>
      </c>
    </row>
    <row r="26" ht="28" customHeight="1">
      <c r="A26" s="16" t="inlineStr">
        <is>
          <t>Movado (MOV)</t>
        </is>
      </c>
      <c r="B26" s="17" t="n"/>
      <c r="C26" s="24" t="inlineStr">
        <is>
          <t>PitchBook Comps Set 04-Sep-2026</t>
        </is>
      </c>
      <c r="D26" s="19" t="n"/>
      <c r="E26" s="115">
        <f>IF(J26&lt;=0,"n.m.",I26/J26)</f>
        <v/>
      </c>
      <c r="I26" s="116" t="n">
        <v>616045</v>
      </c>
      <c r="J26" s="116" t="n">
        <v>62010</v>
      </c>
    </row>
    <row r="27" ht="28" customHeight="1">
      <c r="A27" s="16" t="inlineStr">
        <is>
          <t>Levi Strauss (LEVI)</t>
        </is>
      </c>
      <c r="B27" s="17" t="n"/>
      <c r="C27" s="24" t="inlineStr">
        <is>
          <t>PitchBook Comps Set 04-Sep-2026</t>
        </is>
      </c>
      <c r="D27" s="19" t="n"/>
      <c r="E27" s="115">
        <f>IF(J27&lt;=0,"n.m.",I27/J27)</f>
        <v/>
      </c>
      <c r="I27" s="116" t="n">
        <v>9422753</v>
      </c>
      <c r="J27" s="116" t="n">
        <v>976700</v>
      </c>
    </row>
    <row r="28" ht="28" customHeight="1">
      <c r="A28" s="16" t="inlineStr">
        <is>
          <t>La-Z-Boy (LZB)</t>
        </is>
      </c>
      <c r="B28" s="17" t="n"/>
      <c r="C28" s="24" t="inlineStr">
        <is>
          <t>PitchBook Comps Set 04-Sep-2026</t>
        </is>
      </c>
      <c r="D28" s="19" t="n"/>
      <c r="E28" s="115">
        <f>IF(J28&lt;=0,"n.m.",I28/J28)</f>
        <v/>
      </c>
      <c r="I28" s="116" t="n">
        <v>1598873</v>
      </c>
      <c r="J28" s="116" t="n">
        <v>235723</v>
      </c>
    </row>
    <row r="29" ht="28" customHeight="1">
      <c r="A29" s="16" t="inlineStr">
        <is>
          <t>Kontoor (KTB)</t>
        </is>
      </c>
      <c r="B29" s="17" t="n"/>
      <c r="C29" s="24" t="inlineStr">
        <is>
          <t>PitchBook Comps Set 04-Sep-2026</t>
        </is>
      </c>
      <c r="D29" s="19" t="n"/>
      <c r="E29" s="115">
        <f>IF(J29&lt;=0,"n.m.",I29/J29)</f>
        <v/>
      </c>
      <c r="I29" s="116" t="n">
        <v>5236269</v>
      </c>
      <c r="J29" s="116" t="n">
        <v>407521</v>
      </c>
    </row>
    <row r="31">
      <c r="A31" s="14" t="n"/>
    </row>
    <row r="32">
      <c r="A32" s="26" t="n"/>
    </row>
    <row r="33" ht="42" customHeight="1">
      <c r="A33" s="16" t="inlineStr">
        <is>
          <t>Alo / Color Image 2023 Moelis ask ($bn)</t>
        </is>
      </c>
      <c r="B33" s="19" t="n"/>
      <c r="C33" s="38" t="inlineStr">
        <is>
          <t>Reuters: Alo parent $10bn Moelis ask</t>
        </is>
      </c>
      <c r="D33" s="19" t="n"/>
      <c r="E33" s="117" t="n">
        <v>10</v>
      </c>
    </row>
    <row r="34" ht="28" customHeight="1">
      <c r="A34" s="16" t="inlineStr">
        <is>
          <t>Color Image parent sales, Forbes est. ($bn)</t>
        </is>
      </c>
      <c r="B34" s="17" t="n"/>
      <c r="C34" s="18" t="inlineStr">
        <is>
          <t>Forbes: Color Image nearly $2bn sales</t>
        </is>
      </c>
      <c r="D34" s="19" t="n"/>
      <c r="E34" s="117" t="n">
        <v>2</v>
      </c>
    </row>
    <row r="35" ht="28" customHeight="1">
      <c r="A35" s="68" t="inlineStr">
        <is>
          <t>Alo implied EV/Sales (ask / parent sales)</t>
        </is>
      </c>
      <c r="B35" s="26" t="n"/>
      <c r="C35" s="95" t="inlineStr">
        <is>
          <t>Comps: Alo ask / parent sales</t>
        </is>
      </c>
      <c r="D35" s="19" t="n"/>
      <c r="E35" s="118">
        <f>E33/E34</f>
        <v/>
      </c>
    </row>
    <row r="36" ht="28" customHeight="1">
      <c r="A36" s="16" t="inlineStr">
        <is>
          <t>Alo EV/EBITDA</t>
        </is>
      </c>
      <c r="B36" s="26" t="n"/>
      <c r="C36" s="26" t="inlineStr">
        <is>
          <t>None — no EBITDA source</t>
        </is>
      </c>
      <c r="D36" s="19" t="n"/>
      <c r="E36" s="119" t="inlineStr">
        <is>
          <t>n.a.</t>
        </is>
      </c>
    </row>
    <row r="38">
      <c r="A38" s="14" t="inlineStr">
        <is>
          <t>Averages (live Excel AVERAGE — shown so TV is not a blended print)</t>
        </is>
      </c>
    </row>
    <row r="39">
      <c r="A39" s="16" t="inlineStr">
        <is>
          <t>Core athletic / apparel mean (LULU / NKE / ADS / DECK / CROX / LEVI / KTB)</t>
        </is>
      </c>
      <c r="B39" s="26" t="n"/>
      <c r="C39" s="26" t="inlineStr">
        <is>
          <t>Derived: Excel AVERAGE of the seven core prints</t>
        </is>
      </c>
      <c r="D39" s="26" t="n"/>
      <c r="E39" s="115">
        <f>AVERAGE(E19,E22,E21,E23,E25,E27,E29)</f>
        <v/>
      </c>
    </row>
    <row r="40">
      <c r="A40" s="16" t="inlineStr">
        <is>
          <t>All positive-EBITDA mean (ex-UAA; includes WSM / MOV / LZB)</t>
        </is>
      </c>
      <c r="B40" s="26" t="n"/>
      <c r="C40" s="26" t="inlineStr">
        <is>
          <t>Derived: Excel AVERAGE of every positive-EBITDA row</t>
        </is>
      </c>
      <c r="D40" s="26" t="n"/>
      <c r="E40" s="115">
        <f>AVERAGE(E19,E21,E22,E23,E24,E25,E26,E27,E28,E29)</f>
        <v/>
      </c>
    </row>
    <row r="41">
      <c r="A41" s="107" t="inlineStr">
        <is>
          <t>We do not average peers for terminal value, and we do not use Alo 5.0x EV/Sales as EV/EBITDA.</t>
        </is>
      </c>
    </row>
    <row r="43">
      <c r="A43" s="14" t="inlineStr">
        <is>
          <t>Terminal multiple selection (DCF exit method)</t>
        </is>
      </c>
    </row>
    <row r="44">
      <c r="A44" s="16" t="inlineStr">
        <is>
          <t>Gordon Growth implied exit EV/EBITDA</t>
        </is>
      </c>
      <c r="E44" s="94">
        <f>DCF!E46</f>
        <v/>
      </c>
    </row>
    <row r="45">
      <c r="A45" s="68" t="inlineStr">
        <is>
          <t>Selected exit multiple (base case)</t>
        </is>
      </c>
      <c r="E45" s="104">
        <f>DCF!E82</f>
        <v/>
      </c>
    </row>
    <row r="46">
      <c r="A46" s="16" t="inlineStr">
        <is>
          <t>Spread (selected − Gordon implied)</t>
        </is>
      </c>
      <c r="E46" s="94">
        <f>E45-E44</f>
        <v/>
      </c>
    </row>
    <row r="47">
      <c r="A47" s="68" t="inlineStr">
        <is>
          <t>Rationale for selected exit (Gordon identity, not a peer pick)</t>
        </is>
      </c>
    </row>
    <row r="48">
      <c r="A48" s="41" t="n"/>
    </row>
    <row r="49">
      <c r="A49" s="41" t="inlineStr">
        <is>
          <t>• At base WACC ~9.0% and g 2.25% that identity is ~7.4x FY30 EBITDA — not a peer average</t>
        </is>
      </c>
    </row>
    <row r="50">
      <c r="A50" s="41" t="inlineStr">
        <is>
          <t>• PitchBook pubcomps (04-Sep-2026) are the current tape: each multiple is daily EV / TTM EBITDA</t>
        </is>
      </c>
    </row>
    <row r="51">
      <c r="A51" s="41" t="inlineStr">
        <is>
          <t>• That tape is a check, not the exit. A 2.25% g / 15.5% OM year is not today’s NKE/WSM multiple</t>
        </is>
      </c>
    </row>
    <row r="52">
      <c r="A52" s="41" t="inlineStr">
        <is>
          <t>• Alo has no EV/EBITDA print. Implied 5.0x is EV/Sales (unclosed $10bn ask / ~$2bn parent sales) — not the FY30 exit</t>
        </is>
      </c>
    </row>
    <row r="53">
      <c r="A53" s="41" t="inlineStr">
        <is>
          <t>• PitchBook LULU is ~4.7x TTM. Gordon ~7.4x is a partial recovery, not a re-rate to WSM ~15x</t>
        </is>
      </c>
    </row>
    <row r="55">
      <c r="A55" s="14" t="inlineStr">
        <is>
          <t>Methodology / multiple ranges (FY2030E terminal EBITDA — football field)</t>
        </is>
      </c>
    </row>
    <row r="56">
      <c r="A56" s="113" t="inlineStr">
        <is>
          <t>Method</t>
        </is>
      </c>
      <c r="B56" s="113" t="n"/>
      <c r="C56" s="113" t="inlineStr">
        <is>
          <t>Source</t>
        </is>
      </c>
      <c r="D56" s="113" t="n"/>
      <c r="E56" s="114" t="inlineStr">
        <is>
          <t>Low mult.</t>
        </is>
      </c>
      <c r="F56" s="114" t="inlineStr">
        <is>
          <t>High mult.</t>
        </is>
      </c>
      <c r="G56" s="114" t="inlineStr">
        <is>
          <t>Implied px (low)</t>
        </is>
      </c>
      <c r="H56" s="114" t="inlineStr">
        <is>
          <t>Implied px (high)</t>
        </is>
      </c>
    </row>
    <row r="57" ht="42" customHeight="1">
      <c r="A57" s="16" t="inlineStr">
        <is>
          <t>EV / EBITDA (FY2030E terminal)</t>
        </is>
      </c>
      <c r="B57" s="19" t="n"/>
      <c r="C57" s="85" t="inlineStr">
        <is>
          <t>Lo: StockAnalysis: LULU EV/EBITDA
Hi: StockAnalysis: DECK EV/EBITDA</t>
        </is>
      </c>
      <c r="D57" s="19" t="n"/>
      <c r="E57" s="120" t="n">
        <v>5</v>
      </c>
      <c r="F57" s="120" t="n">
        <v>8</v>
      </c>
      <c r="G57" s="121">
        <f>(E6*E57+E8)/E9</f>
        <v/>
      </c>
      <c r="H57" s="121">
        <f>(E6*F57+E8)/E9</f>
        <v/>
      </c>
    </row>
    <row r="58" ht="28" customHeight="1">
      <c r="A58" s="68" t="inlineStr">
        <is>
          <t>DCF exit method (Gordon-implied on FY2030E EBITDA)</t>
        </is>
      </c>
      <c r="B58" s="17" t="n"/>
      <c r="C58" s="18" t="inlineStr">
        <is>
          <t>DCF: Gordon implied exit (TV / FY30 EBITDA)</t>
        </is>
      </c>
      <c r="D58" s="19" t="n"/>
      <c r="E58" s="118">
        <f>DCF!E82</f>
        <v/>
      </c>
      <c r="G58" s="122">
        <f>(E6*E58+E8)/E9</f>
        <v/>
      </c>
    </row>
    <row r="59" ht="42" customHeight="1">
      <c r="A59" s="16" t="inlineStr">
        <is>
          <t>P / E (FY2026E EPS)</t>
        </is>
      </c>
      <c r="B59" s="19" t="n"/>
      <c r="C59" s="85" t="inlineStr">
        <is>
          <t>Lo: StockAnalysis: LULU Forward P/E
Hi: StockAnalysis: NKE Forward P/E</t>
        </is>
      </c>
      <c r="D59" s="19" t="n"/>
      <c r="E59" s="120" t="n">
        <v>10</v>
      </c>
      <c r="F59" s="120" t="n">
        <v>18</v>
      </c>
      <c r="G59" s="121">
        <f>E7*E59</f>
        <v/>
      </c>
      <c r="H59" s="121">
        <f>E7*F59</f>
        <v/>
      </c>
    </row>
    <row r="60">
      <c r="A60" s="16" t="inlineStr">
        <is>
          <t>DCF (bear – bull)</t>
        </is>
      </c>
      <c r="E60" s="123" t="inlineStr">
        <is>
          <t>—</t>
        </is>
      </c>
      <c r="F60" s="123" t="inlineStr">
        <is>
          <t>—</t>
        </is>
      </c>
      <c r="G60" s="121">
        <f>Scenarios!$B$132</f>
        <v/>
      </c>
      <c r="H60" s="121">
        <f>Scenarios!$D$132</f>
        <v/>
      </c>
    </row>
    <row r="62" ht="28" customHeight="1">
      <c r="A62" s="124" t="inlineStr">
        <is>
          <t>Current price</t>
        </is>
      </c>
      <c r="C62" s="95" t="inlineStr">
        <is>
          <t>NASDAQ</t>
        </is>
      </c>
      <c r="D62" s="19" t="n"/>
      <c r="E62" s="125" t="n">
        <v>100</v>
      </c>
    </row>
    <row r="63">
      <c r="A63" s="26" t="inlineStr">
        <is>
          <t>Note: pubcomps are PitchBook 04-Sep-2026 (EV/EBITDA = daily EV / TTM EBITDA). UAA excluded from the mean. Selected TV is Gordon implied, not the PitchBook average. Alo EV/EBITDA is n.a.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E4" r:id="rId2"/>
    <hyperlink ref="C6" location="'DCF'!E44"/>
    <hyperlink xmlns:r="http://schemas.openxmlformats.org/officeDocument/2006/relationships" ref="C7" r:id="rId3"/>
    <hyperlink xmlns:r="http://schemas.openxmlformats.org/officeDocument/2006/relationships" ref="E7" r:id="rId4"/>
    <hyperlink xmlns:r="http://schemas.openxmlformats.org/officeDocument/2006/relationships" ref="C8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E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C33" r:id="rId11"/>
    <hyperlink xmlns:r="http://schemas.openxmlformats.org/officeDocument/2006/relationships" ref="E33" r:id="rId12"/>
    <hyperlink xmlns:r="http://schemas.openxmlformats.org/officeDocument/2006/relationships" ref="C34" r:id="rId13"/>
    <hyperlink xmlns:r="http://schemas.openxmlformats.org/officeDocument/2006/relationships" ref="E34" r:id="rId14"/>
    <hyperlink ref="C35" location="'Comps'!E33"/>
    <hyperlink xmlns:r="http://schemas.openxmlformats.org/officeDocument/2006/relationships" ref="C57" r:id="rId15"/>
    <hyperlink ref="C58" location="'DCF'!E82"/>
    <hyperlink xmlns:r="http://schemas.openxmlformats.org/officeDocument/2006/relationships" ref="C59" r:id="rId16"/>
    <hyperlink xmlns:r="http://schemas.openxmlformats.org/officeDocument/2006/relationships" ref="C62" r:id="rId17"/>
    <hyperlink xmlns:r="http://schemas.openxmlformats.org/officeDocument/2006/relationships" ref="E6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2026-09-09T15:52:21Z</dcterms:created>
  <dcterms:modified xmlns:dcterms="http://purl.org/dc/terms/" xmlns:xsi="http://www.w3.org/2001/XMLSchema-instance" xsi:type="dcterms:W3CDTF">2026-09-10T18:53:03Z</dcterms:modified>
</cp:coreProperties>
</file>
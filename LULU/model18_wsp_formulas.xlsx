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4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inlineStr">
        <is>
          <t>SOURCES</t>
        </is>
      </c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DCF!$E$5*(1+F4)</f>
        <v/>
      </c>
      <c r="G25" s="42">
        <f>DCF!$E$5*(1+G4)</f>
        <v/>
      </c>
      <c r="H25" s="42">
        <f>DCF!$E$5*(1+H4)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Scenarios!$B$194*F25/DCF!$E$5</f>
        <v/>
      </c>
      <c r="G168" s="42">
        <f>Scenarios!$B$194*G25/DCF!$E$5</f>
        <v/>
      </c>
      <c r="H168" s="42">
        <f>Scenarios!$B$194*H25/DCF!$E$5</f>
        <v/>
      </c>
    </row>
    <row r="169">
      <c r="A169" s="41" t="inlineStr">
        <is>
          <t>Total assets – year 2</t>
        </is>
      </c>
      <c r="F169" s="42">
        <f>Scenarios!$B$194*F26/DCF!$E$5</f>
        <v/>
      </c>
      <c r="G169" s="42">
        <f>Scenarios!$B$194*G26/DCF!$E$5</f>
        <v/>
      </c>
      <c r="H169" s="42">
        <f>Scenarios!$B$194*H26/DCF!$E$5</f>
        <v/>
      </c>
    </row>
    <row r="170">
      <c r="A170" s="41" t="inlineStr">
        <is>
          <t>Total assets – year 3</t>
        </is>
      </c>
      <c r="F170" s="42">
        <f>Scenarios!$B$194*F27/DCF!$E$5</f>
        <v/>
      </c>
      <c r="G170" s="42">
        <f>Scenarios!$B$194*G27/DCF!$E$5</f>
        <v/>
      </c>
      <c r="H170" s="42">
        <f>Scenarios!$B$194*H27/DCF!$E$5</f>
        <v/>
      </c>
    </row>
    <row r="171">
      <c r="A171" s="41" t="inlineStr">
        <is>
          <t>Total assets – year 4</t>
        </is>
      </c>
      <c r="F171" s="42">
        <f>Scenarios!$B$194*F28/DCF!$E$5</f>
        <v/>
      </c>
      <c r="G171" s="42">
        <f>Scenarios!$B$194*G28/DCF!$E$5</f>
        <v/>
      </c>
      <c r="H171" s="42">
        <f>Scenarios!$B$194*H28/DCF!$E$5</f>
        <v/>
      </c>
    </row>
    <row r="172">
      <c r="A172" s="41" t="inlineStr">
        <is>
          <t>Total assets – year 5</t>
        </is>
      </c>
      <c r="F172" s="42">
        <f>Scenarios!$B$194*F29/DCF!$E$5</f>
        <v/>
      </c>
      <c r="G172" s="42">
        <f>Scenarios!$B$194*G29/DCF!$E$5</f>
        <v/>
      </c>
      <c r="H172" s="42">
        <f>Scenarios!$B$194*H29/DCF!$E$5</f>
        <v/>
      </c>
    </row>
    <row r="173">
      <c r="A173" s="41" t="inlineStr">
        <is>
          <t>Total liabilities – year 1</t>
        </is>
      </c>
      <c r="F173" s="42">
        <f>Scenarios!$B$195*F25/DCF!$E$5</f>
        <v/>
      </c>
      <c r="G173" s="42">
        <f>Scenarios!$B$195*G25/DCF!$E$5</f>
        <v/>
      </c>
      <c r="H173" s="42">
        <f>Scenarios!$B$195*H25/DCF!$E$5</f>
        <v/>
      </c>
    </row>
    <row r="174">
      <c r="A174" s="41" t="inlineStr">
        <is>
          <t>Total liabilities – year 2</t>
        </is>
      </c>
      <c r="F174" s="42">
        <f>Scenarios!$B$195*F26/DCF!$E$5</f>
        <v/>
      </c>
      <c r="G174" s="42">
        <f>Scenarios!$B$195*G26/DCF!$E$5</f>
        <v/>
      </c>
      <c r="H174" s="42">
        <f>Scenarios!$B$195*H26/DCF!$E$5</f>
        <v/>
      </c>
    </row>
    <row r="175">
      <c r="A175" s="41" t="inlineStr">
        <is>
          <t>Total liabilities – year 3</t>
        </is>
      </c>
      <c r="F175" s="42">
        <f>Scenarios!$B$195*F27/DCF!$E$5</f>
        <v/>
      </c>
      <c r="G175" s="42">
        <f>Scenarios!$B$195*G27/DCF!$E$5</f>
        <v/>
      </c>
      <c r="H175" s="42">
        <f>Scenarios!$B$195*H27/DCF!$E$5</f>
        <v/>
      </c>
    </row>
    <row r="176">
      <c r="A176" s="41" t="inlineStr">
        <is>
          <t>Total liabilities – year 4</t>
        </is>
      </c>
      <c r="F176" s="42">
        <f>Scenarios!$B$195*F28/DCF!$E$5</f>
        <v/>
      </c>
      <c r="G176" s="42">
        <f>Scenarios!$B$195*G28/DCF!$E$5</f>
        <v/>
      </c>
      <c r="H176" s="42">
        <f>Scenarios!$B$195*H28/DCF!$E$5</f>
        <v/>
      </c>
    </row>
    <row r="177">
      <c r="A177" s="41" t="inlineStr">
        <is>
          <t>Total liabilities – year 5</t>
        </is>
      </c>
      <c r="F177" s="42">
        <f>Scenarios!$B$195*F29/DCF!$E$5</f>
        <v/>
      </c>
      <c r="G177" s="42">
        <f>Scenarios!$B$195*G29/DCF!$E$5</f>
        <v/>
      </c>
      <c r="H177" s="42">
        <f>Scenarios!$B$195*H29/DCF!$E$5</f>
        <v/>
      </c>
    </row>
    <row r="178">
      <c r="A178" s="41" t="inlineStr">
        <is>
          <t>Total equity – year 1</t>
        </is>
      </c>
      <c r="F178" s="42">
        <f>Scenarios!$B$196*F25/DCF!$E$5</f>
        <v/>
      </c>
      <c r="G178" s="42">
        <f>Scenarios!$B$196*G25/DCF!$E$5</f>
        <v/>
      </c>
      <c r="H178" s="42">
        <f>Scenarios!$B$196*H25/DCF!$E$5</f>
        <v/>
      </c>
    </row>
    <row r="179">
      <c r="A179" s="41" t="inlineStr">
        <is>
          <t>Total equity – year 2</t>
        </is>
      </c>
      <c r="F179" s="42">
        <f>Scenarios!$B$196*F26/DCF!$E$5</f>
        <v/>
      </c>
      <c r="G179" s="42">
        <f>Scenarios!$B$196*G26/DCF!$E$5</f>
        <v/>
      </c>
      <c r="H179" s="42">
        <f>Scenarios!$B$196*H26/DCF!$E$5</f>
        <v/>
      </c>
    </row>
    <row r="180">
      <c r="A180" s="41" t="inlineStr">
        <is>
          <t>Total equity – year 3</t>
        </is>
      </c>
      <c r="F180" s="42">
        <f>Scenarios!$B$196*F27/DCF!$E$5</f>
        <v/>
      </c>
      <c r="G180" s="42">
        <f>Scenarios!$B$196*G27/DCF!$E$5</f>
        <v/>
      </c>
      <c r="H180" s="42">
        <f>Scenarios!$B$196*H27/DCF!$E$5</f>
        <v/>
      </c>
    </row>
    <row r="181">
      <c r="A181" s="41" t="inlineStr">
        <is>
          <t>Total equity – year 4</t>
        </is>
      </c>
      <c r="F181" s="42">
        <f>Scenarios!$B$196*F28/DCF!$E$5</f>
        <v/>
      </c>
      <c r="G181" s="42">
        <f>Scenarios!$B$196*G28/DCF!$E$5</f>
        <v/>
      </c>
      <c r="H181" s="42">
        <f>Scenarios!$B$196*H28/DCF!$E$5</f>
        <v/>
      </c>
    </row>
    <row r="182">
      <c r="A182" s="41" t="inlineStr">
        <is>
          <t>Total equity – year 5</t>
        </is>
      </c>
      <c r="F182" s="42">
        <f>Scenarios!$B$196*F29/DCF!$E$5</f>
        <v/>
      </c>
      <c r="G182" s="42">
        <f>Scenarios!$B$196*G29/DCF!$E$5</f>
        <v/>
      </c>
      <c r="H182" s="42">
        <f>Scenarios!$B$196*H29/DCF!$E$5</f>
        <v/>
      </c>
    </row>
    <row r="183">
      <c r="A183" s="41" t="inlineStr">
        <is>
          <t>Diluted shares (000) – year 1</t>
        </is>
      </c>
      <c r="F183" s="42">
        <f>Scenarios!$B$197-F21/100</f>
        <v/>
      </c>
      <c r="G183" s="42">
        <f>Scenarios!$B$197-G21/100</f>
        <v/>
      </c>
      <c r="H183" s="42">
        <f>Scenarios!$B$197-H22*H153/100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</row>
    <row r="3">
      <c r="A3" t="inlineStr">
        <is>
          <t>Unit conversions (drivers)</t>
        </is>
      </c>
      <c r="B3" t="n">
        <v>1000000</v>
      </c>
      <c r="C3" t="n">
        <v>1000</v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n"/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n"/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n"/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n"/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24" t="n"/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n"/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2026-09-10T17:01:23Z</dcterms:modified>
</cp:coreProperties>
</file>
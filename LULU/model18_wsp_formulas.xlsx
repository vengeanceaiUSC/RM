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|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2"/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6"/>
    <row r="17" ht="36" customHeight="1">
      <c r="B17" s="5" t="n"/>
    </row>
    <row r="18"/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5"/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3"/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7"/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0">
        <f>(DCF!$E$21/DCF!$E$5)*365</f>
        <v/>
      </c>
      <c r="G15" s="130">
        <f>(DCF!$E$21/DCF!$E$5)*365</f>
        <v/>
      </c>
      <c r="H15" s="130">
        <f>(DCF!$E$21/DCF!$E$5)*365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0">
        <f>(DCF!$E$23/DCF!$E$8)*365</f>
        <v/>
      </c>
      <c r="G16" s="130">
        <f>(DCF!$E$23/DCF!$E$8)*365</f>
        <v/>
      </c>
      <c r="H16" s="130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0">
        <f>(DCF!$E$25/DCF!$E$8)*365</f>
        <v/>
      </c>
      <c r="G18" s="130">
        <f>(DCF!$E$25/DCF!$E$8)*365</f>
        <v/>
      </c>
      <c r="H18" s="130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DCF!$E$27/DCF!$E$5</f>
        <v/>
      </c>
      <c r="G19" s="20">
        <f>DCF!$E$27/DCF!$E$5</f>
        <v/>
      </c>
      <c r="H19" s="20">
        <f>DCF!$E$27/DCF!$E$5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DCF!$E$29/DCF!$E$5</f>
        <v/>
      </c>
      <c r="G20" s="20">
        <f>DCF!$E$29/DCF!$E$5</f>
        <v/>
      </c>
      <c r="H20" s="20">
        <f>DCF!$E$29/DCF!$E$5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$B$198*(1+F4)</f>
        <v/>
      </c>
      <c r="G25" s="42">
        <f>$B$198*(1+G4)</f>
        <v/>
      </c>
      <c r="H25" s="42">
        <f>$B$198*(1+H4)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DCF!$E$32-F115</f>
        <v/>
      </c>
      <c r="G120" s="42">
        <f>DCF!$E$32-G115</f>
        <v/>
      </c>
      <c r="H120" s="42">
        <f>DCF!$E$32-H115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(F131+$B$1980+$B$1981)/$B$1985</f>
        <v/>
      </c>
      <c r="G132" s="47">
        <f>(G131+$B$1980+$B$1981)/$B$1985</f>
        <v/>
      </c>
      <c r="H132" s="46">
        <f>(H131+$B$1980+$B$1981)/$B$1985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-H22*H153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-H22*H154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-H22*H155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-H22*H156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-H22*H157</f>
        <v/>
      </c>
    </row>
    <row r="163">
      <c r="A163" s="41" t="inlineStr">
        <is>
          <t>Cash &amp; equivalents – year 1</t>
        </is>
      </c>
      <c r="F163" s="42">
        <f>$B$1980+F153+F158</f>
        <v/>
      </c>
      <c r="G163" s="42">
        <f>$B$1980+G153+G158</f>
        <v/>
      </c>
      <c r="H163" s="42">
        <f>$B$1980+H153+H158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$B$194*F25/$B$198</f>
        <v/>
      </c>
      <c r="G168" s="42">
        <f>$B$194*G25/$B$198</f>
        <v/>
      </c>
      <c r="H168" s="42">
        <f>$B$194*H25/$B$198</f>
        <v/>
      </c>
    </row>
    <row r="169">
      <c r="A169" s="41" t="inlineStr">
        <is>
          <t>Total assets – year 2</t>
        </is>
      </c>
      <c r="F169" s="42">
        <f>$B$194*F26/$B$198</f>
        <v/>
      </c>
      <c r="G169" s="42">
        <f>$B$194*G26/$B$198</f>
        <v/>
      </c>
      <c r="H169" s="42">
        <f>$B$194*H26/$B$198</f>
        <v/>
      </c>
    </row>
    <row r="170">
      <c r="A170" s="41" t="inlineStr">
        <is>
          <t>Total assets – year 3</t>
        </is>
      </c>
      <c r="F170" s="42">
        <f>$B$194*F27/$B$198</f>
        <v/>
      </c>
      <c r="G170" s="42">
        <f>$B$194*G27/$B$198</f>
        <v/>
      </c>
      <c r="H170" s="42">
        <f>$B$194*H27/$B$198</f>
        <v/>
      </c>
    </row>
    <row r="171">
      <c r="A171" s="41" t="inlineStr">
        <is>
          <t>Total assets – year 4</t>
        </is>
      </c>
      <c r="F171" s="42">
        <f>$B$194*F28/$B$198</f>
        <v/>
      </c>
      <c r="G171" s="42">
        <f>$B$194*G28/$B$198</f>
        <v/>
      </c>
      <c r="H171" s="42">
        <f>$B$194*H28/$B$198</f>
        <v/>
      </c>
    </row>
    <row r="172">
      <c r="A172" s="41" t="inlineStr">
        <is>
          <t>Total assets – year 5</t>
        </is>
      </c>
      <c r="F172" s="42">
        <f>$B$194*F29/$B$198</f>
        <v/>
      </c>
      <c r="G172" s="42">
        <f>$B$194*G29/$B$198</f>
        <v/>
      </c>
      <c r="H172" s="42">
        <f>$B$194*H29/$B$198</f>
        <v/>
      </c>
    </row>
    <row r="173">
      <c r="A173" s="41" t="inlineStr">
        <is>
          <t>Total liabilities – year 1</t>
        </is>
      </c>
      <c r="F173" s="42">
        <f>$B$195*F25/$B$198</f>
        <v/>
      </c>
      <c r="G173" s="42">
        <f>$B$195*G25/$B$198</f>
        <v/>
      </c>
      <c r="H173" s="42">
        <f>$B$195*H25/$B$198</f>
        <v/>
      </c>
    </row>
    <row r="174">
      <c r="A174" s="41" t="inlineStr">
        <is>
          <t>Total liabilities – year 2</t>
        </is>
      </c>
      <c r="F174" s="42">
        <f>$B$195*F26/$B$198</f>
        <v/>
      </c>
      <c r="G174" s="42">
        <f>$B$195*G26/$B$198</f>
        <v/>
      </c>
      <c r="H174" s="42">
        <f>$B$195*H26/$B$198</f>
        <v/>
      </c>
    </row>
    <row r="175">
      <c r="A175" s="41" t="inlineStr">
        <is>
          <t>Total liabilities – year 3</t>
        </is>
      </c>
      <c r="F175" s="42">
        <f>$B$195*F27/$B$198</f>
        <v/>
      </c>
      <c r="G175" s="42">
        <f>$B$195*G27/$B$198</f>
        <v/>
      </c>
      <c r="H175" s="42">
        <f>$B$195*H27/$B$198</f>
        <v/>
      </c>
    </row>
    <row r="176">
      <c r="A176" s="41" t="inlineStr">
        <is>
          <t>Total liabilities – year 4</t>
        </is>
      </c>
      <c r="F176" s="42">
        <f>$B$195*F28/$B$198</f>
        <v/>
      </c>
      <c r="G176" s="42">
        <f>$B$195*G28/$B$198</f>
        <v/>
      </c>
      <c r="H176" s="42">
        <f>$B$195*H28/$B$198</f>
        <v/>
      </c>
    </row>
    <row r="177">
      <c r="A177" s="41" t="inlineStr">
        <is>
          <t>Total liabilities – year 5</t>
        </is>
      </c>
      <c r="F177" s="42">
        <f>$B$195*F29/$B$198</f>
        <v/>
      </c>
      <c r="G177" s="42">
        <f>$B$195*G29/$B$198</f>
        <v/>
      </c>
      <c r="H177" s="42">
        <f>$B$195*H29/$B$198</f>
        <v/>
      </c>
    </row>
    <row r="178">
      <c r="A178" s="41" t="inlineStr">
        <is>
          <t>Total equity – year 1</t>
        </is>
      </c>
      <c r="F178" s="42">
        <f>$B$196*F25/$B$198</f>
        <v/>
      </c>
      <c r="G178" s="42">
        <f>$B$196*G25/$B$198</f>
        <v/>
      </c>
      <c r="H178" s="42">
        <f>$B$196*H25/$B$198</f>
        <v/>
      </c>
    </row>
    <row r="179">
      <c r="A179" s="41" t="inlineStr">
        <is>
          <t>Total equity – year 2</t>
        </is>
      </c>
      <c r="F179" s="42">
        <f>$B$196*F26/$B$198</f>
        <v/>
      </c>
      <c r="G179" s="42">
        <f>$B$196*G26/$B$198</f>
        <v/>
      </c>
      <c r="H179" s="42">
        <f>$B$196*H26/$B$198</f>
        <v/>
      </c>
    </row>
    <row r="180">
      <c r="A180" s="41" t="inlineStr">
        <is>
          <t>Total equity – year 3</t>
        </is>
      </c>
      <c r="F180" s="42">
        <f>$B$196*F27/$B$198</f>
        <v/>
      </c>
      <c r="G180" s="42">
        <f>$B$196*G27/$B$198</f>
        <v/>
      </c>
      <c r="H180" s="42">
        <f>$B$196*H27/$B$198</f>
        <v/>
      </c>
    </row>
    <row r="181">
      <c r="A181" s="41" t="inlineStr">
        <is>
          <t>Total equity – year 4</t>
        </is>
      </c>
      <c r="F181" s="42">
        <f>$B$196*F28/$B$198</f>
        <v/>
      </c>
      <c r="G181" s="42">
        <f>$B$196*G28/$B$198</f>
        <v/>
      </c>
      <c r="H181" s="42">
        <f>$B$196*H28/$B$198</f>
        <v/>
      </c>
    </row>
    <row r="182">
      <c r="A182" s="41" t="inlineStr">
        <is>
          <t>Total equity – year 5</t>
        </is>
      </c>
      <c r="F182" s="42">
        <f>$B$196*F29/$B$198</f>
        <v/>
      </c>
      <c r="G182" s="42">
        <f>$B$196*G29/$B$198</f>
        <v/>
      </c>
      <c r="H182" s="42">
        <f>$B$196*H29/$B$198</f>
        <v/>
      </c>
    </row>
    <row r="183">
      <c r="A183" s="41" t="inlineStr">
        <is>
          <t>Diluted shares (000) – year 1</t>
        </is>
      </c>
      <c r="F183" s="42">
        <f>$B$197-F21/100</f>
        <v/>
      </c>
      <c r="G183" s="42">
        <f>$B$197-G21/100</f>
        <v/>
      </c>
      <c r="H183" s="42">
        <f>$B$197-H22*H153/100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H183-H22*H154/108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H184-H22*H155/115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H185-H22*H156/122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H186-H22*H157/130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FY25 anchors (drivers — do not edit without source)</t>
        </is>
      </c>
    </row>
    <row r="194">
      <c r="A194" t="inlineStr">
        <is>
          <t>FY25 total assets ($000)</t>
        </is>
      </c>
      <c r="B194" t="n">
        <v>8456743</v>
      </c>
    </row>
    <row r="195">
      <c r="A195" t="inlineStr">
        <is>
          <t>FY25 total liabilities ($000)</t>
        </is>
      </c>
      <c r="B195" t="n">
        <v>3494903</v>
      </c>
    </row>
    <row r="196">
      <c r="A196" t="inlineStr">
        <is>
          <t>FY25 total equity ($000)</t>
        </is>
      </c>
      <c r="B196" t="n">
        <v>4961840</v>
      </c>
    </row>
    <row r="197">
      <c r="A197" t="inlineStr">
        <is>
          <t>FY25 diluted shares (000)</t>
        </is>
      </c>
      <c r="B197" t="n">
        <v>119068</v>
      </c>
    </row>
    <row r="198">
      <c r="A198" t="inlineStr">
        <is>
          <t>FY25 net revenue ($000)</t>
        </is>
      </c>
      <c r="B198" t="n">
        <v>11102600</v>
      </c>
    </row>
    <row r="199"/>
    <row r="200"/>
    <row r="201"/>
    <row r="202">
      <c r="A202" t="inlineStr">
        <is>
          <t>FY25 stock-based compensation ($000)</t>
        </is>
      </c>
      <c r="B202" t="n">
        <v>62203</v>
      </c>
    </row>
    <row r="203">
      <c r="A203" t="inlineStr">
        <is>
          <t>FY25 implied lease interest ($000)</t>
        </is>
      </c>
      <c r="B203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collapsed="1"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</row>
    <row r="3">
      <c r="A3" t="inlineStr">
        <is>
          <t>Unit conversions (drivers)</t>
        </is>
      </c>
      <c r="B3" t="n">
        <v>1000000</v>
      </c>
      <c r="C3" t="n">
        <v>1000</v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18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39"/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0"/>
    <row r="61"/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4"/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7"/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1"/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6"/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79"/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7"/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5"/>
    <row r="96"/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3"/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0"/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7"/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2"/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4"/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1"/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2026-09-10T17:15:55Z</dcterms:modified>
</cp:coreProperties>
</file>
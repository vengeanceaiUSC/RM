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34" t="inlineStr">
        <is>
          <t>How it moves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35" t="inlineStr">
        <is>
          <t>Year-one sales change: bear falls most.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35" t="inlineStr">
        <is>
          <t>Years two-five average growth: bull fastest.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35" t="inlineStr">
        <is>
          <t>Starting operating margin before linear ramp.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35" t="inlineStr">
        <is>
          <t>One-time year-one EBIT boost: zero after.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35" t="inlineStr">
        <is>
          <t>Year-five target margin after linear ramp.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35" t="inlineStr">
        <is>
          <t>Flat discount rate: higher bear, lower bull.</t>
        </is>
      </c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35" t="inlineStr">
        <is>
          <t>Perpetuity growth rate: flat across all years.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35" t="inlineStr">
        <is>
          <t>Flat tax percentage applied every forecast year.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35" t="inlineStr">
        <is>
          <t>Depreciation scales as fixed percent of revenue.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35" t="inlineStr">
        <is>
          <t>Investment scales as fixed percent of revenue.</t>
        </is>
      </c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35" t="inlineStr">
        <is>
          <t>Merchandise margin held flat every forecast year.</t>
        </is>
      </c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(days): flat vs FY25</t>
        </is>
      </c>
      <c r="B15" s="135" t="inlineStr">
        <is>
          <t>Collection days held flat near six yearly.</t>
        </is>
      </c>
      <c r="C15" s="18" t="inlineStr">
        <is>
          <t>LULU FY2025 10-K: Accounts receivable, net</t>
        </is>
      </c>
      <c r="D15" s="19" t="n"/>
      <c r="F15" s="130">
        <f>(DCF!$E$21/$B$198)*365</f>
        <v/>
      </c>
      <c r="G15" s="130">
        <f>(DCF!$E$21/$B$198)*365</f>
        <v/>
      </c>
      <c r="H15" s="130">
        <f>(DCF!$E$21/$B$198)*365</f>
        <v/>
      </c>
    </row>
    <row r="16" ht="140" customHeight="1">
      <c r="A16" s="16" t="inlineStr">
        <is>
          <t>FY25 DIO anchor (days)</t>
        </is>
      </c>
      <c r="B16" s="135" t="inlineStr">
        <is>
          <t>Starting inventory days before annual decline begins.</t>
        </is>
      </c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35" t="inlineStr">
        <is>
          <t>Inventory days fall one day each year.</t>
        </is>
      </c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(days): flat vs FY25</t>
        </is>
      </c>
      <c r="B18" s="135" t="inlineStr">
        <is>
          <t>Payment days held flat near twenty-five yearly.</t>
        </is>
      </c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35" t="inlineStr">
        <is>
          <t>Other current assets flat percent of revenue.</t>
        </is>
      </c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35" t="inlineStr">
        <is>
          <t>Accrued payables flat percent of revenue.</t>
        </is>
      </c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B21" s="135" t="inlineStr">
        <is>
          <t>Bear base retire fixed dollars yearly.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B22" s="135" t="inlineStr">
        <is>
          <t>Bull spends set percent of free cash.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Revenue: year 1</t>
        </is>
      </c>
      <c r="B25" s="135" t="inlineStr">
        <is>
          <t>Grows or shrinks using scenario-specific growth rates.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Revenue: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Revenue: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Revenue: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Revenue: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%: year 1</t>
        </is>
      </c>
      <c r="B30" s="135" t="inlineStr">
        <is>
          <t>Stays flat at scenario margin every year.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%: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%: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%: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%: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(COGS): year 1</t>
        </is>
      </c>
      <c r="B35" s="135" t="inlineStr">
        <is>
          <t>Moves with revenue when gross margin stays flat.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(COGS):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(COGS):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(COGS):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(COGS):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margin: year 1</t>
        </is>
      </c>
      <c r="B40" s="135" t="inlineStr">
        <is>
          <t>Linearly ramps from run-rate toward terminal margin.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margin: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margin: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margin: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margin: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EBIT: year 1</t>
        </is>
      </c>
      <c r="B45" s="135" t="inlineStr">
        <is>
          <t>Revenue times margin: year one adds tariff refund.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EBIT: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EBIT: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EBIT: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EBIT: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NOPAT: year 1</t>
        </is>
      </c>
      <c r="B50" s="135" t="inlineStr">
        <is>
          <t>EBIT taxed at flat cash rate each year.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NOPAT: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NOPAT: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NOPAT: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NOPAT: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D&amp;A: year 1</t>
        </is>
      </c>
      <c r="B55" s="135" t="inlineStr">
        <is>
          <t>Scales upward with revenue at fixed percentage annually.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D&amp;A: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D&amp;A: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D&amp;A: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D&amp;A: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Capex: year 1</t>
        </is>
      </c>
      <c r="B60" s="135" t="inlineStr">
        <is>
          <t>Scales upward with revenue at fixed percentage annually.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Capex: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Capex: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Capex: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Capex: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(days): year 1</t>
        </is>
      </c>
      <c r="B65" s="135" t="inlineStr">
        <is>
          <t>Held flat at six days every forecast year.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(days):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(days):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(days):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(days):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receivable: year 1</t>
        </is>
      </c>
      <c r="B70" s="135" t="inlineStr">
        <is>
          <t>Tracks revenue changes while collection days stay flat.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receivable: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receivable: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receivable: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receivable: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(days): year 1</t>
        </is>
      </c>
      <c r="B75" s="135" t="inlineStr">
        <is>
          <t>Falls one day per year across five years.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(days):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(days):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(days):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(days):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Inventories: year 1</t>
        </is>
      </c>
      <c r="B80" s="135" t="inlineStr">
        <is>
          <t>Declines with DIO days: grows with rising COGS.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Inventories: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Inventories: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Inventories: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Inventories: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(days): year 1</t>
        </is>
      </c>
      <c r="B85" s="135" t="inlineStr">
        <is>
          <t>Held flat at twenty-five days every year.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(days):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(days):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(days):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(days):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payable: year 1</t>
        </is>
      </c>
      <c r="B90" s="135" t="inlineStr">
        <is>
          <t>Grows with COGS while payment days remain flat.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payable: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payable: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payable: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payable: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assets): year 1</t>
        </is>
      </c>
      <c r="B95" s="135" t="inlineStr">
        <is>
          <t>Grows at flat percent of revenue yearly.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assets):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assets):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assets):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assets):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liabilities: year 1</t>
        </is>
      </c>
      <c r="B100" s="135" t="inlineStr">
        <is>
          <t>Grows at flat percent of revenue every year.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liabilities: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liabilities: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liabilities: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liabilities: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prepaids): year 1</t>
        </is>
      </c>
      <c r="B105" s="135" t="inlineStr">
        <is>
          <t>Rises as receivables, inventory, prepaids expand.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prepaids):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prepaids):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prepaids):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prepaids):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accruals): year 1</t>
        </is>
      </c>
      <c r="B110" s="135" t="inlineStr">
        <is>
          <t>Rises as payables and accruals grow with sales.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accruals):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accruals):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accruals):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accruals):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capital: year 1</t>
        </is>
      </c>
      <c r="B115" s="135" t="inlineStr">
        <is>
          <t>Operating assets minus liabilities: level shifts yearly.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capital: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capital: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capital: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capital: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yr: prior yr minus current yr): year 1</t>
        </is>
      </c>
      <c r="B120" s="135" t="inlineStr">
        <is>
          <t>Prior minus current NWC: positive releases cash.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yr: prior yr minus current yr):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yr: prior yr minus current yr):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yr: prior yr minus current yr):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yr: prior yr minus current yr):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FCF: year 1</t>
        </is>
      </c>
      <c r="B125" s="135" t="inlineStr">
        <is>
          <t>NOPAT plus depreciation minus capex plus working capital.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FCF: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FCF: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FCF: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FCF: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income: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income: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income: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income: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income: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income: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income: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income: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income: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income: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operations: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operations: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operations: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operations: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operations: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(CFS):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(CFS):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(CFS):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(CFS):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(CFS):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repurchases: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repurchases: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repurchases: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repurchases: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repurchases: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equivalents: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equivalents: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equivalents: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equivalents: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equivalents: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assets: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assets: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assets: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assets: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assets: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liabilities: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liabilities: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liabilities: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liabilities: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liabilities: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equity: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equity: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equity: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equity: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equity: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(000):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(000):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(000):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(000):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(000):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($):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($):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($):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($):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($):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2026-09-10T17:58:11Z</dcterms:modified>
</cp:coreProperties>
</file>
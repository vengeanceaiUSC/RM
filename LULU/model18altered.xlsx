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>
        <f>D11+D12</f>
        <v/>
      </c>
    </row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D21*(1+(1-D5)*D22)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D3+D24*D4</f>
        <v/>
      </c>
    </row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D29*(1-D5)</f>
        <v/>
      </c>
    </row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D10/(D10+D13)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D13/(D10+D13)</f>
        <v/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>
        <f>D33*D26+D34*D30</f>
        <v/>
      </c>
    </row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WACC!D35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C35*1000000*C36*C37/1000</f>
        <v/>
      </c>
      <c r="D38" s="62">
        <f>D35*1000000*D36*D37/1000</f>
        <v/>
      </c>
      <c r="E38" s="62">
        <f>E35*1000000*E36*E37/1000</f>
        <v/>
      </c>
      <c r="F38" s="62">
        <f>F35*1000000*F36*F37/1000</f>
        <v/>
      </c>
      <c r="G38" s="62">
        <f>G35*1000000*G36*G37/1000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B42*(1+-0.02)</f>
        <v/>
      </c>
      <c r="D42" s="42">
        <f>C42*(1+0.0)</f>
        <v/>
      </c>
      <c r="E42" s="42">
        <f>D42*(1+0.02)</f>
        <v/>
      </c>
      <c r="F42" s="42">
        <f>E42*(1+0.02)</f>
        <v/>
      </c>
      <c r="G42" s="42">
        <f>F42*(1+0.02)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B43*(C31+C38+C42)/(B31+B38+B42)</f>
        <v/>
      </c>
      <c r="D43" s="42">
        <f>B43*(D31+D38+D42)/(B31+B38+B42)</f>
        <v/>
      </c>
      <c r="E43" s="42">
        <f>B43*(E31+E38+E42)/(B31+B38+B42)</f>
        <v/>
      </c>
      <c r="F43" s="42">
        <f>B43*(F31+F38+F42)/(B31+B38+B42)</f>
        <v/>
      </c>
      <c r="G43" s="42">
        <f>B43*(G31+G38+G42)/(B31+B38+B42)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B44*(C31+C38+C42)/(B31+B38+B42)</f>
        <v/>
      </c>
      <c r="D44" s="42">
        <f>B44*(D31+D38+D42)/(B31+B38+B42)</f>
        <v/>
      </c>
      <c r="E44" s="42">
        <f>B44*(E31+E38+E42)/(B31+B38+B42)</f>
        <v/>
      </c>
      <c r="F44" s="42">
        <f>B44*(F31+F38+F42)/(B31+B38+B42)</f>
        <v/>
      </c>
      <c r="G44" s="42">
        <f>B44*(G31+G38+G42)/(B31+B38+B42)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B45*(C31+C38+C42)/(B31+B38+B42)</f>
        <v/>
      </c>
      <c r="D45" s="42">
        <f>B45*(D31+D38+D42)/(B31+B38+B42)</f>
        <v/>
      </c>
      <c r="E45" s="42">
        <f>B45*(E31+E38+E42)/(B31+B38+B42)</f>
        <v/>
      </c>
      <c r="F45" s="42">
        <f>B45*(F31+F38+F42)/(B31+B38+B42)</f>
        <v/>
      </c>
      <c r="G45" s="42">
        <f>B45*(G31+G38+G42)/(B31+B38+B42)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C31+C38+C42</f>
        <v/>
      </c>
      <c r="D52" s="70">
        <f>D31+D38+D42</f>
        <v/>
      </c>
      <c r="E52" s="70">
        <f>E31+E38+E42</f>
        <v/>
      </c>
      <c r="F52" s="70">
        <f>F31+F38+F42</f>
        <v/>
      </c>
      <c r="G52" s="70">
        <f>G31+G38+G42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126">
        <f>D28*$D$9</f>
        <v/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126">
        <f>D29*$D$10</f>
        <v/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126">
        <f>D30*$D$11</f>
        <v/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127">
        <f>D31+D32+D33</f>
        <v/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IF(MAX(ABS(F34-Scenarios!$F$125),ABS(G34-Scenarios!$F$126),ABS(H34-Scenarios!$F$127),ABS(I34-Scenarios!$F$128),ABS(J34-Scenarios!$F$129))&lt;0.5,"OK","CHECK")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1/(1+Scenarios!$F$9)^F35</f>
        <v/>
      </c>
      <c r="G36" s="91">
        <f>1/(1+Scenarios!$F$9)^G35</f>
        <v/>
      </c>
      <c r="H36" s="91">
        <f>1/(1+Scenarios!$F$9)^H35</f>
        <v/>
      </c>
      <c r="I36" s="91">
        <f>1/(1+Scenarios!$F$9)^I35</f>
        <v/>
      </c>
      <c r="J36" s="91">
        <f>1/(1+Scenarios!$F$9)^J35</f>
        <v/>
      </c>
    </row>
    <row r="37">
      <c r="A37" s="23" t="inlineStr">
        <is>
          <t>PV of unlevered FCF</t>
        </is>
      </c>
      <c r="F37" s="25">
        <f>F34*F36</f>
        <v/>
      </c>
      <c r="G37" s="25">
        <f>G34*G36</f>
        <v/>
      </c>
      <c r="H37" s="25">
        <f>H34*H36</f>
        <v/>
      </c>
      <c r="I37" s="25">
        <f>I34*I36</f>
        <v/>
      </c>
      <c r="J37" s="25">
        <f>J34*J36</f>
        <v/>
      </c>
    </row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SUM(F37:J37)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C43" t="inlineStr">
        <is>
          <t>https://fred.stlouisfed.org/series/GDPC1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J34*(1+Scenarios!$F$10)/(Scenarios!$F$9-Scenarios!$F$10)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E44/E43</f>
        <v/>
      </c>
    </row>
    <row r="46">
      <c r="A46" s="23" t="inlineStr">
        <is>
          <t>PV of terminal value</t>
        </is>
      </c>
      <c r="E46" s="70">
        <f>E44/(1+Scenarios!$F$9)^J35</f>
        <v/>
      </c>
    </row>
    <row r="47">
      <c r="A47" s="23" t="inlineStr">
        <is>
          <t>Enterprise value</t>
        </is>
      </c>
      <c r="E47" s="25">
        <f>E41+E46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C50" t="inlineStr">
        <is>
          <t>https://www.sec.gov/Archives/edgar/data/1397187/000139718726000020/lulu-20260201.htm</t>
        </is>
      </c>
      <c r="E50" s="25">
        <f>E47+E48+E49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E50/E51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E52/E53-1</f>
        <v/>
      </c>
    </row>
    <row r="55" ht="28" customHeight="1">
      <c r="C55" t="inlineStr">
        <is>
          <t>https://www.sec.gov/Archives/edgar/data/1397187/000139718726000020/lulu-20260201.htm</t>
        </is>
      </c>
      <c r="E55" t="inlineStr">
        <is>
          <t>https://www.sec.gov/Archives/edgar/data/1397187/000139718726000020/lulu-20260201.htm</t>
        </is>
      </c>
    </row>
    <row r="57" ht="28" customHeight="1">
      <c r="A57" s="93" t="inlineStr">
        <is>
          <t>SHARE REPURCHASE &amp; EPS ACCRETION SCHEDULE</t>
        </is>
      </c>
      <c r="B57" s="13" t="n"/>
      <c r="C57" s="13" t="inlineStr">
        <is>
          <t>https://www.nasdaq.com/market-activity/stocks/lulu</t>
        </is>
      </c>
      <c r="D57" s="13" t="n"/>
      <c r="E57" s="13" t="inlineStr">
        <is>
          <t>https://www.nasdaq.com/market-activity/stocks/lulu</t>
        </is>
      </c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</row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E43*E77</f>
        <v/>
      </c>
    </row>
    <row r="79">
      <c r="A79" s="16" t="inlineStr">
        <is>
          <t>PV of terminal value</t>
        </is>
      </c>
      <c r="E79" s="75">
        <f>E78/(1+Scenarios!$F$9)^J36</f>
        <v/>
      </c>
    </row>
    <row r="80">
      <c r="A80" s="23" t="inlineStr">
        <is>
          <t>Enterprise value (exit method)</t>
        </is>
      </c>
      <c r="E80" s="25">
        <f>E41+E79</f>
        <v/>
      </c>
    </row>
    <row r="81">
      <c r="A81" s="23" t="inlineStr">
        <is>
          <t>Implied value per share (exit method)</t>
        </is>
      </c>
      <c r="E81" s="102">
        <f>(E80+E48+E49)/E51</f>
        <v/>
      </c>
    </row>
    <row r="82" ht="28" customHeight="1">
      <c r="C82" t="inlineStr">
        <is>
          <t>'DCF'!E46</t>
        </is>
      </c>
      <c r="M82" t="inlineStr">
        <is>
          <t>'Comps'!A45</t>
        </is>
      </c>
    </row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(NPV(0.095,F35:J35)+(J35*(1+0.015)/(0.095-0.015))/(1+0.095)^5+E48+E49)/E51</f>
        <v/>
      </c>
      <c r="G94" s="110">
        <f>(NPV(0.095,F35:J35)+(J35*(1+0.02)/(0.095-0.02))/(1+0.095)^5+E48+E49)/E51</f>
        <v/>
      </c>
      <c r="H94" s="110">
        <f>(NPV(0.095,F35:J35)+(J35*(1+0.0225)/(0.095-0.0225))/(1+0.095)^5+E48+E49)/E51</f>
        <v/>
      </c>
      <c r="I94" s="110">
        <f>(NPV(0.095,F35:J35)+(J35*(1+0.025)/(0.095-0.025))/(1+0.095)^5+E48+E49)/E51</f>
        <v/>
      </c>
      <c r="J94" s="110">
        <f>(NPV(0.095,F35:J35)+(J35*(1+0.03)/(0.095-0.03))/(1+0.095)^5+E48+E49)/E51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(NPV(0.1,F35:J35)+(J35*(1+0.015)/(0.1-0.015))/(1+0.1)^5+E48+E49)/E51</f>
        <v/>
      </c>
      <c r="G95" s="110">
        <f>(NPV(0.1,F35:J35)+(J35*(1+0.02)/(0.1-0.02))/(1+0.1)^5+E48+E49)/E51</f>
        <v/>
      </c>
      <c r="H95" s="110">
        <f>(NPV(0.1,F35:J35)+(J35*(1+0.0225)/(0.1-0.0225))/(1+0.1)^5+E48+E49)/E51</f>
        <v/>
      </c>
      <c r="I95" s="110">
        <f>(NPV(0.1,F35:J35)+(J35*(1+0.025)/(0.1-0.025))/(1+0.1)^5+E48+E49)/E51</f>
        <v/>
      </c>
      <c r="J95" s="110">
        <f>(NPV(0.1,F35:J35)+(J35*(1+0.03)/(0.1-0.03))/(1+0.1)^5+E48+E49)/E51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(NPV(0.105,F35:J35)+(J35*(1+0.015)/(0.105-0.015))/(1+0.105)^5+E48+E49)/E51</f>
        <v/>
      </c>
      <c r="G96" s="110">
        <f>(NPV(0.105,F35:J35)+(J35*(1+0.02)/(0.105-0.02))/(1+0.105)^5+E48+E49)/E51</f>
        <v/>
      </c>
      <c r="H96" s="111">
        <f>(NPV(0.105,F35:J35)+(J35*(1+0.0225)/(0.105-0.0225))/(1+0.105)^5+E48+E49)/E51</f>
        <v/>
      </c>
      <c r="I96" s="110">
        <f>(NPV(0.105,F35:J35)+(J35*(1+0.025)/(0.105-0.025))/(1+0.105)^5+E48+E49)/E51</f>
        <v/>
      </c>
      <c r="J96" s="110">
        <f>(NPV(0.105,F35:J35)+(J35*(1+0.03)/(0.105-0.03))/(1+0.105)^5+E48+E49)/E51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(NPV(0.11,F35:J35)+(J35*(1+0.015)/(0.11-0.015))/(1+0.11)^5+E48+E49)/E51</f>
        <v/>
      </c>
      <c r="G97" s="110">
        <f>(NPV(0.11,F35:J35)+(J35*(1+0.02)/(0.11-0.02))/(1+0.11)^5+E48+E49)/E51</f>
        <v/>
      </c>
      <c r="H97" s="110">
        <f>(NPV(0.11,F35:J35)+(J35*(1+0.0225)/(0.11-0.0225))/(1+0.11)^5+E48+E49)/E51</f>
        <v/>
      </c>
      <c r="I97" s="110">
        <f>(NPV(0.11,F35:J35)+(J35*(1+0.025)/(0.11-0.025))/(1+0.11)^5+E48+E49)/E51</f>
        <v/>
      </c>
      <c r="J97" s="110">
        <f>(NPV(0.11,F35:J35)+(J35*(1+0.03)/(0.11-0.03))/(1+0.11)^5+E48+E49)/E51</f>
        <v/>
      </c>
      <c r="L97" s="95" t="inlineStr">
        <is>
          <t>WACC tab</t>
        </is>
      </c>
    </row>
    <row r="98" ht="28" customHeight="1">
      <c r="A98" s="109" t="n">
        <v>0.115</v>
      </c>
      <c r="C98" t="inlineStr">
        <is>
          <t>https://fred.stlouisfed.org/series/GDPC1</t>
        </is>
      </c>
      <c r="D98" s="19" t="n"/>
      <c r="F98" s="110">
        <f>(NPV(0.115,F35:J35)+(J35*(1+0.015)/(0.115-0.015))/(1+0.115)^5+E48+E49)/E51</f>
        <v/>
      </c>
      <c r="G98" s="110">
        <f>(NPV(0.115,F35:J35)+(J35*(1+0.02)/(0.115-0.02))/(1+0.115)^5+E48+E49)/E51</f>
        <v/>
      </c>
      <c r="H98" s="110">
        <f>(NPV(0.115,F35:J35)+(J35*(1+0.0225)/(0.115-0.0225))/(1+0.115)^5+E48+E49)/E51</f>
        <v/>
      </c>
      <c r="I98" s="110">
        <f>(NPV(0.115,F35:J35)+(J35*(1+0.025)/(0.115-0.025))/(1+0.115)^5+E48+E49)/E51</f>
        <v/>
      </c>
      <c r="J98" s="110">
        <f>(NPV(0.115,F35:J35)+(J35*(1+0.03)/(0.115-0.03))/(1+0.115)^5+E48+E49)/E51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Justification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(D6*D57+D8)/D9</f>
        <v/>
      </c>
      <c r="G42" s="121">
        <f>(D6*E57+D8)/D9</f>
        <v/>
      </c>
    </row>
    <row r="43">
      <c r="A43" s="68" t="inlineStr">
        <is>
          <t>DCF exit method (Gordon-implied on FY2030E EBITDA)</t>
        </is>
      </c>
      <c r="B43" s="17" t="inlineStr">
        <is>
          <t>Selected exit is Gordon TV / FY30 EBITDA. Identity: (UFCF/EBITDA)×(1+g)/(WACC−g). Not Deckers and not a peer average.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(D6*D58+D8)/D9</f>
        <v/>
      </c>
    </row>
    <row r="44">
      <c r="A44" s="16" t="inlineStr">
        <is>
          <t>P / E (FY2026E EPS)</t>
        </is>
      </c>
      <c r="B44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D7*D59</f>
        <v/>
      </c>
      <c r="G44" s="121">
        <f>D7*E59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2026-09-09T23:40:30Z</dcterms:created>
  <dcterms:modified xsi:type="dcterms:W3CDTF">2026-09-10T00:48:14Z</dcterms:modified>
</cp:coreProperties>
</file>
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>
        <f>D11+D13</f>
        <v/>
      </c>
    </row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D18/D19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D17/(1+(1-D5)*D20)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D14/D10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D22*(1+(1-D5)*D23)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D3+D25*D4</f>
        <v/>
      </c>
    </row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D35*(1-D5)</f>
        <v/>
      </c>
    </row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D14/(D10+D14)</f>
        <v/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>
        <f>D39*D32+D40*D36</f>
        <v/>
      </c>
    </row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inlineStr">
        <is>
          <t>Justification  [cols I–L: click + to expand]</t>
        </is>
      </c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inlineStr">
        <is>
          <t>Justification  [cols I–L: click + to expand]</t>
        </is>
      </c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inlineStr">
        <is>
          <t>Justification  [cols I–L: click + to expand]</t>
        </is>
      </c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inlineStr">
        <is>
          <t>Justification  [cols I–L: click + to expand]</t>
        </is>
      </c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inlineStr">
        <is>
          <t>Justification  [cols I–L: click + to expand]</t>
        </is>
      </c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EBIT to NOPAT walk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38" t="n"/>
      <c r="C3" s="85" t="inlineStr">
        <is>
          <t>NOPAT Bridge</t>
        </is>
      </c>
      <c r="D3" s="85" t="n"/>
    </row>
    <row r="4" ht="36" customHeight="1">
      <c r="A4" s="16" t="inlineStr">
        <is>
          <t>Net revenue</t>
        </is>
      </c>
      <c r="C4" t="inlineStr">
        <is>
          <t>'NOPAT Bridge'!A1</t>
        </is>
      </c>
      <c r="D4" t="inlineStr">
        <is>
          <t>'Revenue Drivers'!A1</t>
        </is>
      </c>
      <c r="E4" s="74">
        <f>Scenarios!F25/(1+Scenarios!$F$4)</f>
        <v/>
      </c>
      <c r="F4" s="75">
        <f>Scenarios!F25</f>
        <v/>
      </c>
      <c r="G4" s="75">
        <f>Scenarios!F26</f>
        <v/>
      </c>
      <c r="H4" s="75">
        <f>Scenarios!F27</f>
        <v/>
      </c>
      <c r="I4" s="75">
        <f>Scenarios!F28</f>
        <v/>
      </c>
      <c r="J4" s="75">
        <f>Scenarios!F29</f>
        <v/>
      </c>
      <c r="K4" s="86">
        <f>IF(MAX(ABS(F5-Scenarios!$F$25),ABS(G5-Scenarios!$F$26),ABS(H5-Scenarios!$F$27),ABS(I5-Scenarios!$F$28),ABS(J5-Scenarios!$F$29))&lt;0.5,"OK","CHECK")</f>
        <v/>
      </c>
    </row>
    <row r="5">
      <c r="A5" s="16" t="inlineStr">
        <is>
          <t>Revenue growth %</t>
        </is>
      </c>
      <c r="B5" s="19" t="n"/>
      <c r="C5" s="38" t="inlineStr">
        <is>
          <t>Q2 FY26 Release</t>
        </is>
      </c>
      <c r="D5" s="19" t="n"/>
      <c r="E5" t="inlineStr">
        <is>
          <t>https://www.sec.gov/Archives/edgar/data/1397187/000139718726000020/lulu-20260201.htm</t>
        </is>
      </c>
      <c r="F5" s="32">
        <f>F5/E5-1</f>
        <v/>
      </c>
      <c r="G5" s="32">
        <f>G5/F5-1</f>
        <v/>
      </c>
      <c r="H5" s="32">
        <f>H5/G5-1</f>
        <v/>
      </c>
      <c r="I5" s="32">
        <f>I5/H5-1</f>
        <v/>
      </c>
      <c r="J5" s="32">
        <f>J5/I5-1</f>
        <v/>
      </c>
    </row>
    <row r="6" ht="42" customHeight="1">
      <c r="A6" s="16" t="inlineStr">
        <is>
          <t>Gross margin %</t>
        </is>
      </c>
      <c r="B6" s="17" t="n"/>
      <c r="C6" s="18" t="inlineStr">
        <is>
          <t>10-K</t>
        </is>
      </c>
      <c r="D6" s="19" t="n"/>
      <c r="E6" s="77" t="n">
        <v>0.566005440167168</v>
      </c>
      <c r="F6" s="20">
        <f>Scenarios!$F$14</f>
        <v/>
      </c>
      <c r="G6" s="20">
        <f>Scenarios!$F$14</f>
        <v/>
      </c>
      <c r="H6" s="20">
        <f>Scenarios!$F$14</f>
        <v/>
      </c>
      <c r="I6" s="20">
        <f>Scenarios!$F$14</f>
        <v/>
      </c>
      <c r="J6" s="20">
        <f>Scenarios!$F$14</f>
        <v/>
      </c>
    </row>
    <row r="7" ht="112" customHeight="1">
      <c r="A7" s="16" t="inlineStr">
        <is>
          <t>Cost of goods sold (COGS)</t>
        </is>
      </c>
      <c r="C7" t="inlineStr">
        <is>
          <t>https://www.sec.gov/Archives/edgar/data/1397187/000139718726000020/lulu-20260201.htm</t>
        </is>
      </c>
      <c r="E7" s="74" t="n">
        <v>4818468</v>
      </c>
      <c r="F7" s="75">
        <f>Scenarios!F35</f>
        <v/>
      </c>
      <c r="G7" s="75">
        <f>Scenarios!F36</f>
        <v/>
      </c>
      <c r="H7" s="75">
        <f>Scenarios!F37</f>
        <v/>
      </c>
      <c r="I7" s="75">
        <f>Scenarios!F38</f>
        <v/>
      </c>
      <c r="J7" s="75">
        <f>Scenarios!F39</f>
        <v/>
      </c>
      <c r="K7" s="86">
        <f>IF(MAX(ABS(F8-Scenarios!$F$35),ABS(G8-Scenarios!$F$36),ABS(H8-Scenarios!$F$37),ABS(I8-Scenarios!$F$38),ABS(J8-Scenarios!$F$39))&lt;0.5,"OK","CHECK")</f>
        <v/>
      </c>
    </row>
    <row r="8">
      <c r="A8" s="16" t="inlineStr">
        <is>
          <t>Clean / run-rate EBIT margin %</t>
        </is>
      </c>
      <c r="B8" s="19" t="n"/>
      <c r="C8" s="38" t="inlineStr">
        <is>
          <t>Q2 FY26 Release</t>
        </is>
      </c>
      <c r="D8" s="19" t="n"/>
      <c r="E8" t="inlineStr">
        <is>
          <t>https://www.sec.gov/Archives/edgar/data/1397187/000139718726000020/lulu-20260201.htm</t>
        </is>
      </c>
      <c r="F8" s="32">
        <f>Scenarios!F40</f>
        <v/>
      </c>
      <c r="G8" s="32">
        <f>Scenarios!F41</f>
        <v/>
      </c>
      <c r="H8" s="32">
        <f>Scenarios!F42</f>
        <v/>
      </c>
      <c r="I8" s="32">
        <f>Scenarios!F43</f>
        <v/>
      </c>
      <c r="J8" s="32">
        <f>Scenarios!F44</f>
        <v/>
      </c>
      <c r="K8" s="86">
        <f>IF(MAX(ABS(F9-Scenarios!$F$40),ABS(G9-Scenarios!$F$41),ABS(H9-Scenarios!$F$42),ABS(I9-Scenarios!$F$43),ABS(J9-Scenarios!$F$44))&lt;0.0001,"OK","CHECK")</f>
        <v/>
      </c>
    </row>
    <row r="9" ht="42" customHeight="1">
      <c r="A9" s="16" t="inlineStr">
        <is>
          <t>Plus: FY26 IEEPA tariff refunds (one-time)</t>
        </is>
      </c>
      <c r="B9" s="17" t="n"/>
      <c r="C9" s="18" t="inlineStr">
        <is>
          <t>Q2 FY26 Release</t>
        </is>
      </c>
      <c r="D9" s="19" t="n"/>
      <c r="E9" s="74" t="n">
        <v>0</v>
      </c>
      <c r="F9" s="37">
        <f>Scenarios!$F$7</f>
        <v/>
      </c>
      <c r="G9" s="37" t="n">
        <v>0</v>
      </c>
      <c r="H9" s="37" t="n">
        <v>0</v>
      </c>
      <c r="I9" s="37" t="n">
        <v>0</v>
      </c>
      <c r="J9" s="37" t="n">
        <v>0</v>
      </c>
    </row>
    <row r="10" ht="28" customHeight="1">
      <c r="A10" s="23" t="inlineStr">
        <is>
          <t>EBIT (incl. FY26 refund)</t>
        </is>
      </c>
      <c r="C10" t="inlineStr">
        <is>
          <t>https://corporate.lululemon.com/newsroom/press-releases/2026/09-03-2026-210528733</t>
        </is>
      </c>
      <c r="E10" s="76" t="n">
        <v>2210615</v>
      </c>
      <c r="F10" s="25">
        <f>Scenarios!F45</f>
        <v/>
      </c>
      <c r="G10" s="25">
        <f>Scenarios!F46</f>
        <v/>
      </c>
      <c r="H10" s="25">
        <f>Scenarios!F47</f>
        <v/>
      </c>
      <c r="I10" s="25">
        <f>Scenarios!F48</f>
        <v/>
      </c>
      <c r="J10" s="25">
        <f>Scenarios!F49</f>
        <v/>
      </c>
      <c r="K10" s="87">
        <f>IF(MAX(ABS(F11-Scenarios!$F$45),ABS(G11-Scenarios!$F$46),ABS(H11-Scenarios!$F$47),ABS(I11-Scenarios!$F$48),ABS(J11-Scenarios!$F$49))&lt;0.5,"OK","CHECK")</f>
        <v/>
      </c>
    </row>
    <row r="11">
      <c r="A11" s="16" t="inlineStr">
        <is>
          <t>Reported EBIT margin % (incl. FY26 refund)</t>
        </is>
      </c>
      <c r="E11" s="77" t="n">
        <v>0.1991078666258354</v>
      </c>
      <c r="F11" s="32">
        <f>F11/F5</f>
        <v/>
      </c>
      <c r="G11" s="32">
        <f>G11/G5</f>
        <v/>
      </c>
      <c r="H11" s="32">
        <f>H11/H5</f>
        <v/>
      </c>
      <c r="I11" s="32">
        <f>I11/I5</f>
        <v/>
      </c>
      <c r="J11" s="32">
        <f>J11/J5</f>
        <v/>
      </c>
    </row>
    <row r="12">
      <c r="A12" s="16" t="inlineStr">
        <is>
          <t>Less: unlevered tax (t_operating from NOPAT Bridge)</t>
        </is>
      </c>
      <c r="E12" t="inlineStr">
        <is>
          <t>https://www.sec.gov/Archives/edgar/data/1397187/000139718726000020/lulu-20260201.htm</t>
        </is>
      </c>
      <c r="F12" s="75">
        <f>-'NOPAT Bridge'!E40</f>
        <v/>
      </c>
      <c r="G12" s="75">
        <f>-'NOPAT Bridge'!F40</f>
        <v/>
      </c>
      <c r="H12" s="75">
        <f>-'NOPAT Bridge'!G40</f>
        <v/>
      </c>
      <c r="I12" s="75">
        <f>-'NOPAT Bridge'!H40</f>
        <v/>
      </c>
      <c r="J12" s="75">
        <f>-'NOPAT Bridge'!I40</f>
        <v/>
      </c>
    </row>
    <row r="13">
      <c r="A13" s="23" t="inlineStr">
        <is>
          <t>NOPAT</t>
        </is>
      </c>
      <c r="F13" s="25">
        <f>Scenarios!F50</f>
        <v/>
      </c>
      <c r="G13" s="25">
        <f>Scenarios!F51</f>
        <v/>
      </c>
      <c r="H13" s="25">
        <f>Scenarios!F52</f>
        <v/>
      </c>
      <c r="I13" s="25">
        <f>Scenarios!F53</f>
        <v/>
      </c>
      <c r="J13" s="25">
        <f>Scenarios!F54</f>
        <v/>
      </c>
      <c r="K13" s="87">
        <f>IF(MAX(ABS(F14-Scenarios!$F$50),ABS(G14-Scenarios!$F$51),ABS(H14-Scenarios!$F$52),ABS(I14-Scenarios!$F$53),ABS(J14-Scenarios!$F$54))&lt;0.5,"OK","CHECK")</f>
        <v/>
      </c>
    </row>
    <row r="14">
      <c r="A14" s="16" t="inlineStr">
        <is>
          <t>D&amp;A % of revenue</t>
        </is>
      </c>
      <c r="B14" s="17" t="n"/>
      <c r="C14" s="18" t="inlineStr">
        <is>
          <t>10-K</t>
        </is>
      </c>
      <c r="D14" s="19" t="n"/>
      <c r="F14" s="20">
        <f>Scenarios!$F$12</f>
        <v/>
      </c>
      <c r="G14" s="20">
        <f>Scenarios!$F$12</f>
        <v/>
      </c>
      <c r="H14" s="20">
        <f>Scenarios!$F$12</f>
        <v/>
      </c>
      <c r="I14" s="20">
        <f>Scenarios!$F$12</f>
        <v/>
      </c>
      <c r="J14" s="20">
        <f>Scenarios!$F$12</f>
        <v/>
      </c>
    </row>
    <row r="15" ht="28" customHeight="1">
      <c r="A15" s="16" t="inlineStr">
        <is>
          <t>Plus: depreciation &amp; amortization</t>
        </is>
      </c>
      <c r="C15" t="inlineStr">
        <is>
          <t>https://www.sec.gov/Archives/edgar/data/1397187/000139718726000020/lulu-20260201.htm</t>
        </is>
      </c>
      <c r="F15" s="75">
        <f>Scenarios!F55</f>
        <v/>
      </c>
      <c r="G15" s="75">
        <f>Scenarios!F56</f>
        <v/>
      </c>
      <c r="H15" s="75">
        <f>Scenarios!F57</f>
        <v/>
      </c>
      <c r="I15" s="75">
        <f>Scenarios!F58</f>
        <v/>
      </c>
      <c r="J15" s="75">
        <f>Scenarios!F59</f>
        <v/>
      </c>
      <c r="K15" s="86">
        <f>IF(MAX(ABS(F16-Scenarios!$F$55),ABS(G16-Scenarios!$F$56),ABS(H16-Scenarios!$F$57),ABS(I16-Scenarios!$F$58),ABS(J16-Scenarios!$F$59))&lt;0.5,"OK","CHECK")</f>
        <v/>
      </c>
    </row>
    <row r="16">
      <c r="A16" s="16" t="inlineStr">
        <is>
          <t>Capex % of revenue</t>
        </is>
      </c>
      <c r="B16" s="19" t="n"/>
      <c r="C16" s="38" t="inlineStr">
        <is>
          <t>10-K</t>
        </is>
      </c>
      <c r="D16" s="19" t="n"/>
      <c r="F16" s="20">
        <f>Scenarios!$F$13</f>
        <v/>
      </c>
      <c r="G16" s="20">
        <f>Scenarios!$F$13</f>
        <v/>
      </c>
      <c r="H16" s="20">
        <f>Scenarios!$F$13</f>
        <v/>
      </c>
      <c r="I16" s="20">
        <f>Scenarios!$F$13</f>
        <v/>
      </c>
      <c r="J16" s="20">
        <f>Scenarios!$F$13</f>
        <v/>
      </c>
    </row>
    <row r="17" ht="150" customHeight="1">
      <c r="A17" s="16" t="inlineStr">
        <is>
          <t>Less: capital expenditures</t>
        </is>
      </c>
      <c r="C17" t="inlineStr">
        <is>
          <t>https://www.sec.gov/Archives/edgar/data/1397187/000139718726000020/lulu-20260201.htm</t>
        </is>
      </c>
      <c r="F17" s="75">
        <f>-Scenarios!F60</f>
        <v/>
      </c>
      <c r="G17" s="75">
        <f>-Scenarios!F61</f>
        <v/>
      </c>
      <c r="H17" s="75">
        <f>-Scenarios!F62</f>
        <v/>
      </c>
      <c r="I17" s="75">
        <f>-Scenarios!F63</f>
        <v/>
      </c>
      <c r="J17" s="75">
        <f>-Scenarios!F64</f>
        <v/>
      </c>
      <c r="K17" s="86">
        <f>IF(MAX(ABS(F18+Scenarios!$F$60),ABS(G18+Scenarios!$F$61),ABS(H18+Scenarios!$F$62),ABS(I18+Scenarios!$F$63),ABS(J18+Scenarios!$F$64))&lt;0.5,"OK","CHECK")</f>
        <v/>
      </c>
    </row>
    <row r="18">
      <c r="A18" s="16" t="inlineStr">
        <is>
          <t>DSO (days) — flat vs FY25</t>
        </is>
      </c>
      <c r="B18" s="17" t="n"/>
      <c r="C18" s="18" t="inlineStr">
        <is>
          <t>10-K</t>
        </is>
      </c>
      <c r="D18" s="19" t="n"/>
      <c r="E18" s="88" t="n">
        <v>6.267883648875038</v>
      </c>
      <c r="F18" s="28">
        <f>Scenarios!F65</f>
        <v/>
      </c>
      <c r="G18" s="28">
        <f>Scenarios!F66</f>
        <v/>
      </c>
      <c r="H18" s="28">
        <f>Scenarios!F67</f>
        <v/>
      </c>
      <c r="I18" s="28">
        <f>Scenarios!F68</f>
        <v/>
      </c>
      <c r="J18" s="28">
        <f>Scenarios!F69</f>
        <v/>
      </c>
      <c r="K18" s="86">
        <f>IF(MAX(ABS(F20-Scenarios!$F$65),ABS(G20-Scenarios!$F$66),ABS(H20-Scenarios!$F$67),ABS(I20-Scenarios!$F$68),ABS(J20-Scenarios!$F$69))&lt;0.5,"OK","CHECK")</f>
        <v/>
      </c>
    </row>
    <row r="19">
      <c r="A19" s="16" t="inlineStr">
        <is>
          <t>Accounts receivable, net</t>
        </is>
      </c>
      <c r="B19" s="17" t="n"/>
      <c r="C19" s="18" t="inlineStr">
        <is>
          <t>10-K</t>
        </is>
      </c>
      <c r="D19" s="19" t="n"/>
      <c r="E19" s="74" t="n">
        <v>190657</v>
      </c>
      <c r="F19" s="75">
        <f>Scenarios!F70</f>
        <v/>
      </c>
      <c r="G19" s="75">
        <f>Scenarios!F71</f>
        <v/>
      </c>
      <c r="H19" s="75">
        <f>Scenarios!F72</f>
        <v/>
      </c>
      <c r="I19" s="75">
        <f>Scenarios!F73</f>
        <v/>
      </c>
      <c r="J19" s="75">
        <f>Scenarios!F74</f>
        <v/>
      </c>
      <c r="K19" s="86">
        <f>IF(MAX(ABS(F21-Scenarios!$F$70),ABS(G21-Scenarios!$F$71),ABS(H21-Scenarios!$F$72),ABS(I21-Scenarios!$F$73),ABS(J21-Scenarios!$F$74))&lt;0.5,"OK","CHECK")</f>
        <v/>
      </c>
    </row>
    <row r="20" hidden="1" outlineLevel="1" ht="150" customHeight="1">
      <c r="A20" s="16" t="inlineStr">
        <is>
          <t>DIO (days) — FY25 anchor, −1 day/yr</t>
        </is>
      </c>
      <c r="B20" s="19" t="n"/>
      <c r="C20" s="38" t="inlineStr">
        <is>
          <t>10-K</t>
        </is>
      </c>
      <c r="D20" s="19" t="n"/>
      <c r="E20" s="88" t="n">
        <v>128.8324100108167</v>
      </c>
      <c r="F20" s="28">
        <f>Scenarios!F75</f>
        <v/>
      </c>
      <c r="G20" s="28">
        <f>Scenarios!F76</f>
        <v/>
      </c>
      <c r="H20" s="28">
        <f>Scenarios!F77</f>
        <v/>
      </c>
      <c r="I20" s="28">
        <f>Scenarios!F78</f>
        <v/>
      </c>
      <c r="J20" s="28">
        <f>Scenarios!F79</f>
        <v/>
      </c>
      <c r="K20" s="86">
        <f>IF(MAX(ABS(F22-Scenarios!$F$75),ABS(G22-Scenarios!$F$76),ABS(H22-Scenarios!$F$77),ABS(I22-Scenarios!$F$78),ABS(J22-Scenarios!$F$79))&lt;0.5,"OK","CHECK")</f>
        <v/>
      </c>
    </row>
    <row r="21" hidden="1" outlineLevel="1" ht="98" customHeight="1">
      <c r="A21" s="16" t="inlineStr">
        <is>
          <t>Inventories</t>
        </is>
      </c>
      <c r="B21" s="17" t="n"/>
      <c r="C21" s="18" t="inlineStr">
        <is>
          <t>10-K</t>
        </is>
      </c>
      <c r="D21" s="19" t="n"/>
      <c r="E21" s="74" t="n">
        <v>1700753</v>
      </c>
      <c r="F21" s="75">
        <f>Scenarios!F80</f>
        <v/>
      </c>
      <c r="G21" s="75">
        <f>Scenarios!F81</f>
        <v/>
      </c>
      <c r="H21" s="75">
        <f>Scenarios!F82</f>
        <v/>
      </c>
      <c r="I21" s="75">
        <f>Scenarios!F83</f>
        <v/>
      </c>
      <c r="J21" s="75">
        <f>Scenarios!F84</f>
        <v/>
      </c>
      <c r="K21" s="86">
        <f>IF(MAX(ABS(F23-Scenarios!$F$80),ABS(G23-Scenarios!$F$81),ABS(H23-Scenarios!$F$82),ABS(I23-Scenarios!$F$83),ABS(J23-Scenarios!$F$84))&lt;0.5,"OK","CHECK")</f>
        <v/>
      </c>
    </row>
    <row r="22" hidden="1" outlineLevel="1" ht="150" customHeight="1">
      <c r="A22" s="16" t="inlineStr">
        <is>
          <t>DPO (days) — flat vs FY25</t>
        </is>
      </c>
      <c r="B22" s="17" t="n"/>
      <c r="C22" s="18" t="inlineStr">
        <is>
          <t>10-K</t>
        </is>
      </c>
      <c r="D22" s="19" t="n"/>
      <c r="E22" s="88" t="n">
        <v>25.10521290169407</v>
      </c>
      <c r="F22" s="28">
        <f>Scenarios!F85</f>
        <v/>
      </c>
      <c r="G22" s="28">
        <f>Scenarios!F86</f>
        <v/>
      </c>
      <c r="H22" s="28">
        <f>Scenarios!F87</f>
        <v/>
      </c>
      <c r="I22" s="28">
        <f>Scenarios!F88</f>
        <v/>
      </c>
      <c r="J22" s="28">
        <f>Scenarios!F89</f>
        <v/>
      </c>
      <c r="K22" s="86">
        <f>IF(MAX(ABS(F24-Scenarios!$F$85),ABS(G24-Scenarios!$F$86),ABS(H24-Scenarios!$F$87),ABS(I24-Scenarios!$F$88),ABS(J24-Scenarios!$F$89))&lt;0.5,"OK","CHECK")</f>
        <v/>
      </c>
    </row>
    <row r="23" hidden="1" outlineLevel="1" ht="112" customHeight="1">
      <c r="A23" s="16" t="inlineStr">
        <is>
          <t>Accounts payable</t>
        </is>
      </c>
      <c r="B23" s="17" t="n"/>
      <c r="C23" s="18" t="inlineStr">
        <is>
          <t>10-K</t>
        </is>
      </c>
      <c r="D23" s="19" t="n"/>
      <c r="E23" s="74" t="n">
        <v>331421</v>
      </c>
      <c r="F23" s="75">
        <f>Scenarios!F90</f>
        <v/>
      </c>
      <c r="G23" s="75">
        <f>Scenarios!F91</f>
        <v/>
      </c>
      <c r="H23" s="75">
        <f>Scenarios!F92</f>
        <v/>
      </c>
      <c r="I23" s="75">
        <f>Scenarios!F93</f>
        <v/>
      </c>
      <c r="J23" s="75">
        <f>Scenarios!F94</f>
        <v/>
      </c>
      <c r="K23" s="86">
        <f>IF(MAX(ABS(F25-Scenarios!$F$90),ABS(G25-Scenarios!$F$91),ABS(H25-Scenarios!$F$92),ABS(I25-Scenarios!$F$93),ABS(J25-Scenarios!$F$94))&lt;0.5,"OK","CHECK")</f>
        <v/>
      </c>
    </row>
    <row r="24" hidden="1" outlineLevel="1" ht="84" customHeight="1">
      <c r="A24" s="16" t="inlineStr">
        <is>
          <t>Prepaid expenses (% of revenue)</t>
        </is>
      </c>
      <c r="B24" s="17" t="n"/>
      <c r="C24" s="18" t="inlineStr">
        <is>
          <t>10-K</t>
        </is>
      </c>
      <c r="D24" s="19" t="n"/>
      <c r="E24" s="77" t="n">
        <v>0.05080692810692991</v>
      </c>
      <c r="F24" s="20">
        <f>Scenarios!$F$19</f>
        <v/>
      </c>
      <c r="G24" s="20">
        <f>Scenarios!$F$19</f>
        <v/>
      </c>
      <c r="H24" s="20">
        <f>Scenarios!$F$19</f>
        <v/>
      </c>
      <c r="I24" s="20">
        <f>Scenarios!$F$19</f>
        <v/>
      </c>
      <c r="J24" s="20">
        <f>Scenarios!$F$19</f>
        <v/>
      </c>
    </row>
    <row r="25" hidden="1" outlineLevel="1" ht="84" customHeight="1">
      <c r="A25" s="16" t="inlineStr">
        <is>
          <t>Prepaid expenses (other current assets)</t>
        </is>
      </c>
      <c r="B25" s="17" t="n"/>
      <c r="C25" s="18" t="inlineStr">
        <is>
          <t>10-K</t>
        </is>
      </c>
      <c r="D25" s="19" t="n"/>
      <c r="E25" s="74" t="n">
        <v>564089</v>
      </c>
      <c r="F25" s="75">
        <f>Scenarios!F95</f>
        <v/>
      </c>
      <c r="G25" s="75">
        <f>Scenarios!F96</f>
        <v/>
      </c>
      <c r="H25" s="75">
        <f>Scenarios!F97</f>
        <v/>
      </c>
      <c r="I25" s="75">
        <f>Scenarios!F98</f>
        <v/>
      </c>
      <c r="J25" s="75">
        <f>Scenarios!F99</f>
        <v/>
      </c>
      <c r="K25" s="86">
        <f>IF(MAX(ABS(F27-Scenarios!$F$95),ABS(G27-Scenarios!$F$96),ABS(H27-Scenarios!$F$97),ABS(I27-Scenarios!$F$98),ABS(J27-Scenarios!$F$99))&lt;0.5,"OK","CHECK")</f>
        <v/>
      </c>
    </row>
    <row r="26" hidden="1" outlineLevel="1" ht="84" customHeight="1">
      <c r="A26" s="16" t="inlineStr">
        <is>
          <t>Accrued liabilities (% of revenue)</t>
        </is>
      </c>
      <c r="B26" s="17" t="n"/>
      <c r="C26" s="18" t="inlineStr">
        <is>
          <t>10-K</t>
        </is>
      </c>
      <c r="D26" s="19" t="n"/>
      <c r="E26" s="77" t="n">
        <v>0.05971412101669879</v>
      </c>
      <c r="F26" s="20">
        <f>Scenarios!$F$20</f>
        <v/>
      </c>
      <c r="G26" s="20">
        <f>Scenarios!$F$20</f>
        <v/>
      </c>
      <c r="H26" s="20">
        <f>Scenarios!$F$20</f>
        <v/>
      </c>
      <c r="I26" s="20">
        <f>Scenarios!$F$20</f>
        <v/>
      </c>
      <c r="J26" s="20">
        <f>Scenarios!$F$20</f>
        <v/>
      </c>
    </row>
    <row r="27" hidden="1" outlineLevel="1" ht="84" customHeight="1">
      <c r="A27" s="16" t="inlineStr">
        <is>
          <t>Accrued liabilities and other</t>
        </is>
      </c>
      <c r="B27" s="17" t="n"/>
      <c r="C27" s="18" t="inlineStr">
        <is>
          <t>10-K</t>
        </is>
      </c>
      <c r="D27" s="19" t="n"/>
      <c r="E27" s="74" t="n">
        <v>662982</v>
      </c>
      <c r="F27" s="75">
        <f>Scenarios!F100</f>
        <v/>
      </c>
      <c r="G27" s="75">
        <f>Scenarios!F101</f>
        <v/>
      </c>
      <c r="H27" s="75">
        <f>Scenarios!F102</f>
        <v/>
      </c>
      <c r="I27" s="75">
        <f>Scenarios!F103</f>
        <v/>
      </c>
      <c r="J27" s="75">
        <f>Scenarios!F104</f>
        <v/>
      </c>
      <c r="K27" s="86">
        <f>IF(MAX(ABS(F29-Scenarios!$F$100),ABS(G29-Scenarios!$F$101),ABS(H29-Scenarios!$F$102),ABS(I29-Scenarios!$F$103),ABS(J29-Scenarios!$F$104))&lt;0.5,"OK","CHECK")</f>
        <v/>
      </c>
    </row>
    <row r="28" hidden="1" outlineLevel="1" ht="84" customHeight="1">
      <c r="A28" s="16" t="inlineStr">
        <is>
          <t>Current operating assets (AR + inv + prepaids)</t>
        </is>
      </c>
      <c r="B28" s="17" t="n"/>
      <c r="C28" s="18" t="inlineStr">
        <is>
          <t>Scenarios</t>
        </is>
      </c>
      <c r="D28" s="19" t="n"/>
      <c r="E28" t="inlineStr">
        <is>
          <t>https://www.sec.gov/Archives/edgar/data/1397187/000139718726000020/lulu-20260201.htm</t>
        </is>
      </c>
      <c r="F28" s="75">
        <f>Scenarios!F105</f>
        <v/>
      </c>
      <c r="G28" s="75">
        <f>Scenarios!F106</f>
        <v/>
      </c>
      <c r="H28" s="75">
        <f>Scenarios!F107</f>
        <v/>
      </c>
      <c r="I28" s="75">
        <f>Scenarios!F108</f>
        <v/>
      </c>
      <c r="J28" s="75">
        <f>Scenarios!F109</f>
        <v/>
      </c>
      <c r="K28" s="86">
        <f>IF(MAX(ABS(F30-Scenarios!$F$105),ABS(G30-Scenarios!$F$106),ABS(H30-Scenarios!$F$107),ABS(I30-Scenarios!$F$108),ABS(J30-Scenarios!$F$109))&lt;0.5,"OK","CHECK")</f>
        <v/>
      </c>
    </row>
    <row r="29" hidden="1" outlineLevel="1" ht="84" customHeight="1">
      <c r="A29" s="16" t="inlineStr">
        <is>
          <t>Current operating liabilities (AP + accruals)</t>
        </is>
      </c>
      <c r="B29" s="17" t="n"/>
      <c r="C29" s="18" t="inlineStr">
        <is>
          <t>Scenarios</t>
        </is>
      </c>
      <c r="D29" s="19" t="n"/>
      <c r="E29" t="inlineStr">
        <is>
          <t>https://www.sec.gov/Archives/edgar/data/1397187/000139718726000020/lulu-20260201.htm</t>
        </is>
      </c>
      <c r="F29" s="75">
        <f>Scenarios!F110</f>
        <v/>
      </c>
      <c r="G29" s="75">
        <f>Scenarios!F111</f>
        <v/>
      </c>
      <c r="H29" s="75">
        <f>Scenarios!F112</f>
        <v/>
      </c>
      <c r="I29" s="75">
        <f>Scenarios!F113</f>
        <v/>
      </c>
      <c r="J29" s="75">
        <f>Scenarios!F114</f>
        <v/>
      </c>
      <c r="K29" s="86">
        <f>IF(MAX(ABS(F31-Scenarios!$F$110),ABS(G31-Scenarios!$F$111),ABS(H31-Scenarios!$F$112),ABS(I31-Scenarios!$F$113),ABS(J31-Scenarios!$F$114))&lt;0.5,"OK","CHECK")</f>
        <v/>
      </c>
    </row>
    <row r="30" hidden="1" outlineLevel="1" ht="42" customHeight="1">
      <c r="A30" s="23" t="inlineStr">
        <is>
          <t>Net working capital</t>
        </is>
      </c>
      <c r="B30" s="17" t="n"/>
      <c r="C30" s="18" t="inlineStr">
        <is>
          <t>10-K</t>
        </is>
      </c>
      <c r="D30" s="19" t="n"/>
      <c r="E30" s="76" t="n">
        <v>1461096</v>
      </c>
      <c r="F30" s="25">
        <f>Scenarios!F115</f>
        <v/>
      </c>
      <c r="G30" s="25">
        <f>Scenarios!F116</f>
        <v/>
      </c>
      <c r="H30" s="25">
        <f>Scenarios!F117</f>
        <v/>
      </c>
      <c r="I30" s="25">
        <f>Scenarios!F118</f>
        <v/>
      </c>
      <c r="J30" s="25">
        <f>Scenarios!F119</f>
        <v/>
      </c>
      <c r="K30" s="87">
        <f>IF(MAX(ABS(F32-Scenarios!$F$115),ABS(G32-Scenarios!$F$116),ABS(H32-Scenarios!$F$117),ABS(I32-Scenarios!$F$118),ABS(J32-Scenarios!$F$119))&lt;0.5,"OK","CHECK")</f>
        <v/>
      </c>
    </row>
    <row r="31" hidden="1" outlineLevel="1" ht="42" customHeight="1">
      <c r="A31" s="23" t="inlineStr">
        <is>
          <t>ΔNWC (prior yr − current yr)</t>
        </is>
      </c>
      <c r="B31" s="17" t="n"/>
      <c r="C31" s="18" t="inlineStr">
        <is>
          <t>Scenarios</t>
        </is>
      </c>
      <c r="D31" s="19" t="n"/>
      <c r="F31" s="25">
        <f>Scenarios!F120</f>
        <v/>
      </c>
      <c r="G31" s="25">
        <f>Scenarios!F121</f>
        <v/>
      </c>
      <c r="H31" s="25">
        <f>Scenarios!F122</f>
        <v/>
      </c>
      <c r="I31" s="25">
        <f>Scenarios!F123</f>
        <v/>
      </c>
      <c r="J31" s="25">
        <f>Scenarios!F124</f>
        <v/>
      </c>
      <c r="K31" s="87">
        <f>IF(MAX(ABS(F33-Scenarios!$F$120),ABS(G33-Scenarios!$F$121),ABS(H33-Scenarios!$F$122),ABS(I33-Scenarios!$F$123),ABS(J33-Scenarios!$F$124))&lt;0.5,"OK","CHECK")</f>
        <v/>
      </c>
    </row>
    <row r="32" hidden="1" outlineLevel="1" ht="42" customHeight="1">
      <c r="A32" s="23" t="inlineStr">
        <is>
          <t>Unlevered free cash flow</t>
        </is>
      </c>
      <c r="C32" t="inlineStr">
        <is>
          <t>https://www.sec.gov/Archives/edgar/data/1397187/000139718726000020/lulu-20260201.htm</t>
        </is>
      </c>
      <c r="E32" t="inlineStr">
        <is>
          <t>https://www.sec.gov/Archives/edgar/data/1397187/000139718726000020/lulu-20260201.htm</t>
        </is>
      </c>
      <c r="F32" s="89">
        <f>Scenarios!F125</f>
        <v/>
      </c>
      <c r="G32" s="89">
        <f>Scenarios!F126</f>
        <v/>
      </c>
      <c r="H32" s="89">
        <f>Scenarios!F127</f>
        <v/>
      </c>
      <c r="I32" s="89">
        <f>Scenarios!F128</f>
        <v/>
      </c>
      <c r="J32" s="89">
        <f>Scenarios!F129</f>
        <v/>
      </c>
      <c r="K32" s="87">
        <f>IF(MAX(ABS(F35-Scenarios!$F$125),ABS(G35-Scenarios!$F$126),ABS(H35-Scenarios!$F$127),ABS(I35-Scenarios!$F$128),ABS(J35-Scenarios!$F$129))&lt;0.5,"OK","CHECK")</f>
        <v/>
      </c>
    </row>
    <row r="33" ht="56" customHeight="1">
      <c r="A33" s="16" t="inlineStr">
        <is>
          <t>Discount period (years)</t>
        </is>
      </c>
      <c r="C33" t="inlineStr">
        <is>
          <t>'Scenarios'!A120</t>
        </is>
      </c>
      <c r="F33" s="90" t="n">
        <v>1</v>
      </c>
      <c r="G33" s="90" t="n">
        <v>2</v>
      </c>
      <c r="H33" s="90" t="n">
        <v>3</v>
      </c>
      <c r="I33" s="90" t="n">
        <v>4</v>
      </c>
      <c r="J33" s="90" t="n">
        <v>5</v>
      </c>
    </row>
    <row r="34">
      <c r="A34" s="16" t="inlineStr">
        <is>
          <t>Discount factor @ WACC</t>
        </is>
      </c>
      <c r="F34" s="91">
        <f>1/(1+Scenarios!$F$9)^F36</f>
        <v/>
      </c>
      <c r="G34" s="91">
        <f>1/(1+Scenarios!$F$9)^G36</f>
        <v/>
      </c>
      <c r="H34" s="91">
        <f>1/(1+Scenarios!$F$9)^H36</f>
        <v/>
      </c>
      <c r="I34" s="91">
        <f>1/(1+Scenarios!$F$9)^I36</f>
        <v/>
      </c>
      <c r="J34" s="91">
        <f>1/(1+Scenarios!$F$9)^J36</f>
        <v/>
      </c>
    </row>
    <row r="35">
      <c r="A35" s="23" t="inlineStr">
        <is>
          <t>PV of unlevered FCF</t>
        </is>
      </c>
      <c r="F35" s="25">
        <f>F35*F37</f>
        <v/>
      </c>
      <c r="G35" s="25">
        <f>G35*G37</f>
        <v/>
      </c>
      <c r="H35" s="25">
        <f>H35*H37</f>
        <v/>
      </c>
      <c r="I35" s="25">
        <f>I35*I37</f>
        <v/>
      </c>
      <c r="J35" s="25">
        <f>J35*J37</f>
        <v/>
      </c>
    </row>
    <row r="37">
      <c r="A37" s="15" t="inlineStr">
        <is>
          <t>Scenarios linkage summary (column K should all read OK)</t>
        </is>
      </c>
      <c r="K37" s="92">
        <f>IF(COUNTIF(K5:K35,"CHECK")=0,"ALL OK","REVIEW")</f>
        <v/>
      </c>
    </row>
    <row r="38">
      <c r="A38" s="93" t="inlineStr">
        <is>
          <t>VALUATION — GORDON GROWTH (PERPETUITY) METHOD</t>
        </is>
      </c>
      <c r="B38" s="13" t="n"/>
      <c r="C38" s="13" t="n"/>
    </row>
    <row r="39">
      <c r="A39" s="23" t="inlineStr">
        <is>
          <t>Sum of PV of explicit FCF (FY26–FY30)</t>
        </is>
      </c>
      <c r="E39" s="70">
        <f>SUM(F38:J38)</f>
        <v/>
      </c>
    </row>
    <row r="40">
      <c r="A40" s="16" t="inlineStr">
        <is>
          <t>Terminal growth rate (g)</t>
        </is>
      </c>
      <c r="B40" s="17" t="n"/>
      <c r="C40" s="18" t="inlineStr">
        <is>
          <t>FRED</t>
        </is>
      </c>
      <c r="D40" s="19" t="n"/>
      <c r="E40" s="32">
        <f>Scenarios!$F$10</f>
        <v/>
      </c>
    </row>
    <row r="41">
      <c r="A41" s="23" t="inlineStr">
        <is>
          <t>Terminal EBITDA (FY2030E EBIT + D&amp;A)</t>
        </is>
      </c>
      <c r="E41" s="25">
        <f>J11+J16</f>
        <v/>
      </c>
    </row>
    <row r="42">
      <c r="A42" s="16" t="inlineStr">
        <is>
          <t>Terminal value = FCF₅×(1+g)/(WACC−g)</t>
        </is>
      </c>
      <c r="E42" s="75">
        <f>J35*(1+Scenarios!$F$10)/(Scenarios!$F$9-Scenarios!$F$10)</f>
        <v/>
      </c>
    </row>
    <row r="43" ht="28" customHeight="1">
      <c r="A43" s="16" t="inlineStr">
        <is>
          <t>Implied exit EV/EBITDA = Gordon TV / FY30 EBITDA</t>
        </is>
      </c>
      <c r="C43" t="inlineStr">
        <is>
          <t>https://fred.stlouisfed.org/series/GDPC1</t>
        </is>
      </c>
      <c r="E43" s="94">
        <f>E42/E41</f>
        <v/>
      </c>
    </row>
    <row r="44">
      <c r="A44" s="23" t="inlineStr">
        <is>
          <t>PV of terminal value</t>
        </is>
      </c>
      <c r="E44" s="70">
        <f>E42/(1+Scenarios!$F$9)^J36</f>
        <v/>
      </c>
    </row>
    <row r="45">
      <c r="A45" s="23" t="inlineStr">
        <is>
          <t>Enterprise value</t>
        </is>
      </c>
      <c r="E45" s="25">
        <f>E39+E44</f>
        <v/>
      </c>
    </row>
    <row r="46">
      <c r="A46" s="16" t="inlineStr">
        <is>
          <t>Plus: cash &amp; equivalents (FY2025)</t>
        </is>
      </c>
      <c r="C46" s="95" t="inlineStr">
        <is>
          <t>10-K</t>
        </is>
      </c>
      <c r="D46" s="19" t="n"/>
      <c r="E46" s="74" t="n">
        <v>1807202</v>
      </c>
    </row>
    <row r="47">
      <c r="A47" s="16" t="inlineStr">
        <is>
          <t>Less: total debt &amp; operating leases</t>
        </is>
      </c>
      <c r="B47" s="17" t="n"/>
      <c r="C47" s="18" t="inlineStr">
        <is>
          <t>10-K</t>
        </is>
      </c>
      <c r="D47" s="19" t="n"/>
      <c r="E47" s="74" t="n">
        <v>-1798441</v>
      </c>
    </row>
    <row r="48">
      <c r="A48" s="23" t="inlineStr">
        <is>
          <t>Equity value</t>
        </is>
      </c>
      <c r="E48" s="25">
        <f>E45+E46+E47</f>
        <v/>
      </c>
    </row>
    <row r="49">
      <c r="A49" s="16" t="inlineStr">
        <is>
          <t>Shares outstanding (000)</t>
        </is>
      </c>
      <c r="C49" s="95" t="inlineStr">
        <is>
          <t>10-K</t>
        </is>
      </c>
      <c r="D49" s="19" t="n"/>
      <c r="E49" s="74" t="n">
        <v>111380</v>
      </c>
    </row>
    <row r="50" ht="28" customHeight="1">
      <c r="A50" s="23" t="inlineStr">
        <is>
          <t>Implied value per share</t>
        </is>
      </c>
      <c r="C50" t="inlineStr">
        <is>
          <t>https://www.sec.gov/Archives/edgar/data/1397187/000139718726000020/lulu-20260201.htm</t>
        </is>
      </c>
      <c r="E50" s="96">
        <f>E48/E49</f>
        <v/>
      </c>
      <c r="K50" s="87">
        <f>IF(ABS(E56-Scenarios!$F$132)&lt;0.05,"OK","CHECK")</f>
        <v/>
      </c>
    </row>
    <row r="51" ht="28" customHeight="1">
      <c r="A51" s="16" t="inlineStr">
        <is>
          <t>Current share price</t>
        </is>
      </c>
      <c r="C51" s="95" t="inlineStr">
        <is>
          <t>NASDAQ</t>
        </is>
      </c>
      <c r="D51" s="19" t="n"/>
      <c r="E51" s="97" t="n">
        <v>100</v>
      </c>
    </row>
    <row r="52">
      <c r="A52" s="23" t="inlineStr">
        <is>
          <t>Implied upside / (downside)</t>
        </is>
      </c>
      <c r="E52" s="98">
        <f>E50/E51-1</f>
        <v/>
      </c>
    </row>
    <row r="55" ht="28" customHeight="1">
      <c r="A55" s="93" t="inlineStr">
        <is>
          <t>SHARE REPURCHASE &amp; EPS ACCRETION SCHEDULE</t>
        </is>
      </c>
      <c r="B55" s="13" t="n"/>
      <c r="C55" s="13" t="inlineStr">
        <is>
          <t>https://www.sec.gov/Archives/edgar/data/1397187/000139718726000020/lulu-20260201.htm</t>
        </is>
      </c>
      <c r="D55" s="13" t="n"/>
      <c r="E55" s="13" t="inlineStr">
        <is>
          <t>https://www.sec.gov/Archives/edgar/data/1397187/000139718726000020/lulu-20260201.htm</t>
        </is>
      </c>
    </row>
    <row r="57" ht="28" customHeight="1">
      <c r="A57" s="16" t="inlineStr">
        <is>
          <t>Annual repurchase budget ($000) — base case</t>
        </is>
      </c>
      <c r="C57" t="inlineStr">
        <is>
          <t>https://www.nasdaq.com/market-activity/stocks/lulu</t>
        </is>
      </c>
      <c r="E57" s="37" t="n">
        <v>500000</v>
      </c>
      <c r="F57" s="37">
        <f>$E$65</f>
        <v/>
      </c>
      <c r="G57" s="37">
        <f>$E$65</f>
        <v/>
      </c>
      <c r="H57" s="37">
        <f>$E$65</f>
        <v/>
      </c>
      <c r="I57" s="37">
        <f>$E$65</f>
        <v/>
      </c>
      <c r="J57" s="37">
        <f>$E$65</f>
        <v/>
      </c>
    </row>
    <row r="58">
      <c r="A58" s="16" t="inlineStr">
        <is>
          <t>Cost of equity — share-price growth rate</t>
        </is>
      </c>
      <c r="E58" s="20" t="n">
        <v>0.105</v>
      </c>
      <c r="F58" s="20">
        <f>$E$66</f>
        <v/>
      </c>
      <c r="G58" s="20">
        <f>$E$66</f>
        <v/>
      </c>
      <c r="H58" s="20">
        <f>$E$66</f>
        <v/>
      </c>
      <c r="I58" s="20">
        <f>$E$66</f>
        <v/>
      </c>
      <c r="J58" s="20">
        <f>$E$66</f>
        <v/>
      </c>
    </row>
    <row r="60">
      <c r="A60" s="16" t="inlineStr">
        <is>
          <t>Unlevered free cash flow (from DCF above)</t>
        </is>
      </c>
      <c r="F60" s="75">
        <f>F35</f>
        <v/>
      </c>
      <c r="G60" s="75">
        <f>G35</f>
        <v/>
      </c>
      <c r="H60" s="75">
        <f>H35</f>
        <v/>
      </c>
      <c r="I60" s="75">
        <f>I35</f>
        <v/>
      </c>
      <c r="J60" s="75">
        <f>J35</f>
        <v/>
      </c>
    </row>
    <row r="61">
      <c r="A61" s="16" t="inlineStr">
        <is>
          <t>Repurchase cash deployed (= fixed budget)</t>
        </is>
      </c>
      <c r="E61" s="75" t="n">
        <v>0</v>
      </c>
      <c r="F61" s="75">
        <f>F65</f>
        <v/>
      </c>
      <c r="G61" s="75">
        <f>G65</f>
        <v/>
      </c>
      <c r="H61" s="75">
        <f>H65</f>
        <v/>
      </c>
      <c r="I61" s="75">
        <f>I65</f>
        <v/>
      </c>
      <c r="J61" s="75">
        <f>J65</f>
        <v/>
      </c>
    </row>
    <row r="62">
      <c r="A62" s="16" t="inlineStr">
        <is>
          <t>Repurchase as % of UFCF (derived)</t>
        </is>
      </c>
      <c r="F62" s="32">
        <f>F69/F68</f>
        <v/>
      </c>
      <c r="G62" s="32">
        <f>G69/G68</f>
        <v/>
      </c>
      <c r="H62" s="32">
        <f>H69/H68</f>
        <v/>
      </c>
      <c r="I62" s="32">
        <f>I69/I68</f>
        <v/>
      </c>
      <c r="J62" s="32">
        <f>J69/J68</f>
        <v/>
      </c>
    </row>
    <row r="64">
      <c r="A64" s="16" t="inlineStr">
        <is>
          <t>Projected share price ($)</t>
        </is>
      </c>
      <c r="E64" s="99" t="n">
        <v>100</v>
      </c>
      <c r="F64" s="99">
        <f>E72*(1+$E$66)</f>
        <v/>
      </c>
      <c r="G64" s="99">
        <f>F72*(1+$E$66)</f>
        <v/>
      </c>
      <c r="H64" s="99">
        <f>G72*(1+$E$66)</f>
        <v/>
      </c>
      <c r="I64" s="99">
        <f>H72*(1+$E$66)</f>
        <v/>
      </c>
      <c r="J64" s="99">
        <f>I72*(1+$E$66)</f>
        <v/>
      </c>
    </row>
    <row r="65">
      <c r="A65" s="16" t="inlineStr">
        <is>
          <t>Shares retired (000)</t>
        </is>
      </c>
      <c r="E65" s="75" t="n">
        <v>0</v>
      </c>
      <c r="F65" s="75">
        <f>F69/F72</f>
        <v/>
      </c>
      <c r="G65" s="75">
        <f>G69/G72</f>
        <v/>
      </c>
      <c r="H65" s="75">
        <f>H69/H72</f>
        <v/>
      </c>
      <c r="I65" s="75">
        <f>I69/I72</f>
        <v/>
      </c>
      <c r="J65" s="75">
        <f>J69/J72</f>
        <v/>
      </c>
    </row>
    <row r="66">
      <c r="A66" s="16" t="inlineStr">
        <is>
          <t>Beginning shares (000)</t>
        </is>
      </c>
      <c r="E66" s="22" t="n">
        <v>111380</v>
      </c>
      <c r="F66" s="75">
        <f>$E$74</f>
        <v/>
      </c>
      <c r="G66" s="75">
        <f>F75</f>
        <v/>
      </c>
      <c r="H66" s="75">
        <f>G75</f>
        <v/>
      </c>
      <c r="I66" s="75">
        <f>H75</f>
        <v/>
      </c>
      <c r="J66" s="75">
        <f>I75</f>
        <v/>
      </c>
    </row>
    <row r="67">
      <c r="A67" s="23" t="inlineStr">
        <is>
          <t>Ending shares (000)</t>
        </is>
      </c>
      <c r="E67" s="100" t="n">
        <v>111380</v>
      </c>
      <c r="F67" s="25">
        <f>F74-F73</f>
        <v/>
      </c>
      <c r="G67" s="25">
        <f>G74-G73</f>
        <v/>
      </c>
      <c r="H67" s="25">
        <f>H74-H73</f>
        <v/>
      </c>
      <c r="I67" s="25">
        <f>I74-I73</f>
        <v/>
      </c>
      <c r="J67" s="25">
        <f>J74-J73</f>
        <v/>
      </c>
    </row>
    <row r="69">
      <c r="A69" s="16" t="inlineStr">
        <is>
          <t>Projected net income ($000)</t>
        </is>
      </c>
      <c r="E69" s="22" t="n">
        <v>1579183</v>
      </c>
      <c r="F69" s="75">
        <f>('NOPAT Bridge'!E36-'NOPAT Bridge'!E23)*(1-'NOPAT Bridge'!E$39)</f>
        <v/>
      </c>
      <c r="G69" s="75">
        <f>('NOPAT Bridge'!F36-'NOPAT Bridge'!F23)*(1-'NOPAT Bridge'!F$39)</f>
        <v/>
      </c>
      <c r="H69" s="75">
        <f>('NOPAT Bridge'!G36-'NOPAT Bridge'!G23)*(1-'NOPAT Bridge'!G$39)</f>
        <v/>
      </c>
      <c r="I69" s="75">
        <f>('NOPAT Bridge'!H36-'NOPAT Bridge'!H23)*(1-'NOPAT Bridge'!H$39)</f>
        <v/>
      </c>
      <c r="J69" s="75">
        <f>('NOPAT Bridge'!I36-'NOPAT Bridge'!I23)*(1-'NOPAT Bridge'!I$39)</f>
        <v/>
      </c>
    </row>
    <row r="70">
      <c r="A70" s="23" t="inlineStr">
        <is>
          <t>Accretive EPS ($/share) = Net income ÷ ending shares</t>
        </is>
      </c>
      <c r="E70" s="101" t="n">
        <v>14.1783354282636</v>
      </c>
      <c r="F70" s="101">
        <f>F77/F75</f>
        <v/>
      </c>
      <c r="G70" s="101">
        <f>G77/G75</f>
        <v/>
      </c>
      <c r="H70" s="101">
        <f>H77/H75</f>
        <v/>
      </c>
      <c r="I70" s="101">
        <f>I77/I75</f>
        <v/>
      </c>
      <c r="J70" s="101">
        <f>J77/J75</f>
        <v/>
      </c>
    </row>
    <row r="72">
      <c r="A72" s="93" t="inlineStr">
        <is>
          <t>CROSS-CHECK — EXIT MULTIPLE METHOD</t>
        </is>
      </c>
      <c r="B72" s="13" t="n"/>
      <c r="C72" s="13" t="n"/>
    </row>
    <row r="73">
      <c r="A73" s="15" t="inlineStr">
        <is>
          <t>Exit multiple is the Gordon identity — not a peer pick or an average</t>
        </is>
      </c>
    </row>
    <row r="74">
      <c r="A74" s="16" t="inlineStr">
        <is>
          <t>Selected exit EV/EBITDA (Gordon implied)</t>
        </is>
      </c>
      <c r="B74" s="17" t="n"/>
      <c r="C74" s="18" t="inlineStr">
        <is>
          <t>DCF: Gordon implied exit (TV / FY30 EBIT</t>
        </is>
      </c>
      <c r="D74" s="19" t="n"/>
      <c r="E74" s="94">
        <f>E46</f>
        <v/>
      </c>
      <c r="M74" s="95" t="n"/>
    </row>
    <row r="75">
      <c r="A75" s="16" t="inlineStr">
        <is>
          <t>Terminal value = Terminal EBITDA × exit multiple</t>
        </is>
      </c>
      <c r="E75" s="75">
        <f>E41*E74</f>
        <v/>
      </c>
    </row>
    <row r="76">
      <c r="A76" s="16" t="inlineStr">
        <is>
          <t>PV of terminal value</t>
        </is>
      </c>
      <c r="E76" s="75">
        <f>E75/(1+Scenarios!$F$9)^J36</f>
        <v/>
      </c>
    </row>
    <row r="77">
      <c r="A77" s="23" t="inlineStr">
        <is>
          <t>Enterprise value (exit method)</t>
        </is>
      </c>
      <c r="E77" s="25">
        <f>E39+E76</f>
        <v/>
      </c>
    </row>
    <row r="78">
      <c r="A78" s="23" t="inlineStr">
        <is>
          <t>Implied value per share (exit method)</t>
        </is>
      </c>
      <c r="E78" s="102">
        <f>(E77+E46+E47)/E49</f>
        <v/>
      </c>
    </row>
    <row r="80">
      <c r="A80" s="93" t="inlineStr">
        <is>
          <t>TERMINAL VALUE RECONCILIATION (GORDON vs EXIT MULTIPLE)</t>
        </is>
      </c>
      <c r="B80" s="13" t="n"/>
      <c r="C80" s="13" t="n"/>
      <c r="D80" s="13" t="n"/>
    </row>
    <row r="81">
      <c r="A81" s="103" t="inlineStr"/>
      <c r="B81" s="54" t="n"/>
      <c r="C81" s="54" t="inlineStr">
        <is>
          <t>Exit Multiple</t>
        </is>
      </c>
      <c r="D81" s="54" t="n"/>
    </row>
    <row r="82" ht="28" customHeight="1">
      <c r="A82" s="23" t="inlineStr">
        <is>
          <t>Terminal value ($)</t>
        </is>
      </c>
      <c r="B82" s="70" t="n"/>
      <c r="C82" s="70">
        <f>E83</f>
        <v/>
      </c>
      <c r="D82" s="70" t="n"/>
      <c r="M82" t="inlineStr">
        <is>
          <t>'Comps'!A45</t>
        </is>
      </c>
    </row>
    <row r="83">
      <c r="A83" s="23" t="inlineStr">
        <is>
          <t>Exit EV/EBITDA (implied vs selected)</t>
        </is>
      </c>
      <c r="B83" s="104" t="n"/>
      <c r="C83" s="104">
        <f>E82</f>
        <v/>
      </c>
      <c r="D83" s="104" t="n"/>
    </row>
    <row r="84">
      <c r="A84" s="16" t="inlineStr">
        <is>
          <t>Terminal value variance (%)</t>
        </is>
      </c>
      <c r="B84" s="32" t="n"/>
      <c r="C84" s="32" t="n"/>
      <c r="D84" s="32" t="n"/>
    </row>
    <row r="85">
      <c r="A85" s="23" t="inlineStr">
        <is>
          <t>Implied share price</t>
        </is>
      </c>
      <c r="B85" s="105" t="n"/>
      <c r="C85" s="105">
        <f>E86</f>
        <v/>
      </c>
      <c r="D85" s="105" t="n"/>
    </row>
    <row r="86">
      <c r="A86" s="68" t="inlineStr">
        <is>
          <t>Sanity check: multiples within ±1.5 turns?</t>
        </is>
      </c>
      <c r="B86" s="106" t="n"/>
      <c r="C86" s="107">
        <f>TEXT(D91,"0.0")&amp;"x spread vs Gordon-imp</f>
        <v/>
      </c>
      <c r="D86" s="26" t="n"/>
    </row>
    <row r="89">
      <c r="A89" s="93" t="inlineStr">
        <is>
          <t>SENSITIVITY — IMPLIED SHARE PRICE (WACC vs terminal growth)</t>
        </is>
      </c>
      <c r="B89" s="13" t="n"/>
      <c r="C89" s="13" t="n"/>
      <c r="D89" s="13" t="n"/>
      <c r="E89" s="13" t="n"/>
      <c r="F89" s="13" t="n"/>
      <c r="G89" s="13" t="n"/>
      <c r="H89" s="13" t="n"/>
    </row>
    <row r="90">
      <c r="A90" s="108" t="inlineStr">
        <is>
          <t>WACC \ g</t>
        </is>
      </c>
      <c r="B90" s="17" t="n"/>
      <c r="C90" s="18" t="inlineStr">
        <is>
          <t>FRED</t>
        </is>
      </c>
      <c r="D90" s="19" t="n"/>
      <c r="F90" s="109" t="n">
        <v>0.015</v>
      </c>
      <c r="G90" s="109" t="n">
        <v>0.02</v>
      </c>
      <c r="H90" s="109" t="n">
        <v>0.0225</v>
      </c>
      <c r="I90" s="109" t="n">
        <v>0.025</v>
      </c>
      <c r="J90" s="109" t="n">
        <v>0.03</v>
      </c>
      <c r="L90" s="95" t="inlineStr">
        <is>
          <t>Scenarios: terminal g</t>
        </is>
      </c>
    </row>
    <row r="91">
      <c r="A91" s="109" t="n">
        <v>0.095</v>
      </c>
      <c r="C91" s="95" t="inlineStr">
        <is>
          <t>Damodaran</t>
        </is>
      </c>
      <c r="D91" s="19" t="n"/>
      <c r="F91" s="110">
        <f>(NPV(0.095,F35:J35)+(J35*(1+0.015)/(0.095-0.015))/(1+0.095)^5+E46+E47)/E49</f>
        <v/>
      </c>
      <c r="G91" s="110">
        <f>(NPV(0.095,F35:J35)+(J35*(1+0.02)/(0.095-0.02))/(1+0.095)^5+E46+E47)/E49</f>
        <v/>
      </c>
      <c r="H91" s="110">
        <f>(NPV(0.095,F35:J35)+(J35*(1+0.0225)/(0.095-0.0225))/(1+0.095)^5+E46+E47)/E49</f>
        <v/>
      </c>
      <c r="I91" s="110">
        <f>(NPV(0.095,F35:J35)+(J35*(1+0.025)/(0.095-0.025))/(1+0.095)^5+E46+E47)/E49</f>
        <v/>
      </c>
      <c r="J91" s="110">
        <f>(NPV(0.095,F35:J35)+(J35*(1+0.03)/(0.095-0.03))/(1+0.095)^5+E46+E47)/E49</f>
        <v/>
      </c>
      <c r="L91" s="95" t="inlineStr">
        <is>
          <t>WACC tab</t>
        </is>
      </c>
    </row>
    <row r="92">
      <c r="A92" s="109" t="n">
        <v>0.1</v>
      </c>
      <c r="D92" s="19" t="n"/>
      <c r="F92" s="110">
        <f>(NPV(0.1,F35:J35)+(J35*(1+0.015)/(0.1-0.015))/(1+0.1)^5+E46+E47)/E49</f>
        <v/>
      </c>
      <c r="G92" s="110">
        <f>(NPV(0.1,F35:J35)+(J35*(1+0.02)/(0.1-0.02))/(1+0.1)^5+E46+E47)/E49</f>
        <v/>
      </c>
      <c r="H92" s="110">
        <f>(NPV(0.1,F35:J35)+(J35*(1+0.0225)/(0.1-0.0225))/(1+0.1)^5+E46+E47)/E49</f>
        <v/>
      </c>
      <c r="I92" s="110">
        <f>(NPV(0.1,F35:J35)+(J35*(1+0.025)/(0.1-0.025))/(1+0.1)^5+E46+E47)/E49</f>
        <v/>
      </c>
      <c r="J92" s="110">
        <f>(NPV(0.1,F35:J35)+(J35*(1+0.03)/(0.1-0.03))/(1+0.1)^5+E46+E47)/E49</f>
        <v/>
      </c>
      <c r="L92" s="95" t="inlineStr">
        <is>
          <t>WACC tab</t>
        </is>
      </c>
    </row>
    <row r="93">
      <c r="A93" s="109" t="n">
        <v>0.105</v>
      </c>
      <c r="D93" s="19" t="n"/>
      <c r="F93" s="110">
        <f>(NPV(0.105,F35:J35)+(J35*(1+0.015)/(0.105-0.015))/(1+0.105)^5+E46+E47)/E49</f>
        <v/>
      </c>
      <c r="G93" s="110">
        <f>(NPV(0.105,F35:J35)+(J35*(1+0.02)/(0.105-0.02))/(1+0.105)^5+E46+E47)/E49</f>
        <v/>
      </c>
      <c r="H93" s="111">
        <f>(NPV(0.105,F35:J35)+(J35*(1+0.0225)/(0.105-0.0225))/(1+0.105)^5+E46+E47)/E49</f>
        <v/>
      </c>
      <c r="I93" s="110">
        <f>(NPV(0.105,F35:J35)+(J35*(1+0.025)/(0.105-0.025))/(1+0.105)^5+E46+E47)/E49</f>
        <v/>
      </c>
      <c r="J93" s="110">
        <f>(NPV(0.105,F35:J35)+(J35*(1+0.03)/(0.105-0.03))/(1+0.105)^5+E46+E47)/E49</f>
        <v/>
      </c>
      <c r="L93" s="95" t="inlineStr">
        <is>
          <t>WACC tab</t>
        </is>
      </c>
    </row>
    <row r="94">
      <c r="A94" s="109" t="n">
        <v>0.11</v>
      </c>
      <c r="D94" s="19" t="n"/>
      <c r="F94" s="110">
        <f>(NPV(0.11,F35:J35)+(J35*(1+0.015)/(0.11-0.015))/(1+0.11)^5+E46+E47)/E49</f>
        <v/>
      </c>
      <c r="G94" s="110">
        <f>(NPV(0.11,F35:J35)+(J35*(1+0.02)/(0.11-0.02))/(1+0.11)^5+E46+E47)/E49</f>
        <v/>
      </c>
      <c r="H94" s="110">
        <f>(NPV(0.11,F35:J35)+(J35*(1+0.0225)/(0.11-0.0225))/(1+0.11)^5+E46+E47)/E49</f>
        <v/>
      </c>
      <c r="I94" s="110">
        <f>(NPV(0.11,F35:J35)+(J35*(1+0.025)/(0.11-0.025))/(1+0.11)^5+E46+E47)/E49</f>
        <v/>
      </c>
      <c r="J94" s="110">
        <f>(NPV(0.11,F35:J35)+(J35*(1+0.03)/(0.11-0.03))/(1+0.11)^5+E46+E47)/E49</f>
        <v/>
      </c>
      <c r="L94" s="95" t="inlineStr">
        <is>
          <t>WACC tab</t>
        </is>
      </c>
    </row>
    <row r="95">
      <c r="A95" s="109" t="n">
        <v>0.115</v>
      </c>
      <c r="D95" s="19" t="n"/>
      <c r="F95" s="110">
        <f>(NPV(0.115,F35:J35)+(J35*(1+0.015)/(0.115-0.015))/(1+0.115)^5+E46+E47)/E49</f>
        <v/>
      </c>
      <c r="G95" s="110">
        <f>(NPV(0.115,F35:J35)+(J35*(1+0.02)/(0.115-0.02))/(1+0.115)^5+E46+E47)/E49</f>
        <v/>
      </c>
      <c r="H95" s="110">
        <f>(NPV(0.115,F35:J35)+(J35*(1+0.0225)/(0.115-0.0225))/(1+0.115)^5+E46+E47)/E49</f>
        <v/>
      </c>
      <c r="I95" s="110">
        <f>(NPV(0.115,F35:J35)+(J35*(1+0.025)/(0.115-0.025))/(1+0.115)^5+E46+E47)/E49</f>
        <v/>
      </c>
      <c r="J95" s="110">
        <f>(NPV(0.115,F35:J35)+(J35*(1+0.03)/(0.115-0.03))/(1+0.115)^5+E46+E47)/E49</f>
        <v/>
      </c>
      <c r="L95" s="95" t="inlineStr">
        <is>
          <t>WACC tab</t>
        </is>
      </c>
    </row>
    <row r="96">
      <c r="B96" s="17" t="n"/>
      <c r="C96" s="18" t="inlineStr">
        <is>
          <t>WACC Tab</t>
        </is>
      </c>
      <c r="D96" s="19" t="n"/>
      <c r="L96" s="95" t="inlineStr">
        <is>
          <t>FRED: Real GDP (GDPC1)</t>
        </is>
      </c>
      <c r="M96" s="19" t="n"/>
    </row>
    <row r="98" ht="28" customHeight="1">
      <c r="C98" t="inlineStr">
        <is>
          <t>https://fred.stlouisfed.org/series/GDPC1</t>
        </is>
      </c>
      <c r="L98" t="inlineStr">
        <is>
          <t>'Scenarios'!G10</t>
        </is>
      </c>
    </row>
    <row r="99" ht="28" customHeight="1">
      <c r="C99" t="inlineStr">
        <is>
          <t>https://www.stern.nyu.edu/~adamodar/New_Home_Page/datafile/histimpl.html</t>
        </is>
      </c>
      <c r="L99" t="inlineStr">
        <is>
          <t>'WACC'!E41</t>
        </is>
      </c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A4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74" t="n">
        <v>11102600</v>
      </c>
      <c r="E4">
        <f>DCF!E5</f>
        <v/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97" t="n">
        <v>9.609999999999999</v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39">
      <c r="A39" s="41" t="inlineStr">
        <is>
          <t>•  Selected exit = Gordon TV / FY30 EBITDA. Identity: (UFCF/EBITDA)×(1+g)/(WACC−g). Live formula, not a typed 8.0x</t>
        </is>
      </c>
    </row>
    <row r="40">
      <c r="A40" s="41" t="inlineStr">
        <is>
          <t>•  At base WACC ~9.0% and g 2.25% that identity is ~7.4x FY30 EBITDA — not a peer average</t>
        </is>
      </c>
    </row>
    <row r="41">
      <c r="A41" s="41" t="inlineStr">
        <is>
          <t>•  PitchBook pubcomps (04-Sep-2026) are the current tape: each multiple is daily EV / TTM EBITDA</t>
        </is>
      </c>
    </row>
    <row r="42">
      <c r="A42" s="41" t="inlineStr">
        <is>
          <t>•  That tape is a check, not the exit. A 2.25% g / 15.5% OM year is not today’s NKE/WSM multiple</t>
        </is>
      </c>
    </row>
    <row r="43">
      <c r="A43" s="41" t="inlineStr">
        <is>
          <t>•  Alo has no EV/EBITDA print. Implied 5.0x is EV/Sales (unclosed $10bn ask / ~$2bn parent sales) — not the FY30 exit</t>
        </is>
      </c>
    </row>
    <row r="44">
      <c r="A44" s="41" t="inlineStr">
        <is>
          <t>•  PitchBook LULU is ~4.7x TTM. Gordon ~7.4x is a partial recovery, not a re-rate to WSM ~15x</t>
        </is>
      </c>
    </row>
    <row r="46">
      <c r="A46" s="14" t="inlineStr">
        <is>
          <t>Methodology / multiple ranges (FY2030E terminal EBITDA — football field)</t>
        </is>
      </c>
    </row>
    <row r="47">
      <c r="A47" s="113" t="inlineStr">
        <is>
          <t>Method</t>
        </is>
      </c>
      <c r="B47" s="113" t="inlineStr">
        <is>
          <t>Justification</t>
        </is>
      </c>
      <c r="C47" s="113" t="inlineStr">
        <is>
          <t>Source</t>
        </is>
      </c>
      <c r="D47" s="114" t="inlineStr">
        <is>
          <t>Low mult.</t>
        </is>
      </c>
      <c r="E47" s="114" t="inlineStr">
        <is>
          <t>High mult.</t>
        </is>
      </c>
      <c r="F47" s="114" t="inlineStr">
        <is>
          <t>Implied px (low)</t>
        </is>
      </c>
      <c r="G47" s="114" t="inlineStr">
        <is>
          <t>Implied px (high)</t>
        </is>
      </c>
    </row>
    <row r="48">
      <c r="A48" s="16" t="inlineStr">
        <is>
          <t>EV / EBITDA (FY2030E terminal)</t>
        </is>
      </c>
      <c r="B48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85" t="inlineStr">
        <is>
          <t>Lo: StockAnalysis: LULU EV/EBITDA
Hi: StockAnalysis: DECK EV/EBITDA</t>
        </is>
      </c>
      <c r="D48" s="120" t="n">
        <v>5</v>
      </c>
      <c r="E48" s="120" t="n">
        <v>8</v>
      </c>
      <c r="F48" s="121">
        <f>(D6*D57+D8)/D9</f>
        <v/>
      </c>
      <c r="G48" s="121">
        <f>(D6*E57+D8)/D9</f>
        <v/>
      </c>
    </row>
    <row r="49">
      <c r="A49" s="68" t="inlineStr">
        <is>
          <t>DCF exit method (Gordon-implied on FY2030E EBITDA)</t>
        </is>
      </c>
      <c r="B49" s="17" t="inlineStr">
        <is>
          <t>Selected exit is Gordon TV / FY30 EBITDA. Identity: (UFCF/EBITDA)×(1+g)/(WACC−g). Not Deckers and not a peer average.</t>
        </is>
      </c>
      <c r="C49" s="18" t="inlineStr">
        <is>
          <t>DCF: Gordon implied exit (TV / FY30 EBITDA)</t>
        </is>
      </c>
      <c r="D49" s="118">
        <f>DCF!E82</f>
        <v/>
      </c>
      <c r="F49" s="122">
        <f>(D6*D58+D8)/D9</f>
        <v/>
      </c>
    </row>
    <row r="50">
      <c r="A50" s="16" t="inlineStr">
        <is>
          <t>P / E (FY2026E EPS)</t>
        </is>
      </c>
      <c r="B50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85" t="inlineStr">
        <is>
          <t>Lo: StockAnalysis: LULU Forward P/E
Hi: StockAnalysis: NKE Forward P/E</t>
        </is>
      </c>
      <c r="D50" s="120" t="n">
        <v>10</v>
      </c>
      <c r="E50" s="120" t="n">
        <v>18</v>
      </c>
      <c r="F50" s="121">
        <f>D7*D59</f>
        <v/>
      </c>
      <c r="G50" s="121">
        <f>D7*E59</f>
        <v/>
      </c>
    </row>
    <row r="51">
      <c r="A51" s="16" t="inlineStr">
        <is>
          <t>DCF (bear – bull)</t>
        </is>
      </c>
      <c r="D51" s="123" t="inlineStr">
        <is>
          <t>—</t>
        </is>
      </c>
      <c r="E51" s="123" t="inlineStr">
        <is>
          <t>—</t>
        </is>
      </c>
      <c r="F51" s="121">
        <f>Scenarios!E132</f>
        <v/>
      </c>
      <c r="G51" s="121">
        <f>Scenarios!G132</f>
        <v/>
      </c>
    </row>
    <row r="53">
      <c r="A53" s="124" t="inlineStr">
        <is>
          <t>Current price</t>
        </is>
      </c>
      <c r="C53" s="95" t="inlineStr">
        <is>
          <t>NASDAQ</t>
        </is>
      </c>
      <c r="D53" s="125" t="n">
        <v>100</v>
      </c>
    </row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2026-09-10T16:13:48Z</dcterms:modified>
</cp:coreProperties>
</file>
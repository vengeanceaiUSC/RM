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WACC" sheetId="2" state="visible" r:id="rId2"/>
    <sheet name="Scenarios" sheetId="3" state="visible" r:id="rId3"/>
    <sheet name="Revenue Drivers" sheetId="4" state="visible" r:id="rId4"/>
    <sheet name="NOPAT Bridge" sheetId="5" state="visible" r:id="rId5"/>
    <sheet name="DCF" sheetId="6" state="visible" r:id="rId6"/>
    <sheet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</numFmts>
  <fonts count="53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LULU_Assumptions_Memo.pdf" TargetMode="External" Id="rId1" /><Relationship Type="http://schemas.openxmlformats.org/officeDocument/2006/relationships/hyperlink" Target="https://www.sec.gov/edgar/browse/?CIK=1397187&amp;owner=exclude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nasdaq.com/market-activity/stocks/lulu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fred.stlouisfed.org/series/DGS10" TargetMode="External" Id="rId1" /><Relationship Type="http://schemas.openxmlformats.org/officeDocument/2006/relationships/hyperlink" Target="https://www.stern.nyu.edu/~adamodar/New_Home_Page/datafile/histimpl.html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www.nasdaq.com/market-activity/stocks/lulu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finance.yahoo.com/quote/LULU/key-statistics/" TargetMode="External" Id="rId8" /><Relationship Type="http://schemas.openxmlformats.org/officeDocument/2006/relationships/hyperlink" Target="https://finance.yahoo.com/quote/LULU/key-statistics/" TargetMode="External" Id="rId9" /><Relationship Type="http://schemas.openxmlformats.org/officeDocument/2006/relationships/hyperlink" Target="https://finance.yahoo.com/quote/LULU/key-statistics/" TargetMode="External" Id="rId10" /><Relationship Type="http://schemas.openxmlformats.org/officeDocument/2006/relationships/hyperlink" Target="https://finance.yahoo.com/quote/LULU/key-statistics/" TargetMode="External" Id="rId11" /><Relationship Type="http://schemas.openxmlformats.org/officeDocument/2006/relationships/hyperlink" Target="https://finance.yahoo.com/quote/LULU/key-statistics/" TargetMode="External" Id="rId12" /><Relationship Type="http://schemas.openxmlformats.org/officeDocument/2006/relationships/hyperlink" Target="https://www.stern.nyu.edu/~adamodar/New_Home_Page/datafile/Betas.html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 /><Relationship Type="http://schemas.openxmlformats.org/officeDocument/2006/relationships/hyperlink" Target="https://stockanalysis.com/stocks/lulu/statistics/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fred.stlouisfed.org/series/GDPC1" TargetMode="External" Id="rId6" /><Relationship Type="http://schemas.openxmlformats.org/officeDocument/2006/relationships/hyperlink" Target="https://corporate.lululemon.com/newsroom/press-releases/2026/09-03-2026-210528733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corporate.lululemon.com/newsroom/press-releases/2026/09-03-2026-210528733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/Relationships>
</file>

<file path=xl/worksheets/_rels/sheet6.xml.rels><Relationships xmlns="http://schemas.openxmlformats.org/package/2006/relationships"><Relationship Type="http://schemas.openxmlformats.org/officeDocument/2006/relationships/hyperlink" Target="LULU_Assumptions_Memo.pdf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corporate.lululemon.com/newsroom/press-releases/2026/09-03-2026-210528733" TargetMode="External" Id="rId7" /><Relationship Type="http://schemas.openxmlformats.org/officeDocument/2006/relationships/hyperlink" Target="https://corporate.lululemon.com/newsroom/press-releases/2026/09-03-2026-210528733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Relationship Type="http://schemas.openxmlformats.org/officeDocument/2006/relationships/hyperlink" Target="https://www.sec.gov/Archives/edgar/data/1397187/000139718726000020/lulu-20260201.htm" TargetMode="External" Id="rId35" /><Relationship Type="http://schemas.openxmlformats.org/officeDocument/2006/relationships/hyperlink" Target="https://fred.stlouisfed.org/series/GDPC1" TargetMode="External" Id="rId36" /><Relationship Type="http://schemas.openxmlformats.org/officeDocument/2006/relationships/hyperlink" Target="https://www.sec.gov/Archives/edgar/data/1397187/000139718726000020/lulu-20260201.htm" TargetMode="External" Id="rId37" /><Relationship Type="http://schemas.openxmlformats.org/officeDocument/2006/relationships/hyperlink" Target="https://www.sec.gov/Archives/edgar/data/1397187/000139718726000020/lulu-20260201.htm" TargetMode="External" Id="rId38" /><Relationship Type="http://schemas.openxmlformats.org/officeDocument/2006/relationships/hyperlink" Target="https://www.sec.gov/Archives/edgar/data/1397187/000139718726000020/lulu-20260201.htm" TargetMode="External" Id="rId39" /><Relationship Type="http://schemas.openxmlformats.org/officeDocument/2006/relationships/hyperlink" Target="https://www.sec.gov/Archives/edgar/data/1397187/000139718726000020/lulu-20260201.htm" TargetMode="External" Id="rId40" /><Relationship Type="http://schemas.openxmlformats.org/officeDocument/2006/relationships/hyperlink" Target="https://www.sec.gov/Archives/edgar/data/1397187/000139718726000020/lulu-20260201.htm" TargetMode="External" Id="rId41" /><Relationship Type="http://schemas.openxmlformats.org/officeDocument/2006/relationships/hyperlink" Target="https://www.sec.gov/Archives/edgar/data/1397187/000139718726000020/lulu-20260201.htm" TargetMode="External" Id="rId42" /><Relationship Type="http://schemas.openxmlformats.org/officeDocument/2006/relationships/hyperlink" Target="https://www.nasdaq.com/market-activity/stocks/lulu" TargetMode="External" Id="rId43" /><Relationship Type="http://schemas.openxmlformats.org/officeDocument/2006/relationships/hyperlink" Target="https://www.nasdaq.com/market-activity/stocks/lulu" TargetMode="External" Id="rId44" /><Relationship Type="http://schemas.openxmlformats.org/officeDocument/2006/relationships/hyperlink" Target="https://fred.stlouisfed.org/series/GDPC1" TargetMode="External" Id="rId45" /><Relationship Type="http://schemas.openxmlformats.org/officeDocument/2006/relationships/hyperlink" Target="https://www.stern.nyu.edu/~adamodar/New_Home_Page/datafile/histimpl.html" TargetMode="External" Id="rId46" /><Relationship Type="http://schemas.openxmlformats.org/officeDocument/2006/relationships/hyperlink" Target="https://fred.stlouisfed.org/series/GDPC1" TargetMode="External" Id="rId47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nasdaq.com/market-activity/stocks/lulu" TargetMode="External" Id="rId9" /><Relationship Type="http://schemas.openxmlformats.org/officeDocument/2006/relationships/hyperlink" Target="https://www.nasdaq.com/market-activity/stocks/lulu" TargetMode="External" Id="rId10" /><Relationship Type="http://schemas.openxmlformats.org/officeDocument/2006/relationships/hyperlink" Target="https://stockanalysis.com/stocks/lulu/statistics/" TargetMode="External" Id="rId11" /><Relationship Type="http://schemas.openxmlformats.org/officeDocument/2006/relationships/hyperlink" Target="https://stockanalysis.com/stocks/lulu/statistics/" TargetMode="External" Id="rId12" /><Relationship Type="http://schemas.openxmlformats.org/officeDocument/2006/relationships/hyperlink" Target="https://www.nasdaq.com/market-activity/stocks/lulu" TargetMode="External" Id="rId13" /><Relationship Type="http://schemas.openxmlformats.org/officeDocument/2006/relationships/hyperlink" Target="https://www.nasdaq.com/market-activity/stocks/lulu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showOutlineSymbols="1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" t="inlineStr">
        <is>
          <t>GLOBAL INVESTMENT SOCIETY  |  INVESTMENT RESEARCH DIVISION</t>
        </is>
      </c>
    </row>
    <row r="3"/>
    <row r="4">
      <c r="B4" s="2" t="inlineStr">
        <is>
          <t>lululemon athletica inc. (NASDAQ: LULU)</t>
        </is>
      </c>
    </row>
    <row r="5">
      <c r="B5" s="3" t="inlineStr">
        <is>
          <t>Discounted Cash Flow Valuation — Unlevered Free Cash Flow</t>
        </is>
      </c>
    </row>
    <row r="6"/>
    <row r="7">
      <c r="B7" s="4" t="inlineStr">
        <is>
          <t>Recommendation:  LONG / OVERWEIGHT</t>
        </is>
      </c>
    </row>
    <row r="8"/>
    <row r="9">
      <c r="B9" s="5" t="inlineStr">
        <is>
          <t>FONT / COLOR CONVENTION</t>
        </is>
      </c>
    </row>
    <row r="10">
      <c r="B10" s="6" t="inlineStr">
        <is>
          <t>Blue font  =  figures reported by the company (click value or source link)</t>
        </is>
      </c>
    </row>
    <row r="11">
      <c r="B11" s="7" t="inlineStr">
        <is>
          <t>Black font  =  calculations / formulas</t>
        </is>
      </c>
    </row>
    <row r="12">
      <c r="B12" s="8" t="inlineStr">
        <is>
          <t>Red font = analyst assumptions (cols B/C on driver tabs)</t>
        </is>
      </c>
    </row>
    <row r="13"/>
    <row r="14">
      <c r="B14" s="5" t="inlineStr">
        <is>
          <t>TABS</t>
        </is>
      </c>
    </row>
    <row r="15">
      <c r="B15" s="9" t="inlineStr">
        <is>
          <t>WACC  •  Revenue Drivers  •  NOPAT Bridge  •  Scenarios  •  DCF  •  Comps / Football Field</t>
        </is>
      </c>
    </row>
    <row r="16">
      <c r="B16" s="5" t="inlineStr">
        <is>
          <t>ASSUMPTIONS GUIDE (PDF — every tab)</t>
        </is>
      </c>
    </row>
    <row r="17" ht="36" customHeight="1">
      <c r="B17" s="10" t="inlineStr">
        <is>
          <t>LULU_Assumptions_Memo.pdf — full guide: every red assumption on WACC, Scenarios, Revenue Drivers, NOPAT Bridge, DCF, Comps &amp; 3-Statement
.</t>
        </is>
      </c>
    </row>
    <row r="18"/>
    <row r="19">
      <c r="B19" s="5" t="inlineStr">
        <is>
          <t>SOURCES</t>
        </is>
      </c>
    </row>
    <row r="20" ht="36" customHeight="1">
      <c r="B20" s="10" t="inlineStr">
        <is>
          <t>SEC EDGAR filings, CIK 0001397187 (Form 10-K, FY2025)</t>
        </is>
      </c>
    </row>
    <row r="21" ht="36" customHeight="1">
      <c r="B21" s="10" t="inlineStr">
        <is>
          <t>FY2025 Form 10-K (ended Feb 1, 2026)</t>
        </is>
      </c>
    </row>
    <row r="22" ht="36" customHeight="1">
      <c r="B22" s="10" t="inlineStr">
        <is>
          <t>Market data &amp; Q2 FY2026 results (Sep 3, 2026 earnings release)</t>
        </is>
      </c>
    </row>
    <row r="23" ht="36" customHeight="1">
      <c r="B23" s="10" t="inlineStr">
        <is>
          <t>Current share price (NASDAQ: LULU)</t>
        </is>
      </c>
    </row>
    <row r="24"/>
    <row r="25">
      <c r="B25" s="11" t="n"/>
    </row>
  </sheetData>
  <hyperlinks>
    <hyperlink xmlns:r="http://schemas.openxmlformats.org/officeDocument/2006/relationships" ref="B17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  <hyperlink xmlns:r="http://schemas.openxmlformats.org/officeDocument/2006/relationships" ref="B2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D40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hidden="1" outlineLevel="1" width="28" customWidth="1" min="2" max="2"/>
    <col width="18" customWidth="1" min="3" max="3"/>
    <col hidden="1" outlineLevel="1"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B1" s="13" t="n"/>
      <c r="C1" s="13" t="n"/>
      <c r="D1" s="13" t="n"/>
    </row>
    <row r="2">
      <c r="A2" s="14" t="inlineStr">
        <is>
          <t>Cost of equity (CAPM)</t>
        </is>
      </c>
      <c r="B2" s="15" t="inlineStr">
        <is>
          <t>CAPM: rf + β × ERP</t>
        </is>
      </c>
      <c r="C2" s="15" t="inlineStr">
        <is>
          <t>Source (click)</t>
        </is>
      </c>
    </row>
    <row r="3" ht="28" customHeight="1">
      <c r="A3" s="16" t="inlineStr">
        <is>
          <t>Risk-free rate (10-yr UST)</t>
        </is>
      </c>
      <c r="B3" s="17" t="inlineStr">
        <is>
          <t>FRED DGS10 (4.77% → 4.8%)</t>
        </is>
      </c>
      <c r="C3" s="18" t="inlineStr">
        <is>
          <t>FRED: 10Y Treasury (DGS10)</t>
        </is>
      </c>
      <c r="D3" s="20" t="n">
        <v>0.048</v>
      </c>
    </row>
    <row r="4" ht="28" customHeight="1">
      <c r="A4" s="16" t="inlineStr">
        <is>
          <t>Equity risk premium</t>
        </is>
      </c>
      <c r="B4" s="17" t="inlineStr">
        <is>
          <t>Damodaran implied ERP + 177bps overlay</t>
        </is>
      </c>
      <c r="C4" s="18" t="inlineStr">
        <is>
          <t>Damodaran: Historical Implied ERP</t>
        </is>
      </c>
      <c r="D4" s="20" t="n">
        <v>0.06</v>
      </c>
    </row>
    <row r="5" ht="28" customHeight="1">
      <c r="A5" s="16" t="inlineStr">
        <is>
          <t>Tax rate</t>
        </is>
      </c>
      <c r="B5" s="17" t="inlineStr">
        <is>
          <t>FY26 Guidance (~30%)</t>
        </is>
      </c>
      <c r="C5" s="18" t="inlineStr">
        <is>
          <t>Q2 FY2026 outlook: tax rate ≈ 30%</t>
        </is>
      </c>
      <c r="D5" s="20" t="n">
        <v>0.3</v>
      </c>
    </row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17" t="inlineStr">
        <is>
          <t>NASDAQ Last Sale (~$100)</t>
        </is>
      </c>
      <c r="C8" s="18" t="inlineStr">
        <is>
          <t>NASDAQ LULU last sale (current price)</t>
        </is>
      </c>
      <c r="D8" s="21" t="n">
        <v>100</v>
      </c>
    </row>
    <row r="9" ht="28" customHeight="1">
      <c r="A9" s="16" t="inlineStr">
        <is>
          <t>Shares outstanding (000)</t>
        </is>
      </c>
      <c r="B9" s="17" t="inlineStr">
        <is>
          <t>FY25 10-K Share Count</t>
        </is>
      </c>
      <c r="C9" s="18" t="inlineStr">
        <is>
          <t>LULU FY2025 10-K: shares outstanding</t>
        </is>
      </c>
      <c r="D9" s="22" t="n">
        <v>111380</v>
      </c>
    </row>
    <row r="10" ht="28" customHeight="1">
      <c r="A10" s="23" t="inlineStr">
        <is>
          <t>Market value of equity</t>
        </is>
      </c>
      <c r="B10" s="17" t="inlineStr">
        <is>
          <t>NASDAQ Last Sale (~$100)</t>
        </is>
      </c>
      <c r="C10" s="24" t="inlineStr">
        <is>
          <t>WACC tab: price × shares</t>
        </is>
      </c>
      <c r="D10" s="25">
        <f>D8*D9</f>
        <v/>
      </c>
    </row>
    <row r="11" ht="28" customHeight="1">
      <c r="A11" s="16" t="inlineStr">
        <is>
          <t>Operating lease liabilities (ASC 842 debt equiv.)</t>
        </is>
      </c>
      <c r="B11" s="17" t="inlineStr">
        <is>
          <t>ASC 842 Lease Debt Equiv.</t>
        </is>
      </c>
      <c r="C11" s="18" t="inlineStr">
        <is>
          <t>LULU FY2025 10-K: operating lease liabilities</t>
        </is>
      </c>
      <c r="D11" s="22" t="n">
        <v>1798441</v>
      </c>
    </row>
    <row r="12">
      <c r="A12" s="16" t="inlineStr">
        <is>
          <t>Funded debt (term loans / bonds)</t>
        </is>
      </c>
      <c r="B12" s="17" t="inlineStr">
        <is>
          <t>No Term Debt (FY25 10-K)</t>
        </is>
      </c>
      <c r="C12" s="18" t="inlineStr">
        <is>
          <t>LULU FY2025 10-K (no funded debt)</t>
        </is>
      </c>
      <c r="D12" s="22" t="n">
        <v>0</v>
      </c>
    </row>
    <row r="13" ht="28" customHeight="1">
      <c r="A13" s="23" t="inlineStr">
        <is>
          <t>Total debt equivalents</t>
        </is>
      </c>
      <c r="C13" t="inlineStr">
        <is>
          <t>https://www.sec.gov/Archives/edgar/data/1397187/000139718726000020/lulu-20260201.htm</t>
        </is>
      </c>
      <c r="D13" s="25">
        <f>D11+D13</f>
        <v/>
      </c>
    </row>
    <row r="15">
      <c r="A15" s="14" t="inlineStr">
        <is>
          <t>Beta (unlever → relever)</t>
        </is>
      </c>
    </row>
    <row r="16">
      <c r="A16" s="16" t="inlineStr">
        <is>
          <t>Observed Beta (5Y Monthly) — levered βL</t>
        </is>
      </c>
      <c r="B16" s="17" t="inlineStr">
        <is>
          <t>Yahoo βL (5Y Monthly)</t>
        </is>
      </c>
      <c r="C16" s="18" t="inlineStr">
        <is>
          <t>Yahoo Finance: LULU Beta (5Y Monthly)</t>
        </is>
      </c>
      <c r="D16" s="27" t="n">
        <v>0.86</v>
      </c>
    </row>
    <row r="17" ht="28" customHeight="1">
      <c r="A17" s="16" t="inlineStr">
        <is>
          <t>Yahoo Total Debt (mrq)</t>
        </is>
      </c>
      <c r="B17" s="17" t="inlineStr">
        <is>
          <t>Yahoo MRQ Total Debt</t>
        </is>
      </c>
      <c r="C17" s="18" t="inlineStr">
        <is>
          <t>Yahoo Finance: LULU Total Debt (mrq)</t>
        </is>
      </c>
      <c r="D17" s="22" t="n">
        <v>2140000</v>
      </c>
    </row>
    <row r="18" ht="28" customHeight="1">
      <c r="A18" s="16" t="inlineStr">
        <is>
          <t>Yahoo Market Cap (same page as βL)</t>
        </is>
      </c>
      <c r="B18" s="17" t="inlineStr">
        <is>
          <t>Price × Shares</t>
        </is>
      </c>
      <c r="C18" s="18" t="inlineStr">
        <is>
          <t>Yahoo Finance: LULU Market Cap</t>
        </is>
      </c>
      <c r="D18" s="22" t="n">
        <v>11140000</v>
      </c>
    </row>
    <row r="19" ht="28" customHeight="1">
      <c r="A19" s="16" t="inlineStr">
        <is>
          <t>D/E for unlever (Yahoo debt mrq ÷ Yahoo market cap)</t>
        </is>
      </c>
      <c r="B19" s="17" t="inlineStr">
        <is>
          <t>Yahoo MRQ Market Cap</t>
        </is>
      </c>
      <c r="C19" s="18" t="inlineStr">
        <is>
          <t>Yahoo Finance: debt (mrq) ÷ market cap</t>
        </is>
      </c>
      <c r="D19" s="28">
        <f>D18/D19</f>
        <v/>
      </c>
    </row>
    <row r="20" ht="28" customHeight="1">
      <c r="A20" s="16" t="inlineStr">
        <is>
          <t>Yahoo book D/E (mrq) — reference only</t>
        </is>
      </c>
      <c r="B20" s="17" t="inlineStr">
        <is>
          <t>Yahoo MRQ Total Debt</t>
        </is>
      </c>
      <c r="C20" s="18" t="inlineStr">
        <is>
          <t>Yahoo Finance: Total Debt/Equity (mrq)</t>
        </is>
      </c>
      <c r="D20" s="27" t="n">
        <v>0.4469</v>
      </c>
    </row>
    <row r="21" ht="28" customHeight="1">
      <c r="A21" s="16" t="inlineStr">
        <is>
          <t>Unlevered βu</t>
        </is>
      </c>
      <c r="B21" s="17" t="inlineStr">
        <is>
          <t>Hamada Unlever (Yahoo D/E)</t>
        </is>
      </c>
      <c r="C21" s="24" t="inlineStr">
        <is>
          <t>WACC tab: Hamada unlever (Yahoo market D/E)</t>
        </is>
      </c>
      <c r="D21" s="28">
        <f>D17/(1+(1-D5)*D20)</f>
        <v/>
      </c>
    </row>
    <row r="22" ht="28" customHeight="1">
      <c r="A22" s="16" t="inlineStr">
        <is>
          <t>D/E for relever (WACC: FY25 lease debt / market equity)</t>
        </is>
      </c>
      <c r="B22" s="17" t="inlineStr">
        <is>
          <t>FY25 Lease Debt / Mkt Cap</t>
        </is>
      </c>
      <c r="C22" s="24" t="inlineStr">
        <is>
          <t>WACC tab: FY25 lease debt / market equity</t>
        </is>
      </c>
      <c r="D22" s="28">
        <f>D14/D10</f>
        <v/>
      </c>
    </row>
    <row r="23" ht="28" customHeight="1">
      <c r="A23" s="16" t="inlineStr">
        <is>
          <t>Sector βu benchmark (Damodaran Special Lines) — not used</t>
        </is>
      </c>
      <c r="B23" s="17" t="inlineStr">
        <is>
          <t>Damodaran Benchmark (unused)</t>
        </is>
      </c>
      <c r="C23" s="18" t="inlineStr">
        <is>
          <t>Damodaran: US betas by sector (Jan 2026)</t>
        </is>
      </c>
      <c r="D23" s="27" t="n">
        <v>0.95</v>
      </c>
    </row>
    <row r="24" ht="28" customHeight="1">
      <c r="A24" s="23" t="inlineStr">
        <is>
          <t>Beta used (relevered for WACC capital structure)</t>
        </is>
      </c>
      <c r="B24" s="17" t="inlineStr">
        <is>
          <t>Relevered β for CAPM</t>
        </is>
      </c>
      <c r="C24" s="24" t="inlineStr">
        <is>
          <t>WACC tab: Hamada relever (total D/E incl. leases)</t>
        </is>
      </c>
      <c r="D24" s="29">
        <f>D22*(1+(1-D5)*D23)</f>
        <v/>
      </c>
    </row>
    <row r="25" ht="150" customHeight="1">
      <c r="A25" s="14" t="inlineStr">
        <is>
          <t>Cost of equity (CAPM)</t>
        </is>
      </c>
    </row>
    <row r="26">
      <c r="A26" s="23" t="inlineStr">
        <is>
          <t>Cost of equity = rf + β × ERP</t>
        </is>
      </c>
      <c r="D26" s="30">
        <f>D3+D25*D4</f>
        <v/>
      </c>
    </row>
    <row r="28">
      <c r="A28" s="14" t="inlineStr">
        <is>
          <t>Cost of debt (lease-equivalent)</t>
        </is>
      </c>
    </row>
    <row r="29">
      <c r="A29" s="16" t="inlineStr">
        <is>
          <t>Pre-tax cost of debt (lease-equivalent)</t>
        </is>
      </c>
      <c r="B29" s="17" t="inlineStr">
        <is>
          <t>Lease-Equivalent Borrowing Cost</t>
        </is>
      </c>
      <c r="C29" s="18" t="inlineStr">
        <is>
          <t>LULU FY2025 10-K: lease liabilities &amp; no funded debt</t>
        </is>
      </c>
      <c r="D29" s="20" t="n">
        <v>0.05</v>
      </c>
    </row>
    <row r="30">
      <c r="A30" s="16" t="inlineStr">
        <is>
          <t>After-tax cost of debt</t>
        </is>
      </c>
      <c r="D30" s="31">
        <f>D35*(1-D5)</f>
        <v/>
      </c>
    </row>
    <row r="32">
      <c r="A32" s="14" t="inlineStr">
        <is>
          <t>WACC weights</t>
        </is>
      </c>
    </row>
    <row r="33">
      <c r="A33" s="16" t="inlineStr">
        <is>
          <t>Equity weight</t>
        </is>
      </c>
      <c r="B33" s="17" t="inlineStr">
        <is>
          <t>Mkt Cap / Total Capital</t>
        </is>
      </c>
      <c r="C33" s="24" t="inlineStr">
        <is>
          <t>WACC tab: capital structure</t>
        </is>
      </c>
      <c r="D33" s="32">
        <f>D10/(D10+D14)</f>
        <v/>
      </c>
    </row>
    <row r="34">
      <c r="A34" s="16" t="inlineStr">
        <is>
          <t>Debt weight (leases + funded)</t>
        </is>
      </c>
      <c r="B34" s="17" t="inlineStr">
        <is>
          <t>Lease Debt / Total Capital</t>
        </is>
      </c>
      <c r="C34" s="18" t="inlineStr">
        <is>
          <t>LULU FY2025 10-K: operating lease liabilities</t>
        </is>
      </c>
      <c r="D34" s="32">
        <f>D14/(D10+D14)</f>
        <v/>
      </c>
    </row>
    <row r="35" ht="28" customHeight="1">
      <c r="A35" s="23" t="inlineStr">
        <is>
          <t>WACC</t>
        </is>
      </c>
      <c r="C35" t="inlineStr">
        <is>
          <t>https://www.sec.gov/Archives/edgar/data/1397187/000139718726000020/lulu-20260201.htm</t>
        </is>
      </c>
      <c r="D35" s="33">
        <f>D39*D32+D40*D36</f>
        <v/>
      </c>
    </row>
    <row r="39" ht="28" customHeight="1"/>
    <row r="40" ht="28" customHeight="1">
      <c r="C40" t="inlineStr">
        <is>
          <t>https://www.sec.gov/Archives/edgar/data/1397187/000139718726000020/lulu-20260201.htm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4" r:id="rId13"/>
    <hyperlink xmlns:r="http://schemas.openxmlformats.org/officeDocument/2006/relationships" ref="C35" r:id="rId14"/>
    <hyperlink xmlns:r="http://schemas.openxmlformats.org/officeDocument/2006/relationships" ref="C4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/>
    <pageSetUpPr/>
  </sheetPr>
  <dimension ref="A1:G192"/>
  <sheetViews>
    <sheetView showGridLines="0" showOutlineSymbols="1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hidden="1" outlineLevel="1" width="26" customWidth="1" min="2" max="2"/>
    <col width="16" customWidth="1" min="3" max="3"/>
    <col hidden="1" outlineLevel="1" width="38" customWidth="1" min="4" max="4"/>
    <col width="11" customWidth="1" min="6" max="6"/>
    <col width="11" customWidth="1" min="7" max="7"/>
    <col width="11" customWidth="1" min="8" max="8"/>
  </cols>
  <sheetData>
    <row r="1" ht="16" customHeight="1">
      <c r="A1" s="12" t="inlineStr">
        <is>
          <t>SCENARIO ANALYSIS</t>
        </is>
      </c>
      <c r="B1" s="13" t="n"/>
      <c r="C1" s="13" t="n"/>
      <c r="D1" s="13" t="n"/>
      <c r="E1" s="13" t="n"/>
      <c r="F1" s="13" t="n"/>
      <c r="G1" s="13" t="n"/>
    </row>
    <row r="2">
      <c r="E2" s="34" t="inlineStr">
        <is>
          <t>Bear</t>
        </is>
      </c>
      <c r="F2" s="35" t="inlineStr">
        <is>
          <t>Base</t>
        </is>
      </c>
      <c r="G2" s="36" t="inlineStr">
        <is>
          <t>Bull</t>
        </is>
      </c>
    </row>
    <row r="3">
      <c r="A3" s="14" t="inlineStr">
        <is>
          <t>Key assumptions (5-yr forecast)</t>
        </is>
      </c>
      <c r="B3" s="15" t="inlineStr">
        <is>
          <t>Justification (~20 words)  [cols B–D: click + to expand]</t>
        </is>
      </c>
      <c r="C3" s="15" t="inlineStr">
        <is>
          <t>Source (click)</t>
        </is>
      </c>
    </row>
    <row r="4" ht="28" customHeight="1">
      <c r="A4" s="16" t="inlineStr">
        <is>
          <t>FY2026E revenue growth</t>
        </is>
      </c>
      <c r="B4" s="17" t="inlineStr">
        <is>
          <t>Q2 FY26 Guidance Midpoint</t>
        </is>
      </c>
      <c r="C4" s="18" t="inlineStr">
        <is>
          <t>LULU Q2 FY2026 earnings release</t>
        </is>
      </c>
      <c r="E4" s="20" t="n">
        <v>-0.09</v>
      </c>
      <c r="F4" s="20" t="n">
        <v>-0.061</v>
      </c>
      <c r="G4" s="20" t="n">
        <v>-0.04</v>
      </c>
    </row>
    <row r="5" ht="28" customHeight="1">
      <c r="A5" s="16" t="inlineStr">
        <is>
          <t>FY2027–FY2030E revenue growth (avg)</t>
        </is>
      </c>
      <c r="B5" s="17" t="inlineStr">
        <is>
          <t>StockAnalysis 3Y Revenue Forecast</t>
        </is>
      </c>
      <c r="C5" s="18" t="inlineStr">
        <is>
          <t>StockAnalysis: LULU 3Y revenue forecast</t>
        </is>
      </c>
      <c r="E5" s="20" t="n">
        <v>-0.01</v>
      </c>
      <c r="F5" s="20" t="n">
        <v>0.023</v>
      </c>
      <c r="G5" s="20" t="n">
        <v>0.06</v>
      </c>
    </row>
    <row r="6" ht="28" customHeight="1">
      <c r="A6" s="16" t="inlineStr">
        <is>
          <t>Run-rate EBIT margin (clean, ex-refunds)</t>
        </is>
      </c>
      <c r="B6" s="17" t="inlineStr">
        <is>
          <t>Q2 FY26 Run-Rate OM (ex-tariff)</t>
        </is>
      </c>
      <c r="C6" s="18" t="inlineStr">
        <is>
          <t>Q2 FY2026 release: 18.8% OM minus 560bps tariffs</t>
        </is>
      </c>
      <c r="E6" s="20" t="n">
        <v>0.12</v>
      </c>
      <c r="F6" s="20" t="n">
        <v>0.132</v>
      </c>
      <c r="G6" s="20" t="n">
        <v>0.145</v>
      </c>
    </row>
    <row r="7" ht="28" customHeight="1">
      <c r="A7" s="16" t="inlineStr">
        <is>
          <t>FY26 IEEPA tariff refunds ($k, already in guide)</t>
        </is>
      </c>
      <c r="B7" s="17" t="inlineStr">
        <is>
          <t>FY26 One-Time Tariff Refund</t>
        </is>
      </c>
      <c r="C7" s="18" t="inlineStr">
        <is>
          <t>Q2 FY2026 release: $134.5M IEEPA tariff refunds</t>
        </is>
      </c>
      <c r="E7" s="37" t="n">
        <v>134500</v>
      </c>
      <c r="F7" s="37" t="n">
        <v>134500</v>
      </c>
      <c r="G7" s="37" t="n">
        <v>134500</v>
      </c>
    </row>
    <row r="8" ht="28" customHeight="1">
      <c r="A8" s="16" t="inlineStr">
        <is>
          <t>Terminal (FY2030E) EBIT margin</t>
        </is>
      </c>
      <c r="B8" s="17" t="inlineStr">
        <is>
          <t>Partial Recovery vs FY25 10-K OM</t>
        </is>
      </c>
      <c r="C8" s="18" t="inlineStr">
        <is>
          <t>FY2025 10-K: Operating margin 19.9% (one hit)</t>
        </is>
      </c>
      <c r="E8" s="20" t="n">
        <v>0.12</v>
      </c>
      <c r="F8" s="20" t="n">
        <v>0.155</v>
      </c>
      <c r="G8" s="20" t="n">
        <v>0.19</v>
      </c>
    </row>
    <row r="9" ht="28" customHeight="1">
      <c r="A9" s="16" t="inlineStr">
        <is>
          <t>WACC</t>
        </is>
      </c>
      <c r="B9" s="17" t="inlineStr">
        <is>
          <t>Lease-Adjusted CAPM (WACC Tab)</t>
        </is>
      </c>
      <c r="C9" s="18" t="inlineStr">
        <is>
          <t>WACC tab: CAPM build</t>
        </is>
      </c>
      <c r="E9" s="20" t="n">
        <v>0.11</v>
      </c>
      <c r="F9" s="32">
        <f>WACC!D41</f>
        <v/>
      </c>
      <c r="G9" s="20" t="n">
        <v>0.095</v>
      </c>
    </row>
    <row r="10" ht="28" customHeight="1">
      <c r="A10" s="16" t="inlineStr">
        <is>
          <t>Terminal growth</t>
        </is>
      </c>
      <c r="B10" s="17" t="inlineStr">
        <is>
          <t>FRED GDPC1 Anchor (~2.1%)</t>
        </is>
      </c>
      <c r="C10" s="18" t="inlineStr">
        <is>
          <t>FRED: Real GDP (GDPC1)</t>
        </is>
      </c>
      <c r="E10" s="20" t="n">
        <v>0.015</v>
      </c>
      <c r="F10" s="20" t="n">
        <v>0.0225</v>
      </c>
      <c r="G10" s="20" t="n">
        <v>0.03</v>
      </c>
    </row>
    <row r="11" ht="28" customHeight="1">
      <c r="A11" s="16" t="inlineStr">
        <is>
          <t>Cash tax rate</t>
        </is>
      </c>
      <c r="B11" s="17" t="inlineStr">
        <is>
          <t>FY26 Guidance (~30%)</t>
        </is>
      </c>
      <c r="C11" s="18" t="inlineStr">
        <is>
          <t>Q2 FY2026 outlook: tax rate ≈ 30%</t>
        </is>
      </c>
      <c r="E11" s="20" t="n">
        <v>0.32</v>
      </c>
      <c r="F11" s="20" t="n">
        <v>0.3</v>
      </c>
      <c r="G11" s="20" t="n">
        <v>0.28</v>
      </c>
    </row>
    <row r="12" ht="28" customHeight="1">
      <c r="A12" s="16" t="inlineStr">
        <is>
          <t>D&amp;A % of revenue</t>
        </is>
      </c>
      <c r="B12" s="17" t="inlineStr">
        <is>
          <t>FY25 CF Statement (D&amp;A / Sales)</t>
        </is>
      </c>
      <c r="C12" s="18" t="inlineStr">
        <is>
          <t>LULU CF statement (10-K)</t>
        </is>
      </c>
      <c r="E12" s="20" t="n">
        <v>0.045</v>
      </c>
      <c r="F12" s="20" t="n">
        <v>0.045</v>
      </c>
      <c r="G12" s="20" t="n">
        <v>0.045</v>
      </c>
    </row>
    <row r="13" ht="150" customHeight="1">
      <c r="A13" s="16" t="inlineStr">
        <is>
          <t>Capex % of revenue</t>
        </is>
      </c>
      <c r="B13" s="19" t="inlineStr">
        <is>
          <t>FY26 Guide Fade to 5.5% Blend</t>
        </is>
      </c>
      <c r="C13" s="38" t="inlineStr">
        <is>
          <t>LULU 10-K: 2026 capex guide $725–745M Also: Q2 FY2026 outlook: $10.350B–$10.500B sales</t>
        </is>
      </c>
      <c r="E13" s="20" t="n">
        <v>0.07000000000000001</v>
      </c>
      <c r="F13" s="20" t="n">
        <v>0.055</v>
      </c>
      <c r="G13" s="20" t="n">
        <v>0.045</v>
      </c>
    </row>
    <row r="14" ht="112" customHeight="1">
      <c r="A14" s="16" t="inlineStr">
        <is>
          <t>Gross margin %</t>
        </is>
      </c>
      <c r="B14" s="17" t="inlineStr">
        <is>
          <t>FY25 Reported GM (~56.6%)</t>
        </is>
      </c>
      <c r="C14" s="18" t="inlineStr">
        <is>
          <t>LULU FY2025 10-K: Gross profit &amp; COGS</t>
        </is>
      </c>
      <c r="E14" s="20" t="n">
        <v>0.5600000000000001</v>
      </c>
      <c r="F14" s="20" t="n">
        <v>0.5659999999999999</v>
      </c>
      <c r="G14" s="20" t="n">
        <v>0.575</v>
      </c>
    </row>
    <row r="15" ht="150" customHeight="1">
      <c r="A15" s="16" t="inlineStr">
        <is>
          <t>DSO (days) — flat vs FY25</t>
        </is>
      </c>
      <c r="B15" s="17" t="inlineStr">
        <is>
          <t>Flat vs FY25 (~6.3 days)</t>
        </is>
      </c>
      <c r="C15" s="18" t="inlineStr">
        <is>
          <t>LULU FY2025 10-K: Accounts receivable, net</t>
        </is>
      </c>
      <c r="E15" s="39" t="n">
        <v>6.267883648875038</v>
      </c>
      <c r="F15" s="39" t="n">
        <v>6.267883648875038</v>
      </c>
      <c r="G15" s="39" t="n">
        <v>6.267883648875038</v>
      </c>
    </row>
    <row r="16" ht="140" customHeight="1">
      <c r="A16" s="16" t="inlineStr">
        <is>
          <t>FY25 DIO anchor (days)</t>
        </is>
      </c>
      <c r="B16" s="17" t="inlineStr">
        <is>
          <t>FY25 Anchor; −1 Day / Yr</t>
        </is>
      </c>
      <c r="C16" s="18" t="inlineStr">
        <is>
          <t>LULU FY2025 10-K: Inventories &amp; COGS</t>
        </is>
      </c>
      <c r="E16" s="39" t="n">
        <v>128.8324100108167</v>
      </c>
      <c r="F16" s="39" t="n">
        <v>128.8324100108167</v>
      </c>
      <c r="G16" s="39" t="n">
        <v>128.8324100108167</v>
      </c>
    </row>
    <row r="17" ht="70" customHeight="1">
      <c r="A17" s="16" t="inlineStr">
        <is>
          <t>DIO decline (days / forecast yr)</t>
        </is>
      </c>
      <c r="B17" s="17" t="inlineStr">
        <is>
          <t>FY25 Anchor; −1 Day / Yr</t>
        </is>
      </c>
      <c r="C17" s="18" t="inlineStr">
        <is>
          <t>LULU FY2025 10-K: inventory &amp; markdown outlook</t>
        </is>
      </c>
      <c r="E17" s="40" t="n">
        <v>1</v>
      </c>
      <c r="F17" s="40" t="n">
        <v>1</v>
      </c>
      <c r="G17" s="40" t="n">
        <v>1</v>
      </c>
    </row>
    <row r="18" ht="84" customHeight="1">
      <c r="A18" s="16" t="inlineStr">
        <is>
          <t>DPO (days) — flat vs FY25</t>
        </is>
      </c>
      <c r="B18" s="17" t="inlineStr">
        <is>
          <t>Flat vs FY25 (~25 days)</t>
        </is>
      </c>
      <c r="C18" s="18" t="inlineStr">
        <is>
          <t>LULU FY2025 10-K: Accounts payable &amp; COGS</t>
        </is>
      </c>
      <c r="E18" s="39" t="n">
        <v>25.10521290169407</v>
      </c>
      <c r="F18" s="39" t="n">
        <v>25.10521290169407</v>
      </c>
      <c r="G18" s="39" t="n">
        <v>25.10521290169407</v>
      </c>
    </row>
    <row r="19" ht="84" customHeight="1">
      <c r="A19" s="16" t="inlineStr">
        <is>
          <t>Prepaid expenses (% of revenue)</t>
        </is>
      </c>
      <c r="B19" s="17" t="inlineStr">
        <is>
          <t>FY25 OCA % of Revenue</t>
        </is>
      </c>
      <c r="C19" s="18" t="inlineStr">
        <is>
          <t>LULU FY2025 10-K: other current assets (residual)</t>
        </is>
      </c>
      <c r="E19" s="20" t="n">
        <v>0.05080692810692991</v>
      </c>
      <c r="F19" s="20" t="n">
        <v>0.05080692810692991</v>
      </c>
      <c r="G19" s="20" t="n">
        <v>0.05080692810692991</v>
      </c>
    </row>
    <row r="20" ht="84" customHeight="1">
      <c r="A20" s="16" t="inlineStr">
        <is>
          <t>Accrued liabilities (% of revenue)</t>
        </is>
      </c>
      <c r="B20" s="17" t="inlineStr">
        <is>
          <t>FY25 Accrued % of Revenue</t>
        </is>
      </c>
      <c r="C20" s="18" t="inlineStr">
        <is>
          <t>LULU FY2025 10-K: Accrued liabilities and other</t>
        </is>
      </c>
      <c r="E20" s="20" t="n">
        <v>0.05971412101669879</v>
      </c>
      <c r="F20" s="20" t="n">
        <v>0.05971412101669879</v>
      </c>
      <c r="G20" s="20" t="n">
        <v>0.05971412101669879</v>
      </c>
    </row>
    <row r="21">
      <c r="A21" s="16" t="inlineStr">
        <is>
          <t>Pitch CFF: fixed buyback ($k/yr) bear/base</t>
        </is>
      </c>
      <c r="E21" s="37" t="n">
        <v>500000</v>
      </c>
      <c r="F21" s="37" t="n">
        <v>500000</v>
      </c>
      <c r="G21" s="37" t="n">
        <v>0</v>
      </c>
    </row>
    <row r="22">
      <c r="A22" s="16" t="inlineStr">
        <is>
          <t>Pitch CFF: % of FCF to buybacks (bull)</t>
        </is>
      </c>
      <c r="E22" s="20" t="n">
        <v>0</v>
      </c>
      <c r="F22" s="20" t="n">
        <v>0</v>
      </c>
      <c r="G22" s="20" t="n">
        <v>0.75</v>
      </c>
    </row>
    <row r="24">
      <c r="A24" s="14" t="inlineStr">
        <is>
          <t>5-year forecast paths (by scenario)</t>
        </is>
      </c>
    </row>
    <row r="25">
      <c r="A25" s="41" t="inlineStr">
        <is>
          <t>Revenue – year 1</t>
        </is>
      </c>
      <c r="E25" s="42">
        <f>11102600*(1+E4)</f>
        <v/>
      </c>
      <c r="F25" s="42">
        <f>11102600*(1+F4)</f>
        <v/>
      </c>
      <c r="G25" s="42">
        <f>11102600*(1+G4)</f>
        <v/>
      </c>
    </row>
    <row r="26">
      <c r="A26" s="41" t="inlineStr">
        <is>
          <t>Revenue – year 2</t>
        </is>
      </c>
      <c r="E26" s="42">
        <f>E25*(1+E5)</f>
        <v/>
      </c>
      <c r="F26" s="42">
        <f>F25*(1+F5)</f>
        <v/>
      </c>
      <c r="G26" s="42">
        <f>G25*(1+G5)</f>
        <v/>
      </c>
    </row>
    <row r="27">
      <c r="A27" s="41" t="inlineStr">
        <is>
          <t>Revenue – year 3</t>
        </is>
      </c>
      <c r="E27" s="42">
        <f>E26*(1+E5)</f>
        <v/>
      </c>
      <c r="F27" s="42">
        <f>F26*(1+F5)</f>
        <v/>
      </c>
      <c r="G27" s="42">
        <f>G26*(1+G5)</f>
        <v/>
      </c>
    </row>
    <row r="28">
      <c r="A28" s="41" t="inlineStr">
        <is>
          <t>Revenue – year 4</t>
        </is>
      </c>
      <c r="E28" s="42">
        <f>E27*(1+E5)</f>
        <v/>
      </c>
      <c r="F28" s="42">
        <f>F27*(1+F5)</f>
        <v/>
      </c>
      <c r="G28" s="42">
        <f>G27*(1+G5)</f>
        <v/>
      </c>
    </row>
    <row r="29">
      <c r="A29" s="41" t="inlineStr">
        <is>
          <t>Revenue – year 5</t>
        </is>
      </c>
      <c r="E29" s="42">
        <f>E28*(1+E5)</f>
        <v/>
      </c>
      <c r="F29" s="42">
        <f>F28*(1+F5)</f>
        <v/>
      </c>
      <c r="G29" s="42">
        <f>G28*(1+G5)</f>
        <v/>
      </c>
    </row>
    <row r="30">
      <c r="A30" s="41" t="inlineStr">
        <is>
          <t>Gross margin % – year 1</t>
        </is>
      </c>
      <c r="E30" s="43">
        <f>E14</f>
        <v/>
      </c>
      <c r="F30" s="43">
        <f>F14</f>
        <v/>
      </c>
      <c r="G30" s="43">
        <f>G14</f>
        <v/>
      </c>
    </row>
    <row r="31">
      <c r="A31" s="41" t="inlineStr">
        <is>
          <t>Gross margin % – year 2</t>
        </is>
      </c>
      <c r="E31" s="43">
        <f>E14</f>
        <v/>
      </c>
      <c r="F31" s="43">
        <f>F14</f>
        <v/>
      </c>
      <c r="G31" s="43">
        <f>G14</f>
        <v/>
      </c>
    </row>
    <row r="32">
      <c r="A32" s="41" t="inlineStr">
        <is>
          <t>Gross margin % – year 3</t>
        </is>
      </c>
      <c r="E32" s="43">
        <f>E14</f>
        <v/>
      </c>
      <c r="F32" s="43">
        <f>F14</f>
        <v/>
      </c>
      <c r="G32" s="43">
        <f>G14</f>
        <v/>
      </c>
    </row>
    <row r="33">
      <c r="A33" s="41" t="inlineStr">
        <is>
          <t>Gross margin % – year 4</t>
        </is>
      </c>
      <c r="E33" s="43">
        <f>E14</f>
        <v/>
      </c>
      <c r="F33" s="43">
        <f>F14</f>
        <v/>
      </c>
      <c r="G33" s="43">
        <f>G14</f>
        <v/>
      </c>
    </row>
    <row r="34">
      <c r="A34" s="41" t="inlineStr">
        <is>
          <t>Gross margin % – year 5</t>
        </is>
      </c>
      <c r="E34" s="43">
        <f>E14</f>
        <v/>
      </c>
      <c r="F34" s="43">
        <f>F14</f>
        <v/>
      </c>
      <c r="G34" s="43">
        <f>G14</f>
        <v/>
      </c>
    </row>
    <row r="35">
      <c r="A35" s="41" t="inlineStr">
        <is>
          <t>Cost of goods sold (COGS) – year 1</t>
        </is>
      </c>
      <c r="E35" s="42">
        <f>E25*(1-E30)</f>
        <v/>
      </c>
      <c r="F35" s="42">
        <f>F25*(1-F30)</f>
        <v/>
      </c>
      <c r="G35" s="42">
        <f>G25*(1-G30)</f>
        <v/>
      </c>
    </row>
    <row r="36">
      <c r="A36" s="41" t="inlineStr">
        <is>
          <t>Cost of goods sold (COGS) – year 2</t>
        </is>
      </c>
      <c r="E36" s="42">
        <f>E26*(1-E31)</f>
        <v/>
      </c>
      <c r="F36" s="42">
        <f>F26*(1-F31)</f>
        <v/>
      </c>
      <c r="G36" s="42">
        <f>G26*(1-G31)</f>
        <v/>
      </c>
    </row>
    <row r="37">
      <c r="A37" s="41" t="inlineStr">
        <is>
          <t>Cost of goods sold (COGS) – year 3</t>
        </is>
      </c>
      <c r="E37" s="42">
        <f>E27*(1-E32)</f>
        <v/>
      </c>
      <c r="F37" s="42">
        <f>F27*(1-F32)</f>
        <v/>
      </c>
      <c r="G37" s="42">
        <f>G27*(1-G32)</f>
        <v/>
      </c>
    </row>
    <row r="38">
      <c r="A38" s="41" t="inlineStr">
        <is>
          <t>Cost of goods sold (COGS) – year 4</t>
        </is>
      </c>
      <c r="E38" s="42">
        <f>E28*(1-E33)</f>
        <v/>
      </c>
      <c r="F38" s="42">
        <f>F28*(1-F33)</f>
        <v/>
      </c>
      <c r="G38" s="42">
        <f>G28*(1-G33)</f>
        <v/>
      </c>
    </row>
    <row r="39">
      <c r="A39" s="41" t="inlineStr">
        <is>
          <t>Cost of goods sold (COGS) – year 5</t>
        </is>
      </c>
      <c r="E39" s="42">
        <f>E29*(1-E34)</f>
        <v/>
      </c>
      <c r="F39" s="42">
        <f>F29*(1-F34)</f>
        <v/>
      </c>
      <c r="G39" s="42">
        <f>G29*(1-G34)</f>
        <v/>
      </c>
    </row>
    <row r="40">
      <c r="A40" s="41" t="inlineStr">
        <is>
          <t>Clean EBIT margin – year 1</t>
        </is>
      </c>
      <c r="E40" s="43">
        <f>E6+(E8-E6)*0/4</f>
        <v/>
      </c>
      <c r="F40" s="43">
        <f>F6+(F8-F6)*0/4</f>
        <v/>
      </c>
      <c r="G40" s="43">
        <f>G6+(G8-G6)*0/4</f>
        <v/>
      </c>
    </row>
    <row r="41">
      <c r="A41" s="41" t="inlineStr">
        <is>
          <t>Clean EBIT margin – year 2</t>
        </is>
      </c>
      <c r="E41" s="43">
        <f>E6+(E8-E6)*1/4</f>
        <v/>
      </c>
      <c r="F41" s="43">
        <f>F6+(F8-F6)*1/4</f>
        <v/>
      </c>
      <c r="G41" s="43">
        <f>G6+(G8-G6)*1/4</f>
        <v/>
      </c>
    </row>
    <row r="42">
      <c r="A42" s="41" t="inlineStr">
        <is>
          <t>Clean EBIT margin – year 3</t>
        </is>
      </c>
      <c r="E42" s="43">
        <f>E6+(E8-E6)*2/4</f>
        <v/>
      </c>
      <c r="F42" s="43">
        <f>F6+(F8-F6)*2/4</f>
        <v/>
      </c>
      <c r="G42" s="43">
        <f>G6+(G8-G6)*2/4</f>
        <v/>
      </c>
    </row>
    <row r="43">
      <c r="A43" s="41" t="inlineStr">
        <is>
          <t>Clean EBIT margin – year 4</t>
        </is>
      </c>
      <c r="E43" s="43">
        <f>E6+(E8-E6)*3/4</f>
        <v/>
      </c>
      <c r="F43" s="43">
        <f>F6+(F8-F6)*3/4</f>
        <v/>
      </c>
      <c r="G43" s="43">
        <f>G6+(G8-G6)*3/4</f>
        <v/>
      </c>
    </row>
    <row r="44">
      <c r="A44" s="41" t="inlineStr">
        <is>
          <t>Clean EBIT margin – year 5</t>
        </is>
      </c>
      <c r="E44" s="43">
        <f>E6+(E8-E6)*4/4</f>
        <v/>
      </c>
      <c r="F44" s="43">
        <f>F6+(F8-F6)*4/4</f>
        <v/>
      </c>
      <c r="G44" s="43">
        <f>G6+(G8-G6)*4/4</f>
        <v/>
      </c>
    </row>
    <row r="45">
      <c r="A45" s="41" t="inlineStr">
        <is>
          <t>EBIT – year 1</t>
        </is>
      </c>
      <c r="E45" s="42">
        <f>E25*E40+E7</f>
        <v/>
      </c>
      <c r="F45" s="42">
        <f>F25*F40+F7</f>
        <v/>
      </c>
      <c r="G45" s="42">
        <f>G25*G40+G7</f>
        <v/>
      </c>
    </row>
    <row r="46">
      <c r="A46" s="41" t="inlineStr">
        <is>
          <t>EBIT – year 2</t>
        </is>
      </c>
      <c r="E46" s="42">
        <f>E26*E41</f>
        <v/>
      </c>
      <c r="F46" s="42">
        <f>F26*F41</f>
        <v/>
      </c>
      <c r="G46" s="42">
        <f>G26*G41</f>
        <v/>
      </c>
    </row>
    <row r="47">
      <c r="A47" s="41" t="inlineStr">
        <is>
          <t>EBIT – year 3</t>
        </is>
      </c>
      <c r="E47" s="42">
        <f>E27*E42</f>
        <v/>
      </c>
      <c r="F47" s="42">
        <f>F27*F42</f>
        <v/>
      </c>
      <c r="G47" s="42">
        <f>G27*G42</f>
        <v/>
      </c>
    </row>
    <row r="48">
      <c r="A48" s="41" t="inlineStr">
        <is>
          <t>EBIT – year 4</t>
        </is>
      </c>
      <c r="E48" s="42">
        <f>E28*E43</f>
        <v/>
      </c>
      <c r="F48" s="42">
        <f>F28*F43</f>
        <v/>
      </c>
      <c r="G48" s="42">
        <f>G28*G43</f>
        <v/>
      </c>
    </row>
    <row r="49">
      <c r="A49" s="41" t="inlineStr">
        <is>
          <t>EBIT – year 5</t>
        </is>
      </c>
      <c r="E49" s="42">
        <f>E29*E44</f>
        <v/>
      </c>
      <c r="F49" s="42">
        <f>F29*F44</f>
        <v/>
      </c>
      <c r="G49" s="42">
        <f>G29*G44</f>
        <v/>
      </c>
    </row>
    <row r="50">
      <c r="A50" s="41" t="inlineStr">
        <is>
          <t>NOPAT – year 1</t>
        </is>
      </c>
      <c r="E50" s="42">
        <f>E45*(1-'NOPAT Bridge'!E$39)</f>
        <v/>
      </c>
      <c r="F50" s="42">
        <f>'NOPAT Bridge'!E41</f>
        <v/>
      </c>
      <c r="G50" s="42">
        <f>G45*(1-'NOPAT Bridge'!E$39)</f>
        <v/>
      </c>
    </row>
    <row r="51">
      <c r="A51" s="41" t="inlineStr">
        <is>
          <t>NOPAT – year 2</t>
        </is>
      </c>
      <c r="E51" s="42">
        <f>E46*(1-'NOPAT Bridge'!F$39)</f>
        <v/>
      </c>
      <c r="F51" s="42">
        <f>'NOPAT Bridge'!F41</f>
        <v/>
      </c>
      <c r="G51" s="42">
        <f>G46*(1-'NOPAT Bridge'!F$39)</f>
        <v/>
      </c>
    </row>
    <row r="52">
      <c r="A52" s="41" t="inlineStr">
        <is>
          <t>NOPAT – year 3</t>
        </is>
      </c>
      <c r="E52" s="42">
        <f>E47*(1-'NOPAT Bridge'!G$39)</f>
        <v/>
      </c>
      <c r="F52" s="42">
        <f>'NOPAT Bridge'!G41</f>
        <v/>
      </c>
      <c r="G52" s="42">
        <f>G47*(1-'NOPAT Bridge'!G$39)</f>
        <v/>
      </c>
    </row>
    <row r="53">
      <c r="A53" s="41" t="inlineStr">
        <is>
          <t>NOPAT – year 4</t>
        </is>
      </c>
      <c r="E53" s="42">
        <f>E48*(1-'NOPAT Bridge'!H$39)</f>
        <v/>
      </c>
      <c r="F53" s="42">
        <f>'NOPAT Bridge'!H41</f>
        <v/>
      </c>
      <c r="G53" s="42">
        <f>G48*(1-'NOPAT Bridge'!H$39)</f>
        <v/>
      </c>
    </row>
    <row r="54">
      <c r="A54" s="41" t="inlineStr">
        <is>
          <t>NOPAT – year 5</t>
        </is>
      </c>
      <c r="E54" s="42">
        <f>E49*(1-'NOPAT Bridge'!I$39)</f>
        <v/>
      </c>
      <c r="F54" s="42">
        <f>'NOPAT Bridge'!I41</f>
        <v/>
      </c>
      <c r="G54" s="42">
        <f>G49*(1-'NOPAT Bridge'!I$39)</f>
        <v/>
      </c>
    </row>
    <row r="55">
      <c r="A55" s="41" t="inlineStr">
        <is>
          <t>D&amp;A – year 1</t>
        </is>
      </c>
      <c r="E55" s="42">
        <f>E25*E12</f>
        <v/>
      </c>
      <c r="F55" s="42">
        <f>F25*F12</f>
        <v/>
      </c>
      <c r="G55" s="42">
        <f>G25*G12</f>
        <v/>
      </c>
    </row>
    <row r="56">
      <c r="A56" s="41" t="inlineStr">
        <is>
          <t>D&amp;A – year 2</t>
        </is>
      </c>
      <c r="E56" s="42">
        <f>E26*E12</f>
        <v/>
      </c>
      <c r="F56" s="42">
        <f>F26*F12</f>
        <v/>
      </c>
      <c r="G56" s="42">
        <f>G26*G12</f>
        <v/>
      </c>
    </row>
    <row r="57">
      <c r="A57" s="41" t="inlineStr">
        <is>
          <t>D&amp;A – year 3</t>
        </is>
      </c>
      <c r="E57" s="42">
        <f>E27*E12</f>
        <v/>
      </c>
      <c r="F57" s="42">
        <f>F27*F12</f>
        <v/>
      </c>
      <c r="G57" s="42">
        <f>G27*G12</f>
        <v/>
      </c>
    </row>
    <row r="58">
      <c r="A58" s="41" t="inlineStr">
        <is>
          <t>D&amp;A – year 4</t>
        </is>
      </c>
      <c r="E58" s="42">
        <f>E28*E12</f>
        <v/>
      </c>
      <c r="F58" s="42">
        <f>F28*F12</f>
        <v/>
      </c>
      <c r="G58" s="42">
        <f>G28*G12</f>
        <v/>
      </c>
    </row>
    <row r="59">
      <c r="A59" s="41" t="inlineStr">
        <is>
          <t>D&amp;A – year 5</t>
        </is>
      </c>
      <c r="E59" s="42">
        <f>E29*E12</f>
        <v/>
      </c>
      <c r="F59" s="42">
        <f>F29*F12</f>
        <v/>
      </c>
      <c r="G59" s="42">
        <f>G29*G12</f>
        <v/>
      </c>
    </row>
    <row r="60">
      <c r="A60" s="41" t="inlineStr">
        <is>
          <t>Capex – year 1</t>
        </is>
      </c>
      <c r="E60" s="42">
        <f>E25*E13</f>
        <v/>
      </c>
      <c r="F60" s="42">
        <f>F25*F13</f>
        <v/>
      </c>
      <c r="G60" s="42">
        <f>G25*G13</f>
        <v/>
      </c>
    </row>
    <row r="61">
      <c r="A61" s="41" t="inlineStr">
        <is>
          <t>Capex – year 2</t>
        </is>
      </c>
      <c r="E61" s="42">
        <f>E26*E13</f>
        <v/>
      </c>
      <c r="F61" s="42">
        <f>F26*F13</f>
        <v/>
      </c>
      <c r="G61" s="42">
        <f>G26*G13</f>
        <v/>
      </c>
    </row>
    <row r="62">
      <c r="A62" s="41" t="inlineStr">
        <is>
          <t>Capex – year 3</t>
        </is>
      </c>
      <c r="E62" s="42">
        <f>E27*E13</f>
        <v/>
      </c>
      <c r="F62" s="42">
        <f>F27*F13</f>
        <v/>
      </c>
      <c r="G62" s="42">
        <f>G27*G13</f>
        <v/>
      </c>
    </row>
    <row r="63">
      <c r="A63" s="41" t="inlineStr">
        <is>
          <t>Capex – year 4</t>
        </is>
      </c>
      <c r="E63" s="42">
        <f>E28*E13</f>
        <v/>
      </c>
      <c r="F63" s="42">
        <f>F28*F13</f>
        <v/>
      </c>
      <c r="G63" s="42">
        <f>G28*G13</f>
        <v/>
      </c>
    </row>
    <row r="64">
      <c r="A64" s="41" t="inlineStr">
        <is>
          <t>Capex – year 5</t>
        </is>
      </c>
      <c r="E64" s="42">
        <f>E29*E13</f>
        <v/>
      </c>
      <c r="F64" s="42">
        <f>F29*F13</f>
        <v/>
      </c>
      <c r="G64" s="42">
        <f>G29*G13</f>
        <v/>
      </c>
    </row>
    <row r="65">
      <c r="A65" s="41" t="inlineStr">
        <is>
          <t>DSO (days) – year 1</t>
        </is>
      </c>
      <c r="E65" s="44">
        <f>E15</f>
        <v/>
      </c>
      <c r="F65" s="44">
        <f>F15</f>
        <v/>
      </c>
      <c r="G65" s="44">
        <f>G15</f>
        <v/>
      </c>
    </row>
    <row r="66">
      <c r="A66" s="41" t="inlineStr">
        <is>
          <t>DSO (days) – year 2</t>
        </is>
      </c>
      <c r="E66" s="44">
        <f>E15</f>
        <v/>
      </c>
      <c r="F66" s="44">
        <f>F15</f>
        <v/>
      </c>
      <c r="G66" s="44">
        <f>G15</f>
        <v/>
      </c>
    </row>
    <row r="67">
      <c r="A67" s="41" t="inlineStr">
        <is>
          <t>DSO (days) – year 3</t>
        </is>
      </c>
      <c r="E67" s="44">
        <f>E15</f>
        <v/>
      </c>
      <c r="F67" s="44">
        <f>F15</f>
        <v/>
      </c>
      <c r="G67" s="44">
        <f>G15</f>
        <v/>
      </c>
    </row>
    <row r="68">
      <c r="A68" s="41" t="inlineStr">
        <is>
          <t>DSO (days) – year 4</t>
        </is>
      </c>
      <c r="E68" s="44">
        <f>E15</f>
        <v/>
      </c>
      <c r="F68" s="44">
        <f>F15</f>
        <v/>
      </c>
      <c r="G68" s="44">
        <f>G15</f>
        <v/>
      </c>
    </row>
    <row r="69">
      <c r="A69" s="41" t="inlineStr">
        <is>
          <t>DSO (days) – year 5</t>
        </is>
      </c>
      <c r="E69" s="44">
        <f>E15</f>
        <v/>
      </c>
      <c r="F69" s="44">
        <f>F15</f>
        <v/>
      </c>
      <c r="G69" s="44">
        <f>G15</f>
        <v/>
      </c>
    </row>
    <row r="70">
      <c r="A70" s="41" t="inlineStr">
        <is>
          <t>Accounts receivable – year 1</t>
        </is>
      </c>
      <c r="E70" s="42">
        <f>(E65/365)*E25</f>
        <v/>
      </c>
      <c r="F70" s="42">
        <f>(F65/365)*F25</f>
        <v/>
      </c>
      <c r="G70" s="42">
        <f>(G65/365)*G25</f>
        <v/>
      </c>
    </row>
    <row r="71">
      <c r="A71" s="41" t="inlineStr">
        <is>
          <t>Accounts receivable – year 2</t>
        </is>
      </c>
      <c r="E71" s="42">
        <f>(E66/365)*E26</f>
        <v/>
      </c>
      <c r="F71" s="42">
        <f>(F66/365)*F26</f>
        <v/>
      </c>
      <c r="G71" s="42">
        <f>(G66/365)*G26</f>
        <v/>
      </c>
    </row>
    <row r="72">
      <c r="A72" s="41" t="inlineStr">
        <is>
          <t>Accounts receivable – year 3</t>
        </is>
      </c>
      <c r="E72" s="42">
        <f>(E67/365)*E27</f>
        <v/>
      </c>
      <c r="F72" s="42">
        <f>(F67/365)*F27</f>
        <v/>
      </c>
      <c r="G72" s="42">
        <f>(G67/365)*G27</f>
        <v/>
      </c>
    </row>
    <row r="73">
      <c r="A73" s="41" t="inlineStr">
        <is>
          <t>Accounts receivable – year 4</t>
        </is>
      </c>
      <c r="E73" s="42">
        <f>(E68/365)*E28</f>
        <v/>
      </c>
      <c r="F73" s="42">
        <f>(F68/365)*F28</f>
        <v/>
      </c>
      <c r="G73" s="42">
        <f>(G68/365)*G28</f>
        <v/>
      </c>
    </row>
    <row r="74">
      <c r="A74" s="41" t="inlineStr">
        <is>
          <t>Accounts receivable – year 5</t>
        </is>
      </c>
      <c r="E74" s="42">
        <f>(E69/365)*E29</f>
        <v/>
      </c>
      <c r="F74" s="42">
        <f>(F69/365)*F29</f>
        <v/>
      </c>
      <c r="G74" s="42">
        <f>(G69/365)*G29</f>
        <v/>
      </c>
    </row>
    <row r="75">
      <c r="A75" s="41" t="inlineStr">
        <is>
          <t>DIO (days) – year 1</t>
        </is>
      </c>
      <c r="E75" s="44">
        <f>E16-E17*1</f>
        <v/>
      </c>
      <c r="F75" s="44">
        <f>F16-F17*1</f>
        <v/>
      </c>
      <c r="G75" s="44">
        <f>G16-G17*1</f>
        <v/>
      </c>
    </row>
    <row r="76">
      <c r="A76" s="41" t="inlineStr">
        <is>
          <t>DIO (days) – year 2</t>
        </is>
      </c>
      <c r="E76" s="44">
        <f>E16-E17*2</f>
        <v/>
      </c>
      <c r="F76" s="44">
        <f>F16-F17*2</f>
        <v/>
      </c>
      <c r="G76" s="44">
        <f>G16-G17*2</f>
        <v/>
      </c>
    </row>
    <row r="77">
      <c r="A77" s="41" t="inlineStr">
        <is>
          <t>DIO (days) – year 3</t>
        </is>
      </c>
      <c r="E77" s="44">
        <f>E16-E17*3</f>
        <v/>
      </c>
      <c r="F77" s="44">
        <f>F16-F17*3</f>
        <v/>
      </c>
      <c r="G77" s="44">
        <f>G16-G17*3</f>
        <v/>
      </c>
    </row>
    <row r="78">
      <c r="A78" s="41" t="inlineStr">
        <is>
          <t>DIO (days) – year 4</t>
        </is>
      </c>
      <c r="E78" s="44">
        <f>E16-E17*4</f>
        <v/>
      </c>
      <c r="F78" s="44">
        <f>F16-F17*4</f>
        <v/>
      </c>
      <c r="G78" s="44">
        <f>G16-G17*4</f>
        <v/>
      </c>
    </row>
    <row r="79">
      <c r="A79" s="41" t="inlineStr">
        <is>
          <t>DIO (days) – year 5</t>
        </is>
      </c>
      <c r="E79" s="44">
        <f>E16-E17*5</f>
        <v/>
      </c>
      <c r="F79" s="44">
        <f>F16-F17*5</f>
        <v/>
      </c>
      <c r="G79" s="44">
        <f>G16-G17*5</f>
        <v/>
      </c>
    </row>
    <row r="80">
      <c r="A80" s="41" t="inlineStr">
        <is>
          <t>Inventories – year 1</t>
        </is>
      </c>
      <c r="E80" s="42">
        <f>(E75/365)*E35</f>
        <v/>
      </c>
      <c r="F80" s="42">
        <f>(F75/365)*F35</f>
        <v/>
      </c>
      <c r="G80" s="42">
        <f>(G75/365)*G35</f>
        <v/>
      </c>
    </row>
    <row r="81">
      <c r="A81" s="41" t="inlineStr">
        <is>
          <t>Inventories – year 2</t>
        </is>
      </c>
      <c r="E81" s="42">
        <f>(E76/365)*E36</f>
        <v/>
      </c>
      <c r="F81" s="42">
        <f>(F76/365)*F36</f>
        <v/>
      </c>
      <c r="G81" s="42">
        <f>(G76/365)*G36</f>
        <v/>
      </c>
    </row>
    <row r="82">
      <c r="A82" s="41" t="inlineStr">
        <is>
          <t>Inventories – year 3</t>
        </is>
      </c>
      <c r="E82" s="42">
        <f>(E77/365)*E37</f>
        <v/>
      </c>
      <c r="F82" s="42">
        <f>(F77/365)*F37</f>
        <v/>
      </c>
      <c r="G82" s="42">
        <f>(G77/365)*G37</f>
        <v/>
      </c>
    </row>
    <row r="83">
      <c r="A83" s="41" t="inlineStr">
        <is>
          <t>Inventories – year 4</t>
        </is>
      </c>
      <c r="E83" s="42">
        <f>(E78/365)*E38</f>
        <v/>
      </c>
      <c r="F83" s="42">
        <f>(F78/365)*F38</f>
        <v/>
      </c>
      <c r="G83" s="42">
        <f>(G78/365)*G38</f>
        <v/>
      </c>
    </row>
    <row r="84">
      <c r="A84" s="41" t="inlineStr">
        <is>
          <t>Inventories – year 5</t>
        </is>
      </c>
      <c r="E84" s="42">
        <f>(E79/365)*E39</f>
        <v/>
      </c>
      <c r="F84" s="42">
        <f>(F79/365)*F39</f>
        <v/>
      </c>
      <c r="G84" s="42">
        <f>(G79/365)*G39</f>
        <v/>
      </c>
    </row>
    <row r="85">
      <c r="A85" s="41" t="inlineStr">
        <is>
          <t>DPO (days) – year 1</t>
        </is>
      </c>
      <c r="E85" s="44">
        <f>E18</f>
        <v/>
      </c>
      <c r="F85" s="44">
        <f>F18</f>
        <v/>
      </c>
      <c r="G85" s="44">
        <f>G18</f>
        <v/>
      </c>
    </row>
    <row r="86">
      <c r="A86" s="41" t="inlineStr">
        <is>
          <t>DPO (days) – year 2</t>
        </is>
      </c>
      <c r="E86" s="44">
        <f>E18</f>
        <v/>
      </c>
      <c r="F86" s="44">
        <f>F18</f>
        <v/>
      </c>
      <c r="G86" s="44">
        <f>G18</f>
        <v/>
      </c>
    </row>
    <row r="87">
      <c r="A87" s="41" t="inlineStr">
        <is>
          <t>DPO (days) – year 3</t>
        </is>
      </c>
      <c r="E87" s="44">
        <f>E18</f>
        <v/>
      </c>
      <c r="F87" s="44">
        <f>F18</f>
        <v/>
      </c>
      <c r="G87" s="44">
        <f>G18</f>
        <v/>
      </c>
    </row>
    <row r="88">
      <c r="A88" s="41" t="inlineStr">
        <is>
          <t>DPO (days) – year 4</t>
        </is>
      </c>
      <c r="E88" s="44">
        <f>E18</f>
        <v/>
      </c>
      <c r="F88" s="44">
        <f>F18</f>
        <v/>
      </c>
      <c r="G88" s="44">
        <f>G18</f>
        <v/>
      </c>
    </row>
    <row r="89">
      <c r="A89" s="41" t="inlineStr">
        <is>
          <t>DPO (days) – year 5</t>
        </is>
      </c>
      <c r="E89" s="44">
        <f>E18</f>
        <v/>
      </c>
      <c r="F89" s="44">
        <f>F18</f>
        <v/>
      </c>
      <c r="G89" s="44">
        <f>G18</f>
        <v/>
      </c>
    </row>
    <row r="90">
      <c r="A90" s="41" t="inlineStr">
        <is>
          <t>Accounts payable – year 1</t>
        </is>
      </c>
      <c r="E90" s="42">
        <f>(E85/365)*E35</f>
        <v/>
      </c>
      <c r="F90" s="42">
        <f>(F85/365)*F35</f>
        <v/>
      </c>
      <c r="G90" s="42">
        <f>(G85/365)*G35</f>
        <v/>
      </c>
    </row>
    <row r="91">
      <c r="A91" s="41" t="inlineStr">
        <is>
          <t>Accounts payable – year 2</t>
        </is>
      </c>
      <c r="E91" s="42">
        <f>(E86/365)*E36</f>
        <v/>
      </c>
      <c r="F91" s="42">
        <f>(F86/365)*F36</f>
        <v/>
      </c>
      <c r="G91" s="42">
        <f>(G86/365)*G36</f>
        <v/>
      </c>
    </row>
    <row r="92">
      <c r="A92" s="41" t="inlineStr">
        <is>
          <t>Accounts payable – year 3</t>
        </is>
      </c>
      <c r="E92" s="42">
        <f>(E87/365)*E37</f>
        <v/>
      </c>
      <c r="F92" s="42">
        <f>(F87/365)*F37</f>
        <v/>
      </c>
      <c r="G92" s="42">
        <f>(G87/365)*G37</f>
        <v/>
      </c>
    </row>
    <row r="93">
      <c r="A93" s="41" t="inlineStr">
        <is>
          <t>Accounts payable – year 4</t>
        </is>
      </c>
      <c r="E93" s="42">
        <f>(E88/365)*E38</f>
        <v/>
      </c>
      <c r="F93" s="42">
        <f>(F88/365)*F38</f>
        <v/>
      </c>
      <c r="G93" s="42">
        <f>(G88/365)*G38</f>
        <v/>
      </c>
    </row>
    <row r="94">
      <c r="A94" s="41" t="inlineStr">
        <is>
          <t>Accounts payable – year 5</t>
        </is>
      </c>
      <c r="E94" s="42">
        <f>(E89/365)*E39</f>
        <v/>
      </c>
      <c r="F94" s="42">
        <f>(F89/365)*F39</f>
        <v/>
      </c>
      <c r="G94" s="42">
        <f>(G89/365)*G39</f>
        <v/>
      </c>
    </row>
    <row r="95">
      <c r="A95" s="41" t="inlineStr">
        <is>
          <t>Prepaid expenses (other current assets) – year 1</t>
        </is>
      </c>
      <c r="E95" s="42">
        <f>E25*E19</f>
        <v/>
      </c>
      <c r="F95" s="42">
        <f>F25*F19</f>
        <v/>
      </c>
      <c r="G95" s="42">
        <f>G25*G19</f>
        <v/>
      </c>
    </row>
    <row r="96">
      <c r="A96" s="41" t="inlineStr">
        <is>
          <t>Prepaid expenses (other current assets) – year 2</t>
        </is>
      </c>
      <c r="E96" s="42">
        <f>E26*E19</f>
        <v/>
      </c>
      <c r="F96" s="42">
        <f>F26*F19</f>
        <v/>
      </c>
      <c r="G96" s="42">
        <f>G26*G19</f>
        <v/>
      </c>
    </row>
    <row r="97">
      <c r="A97" s="41" t="inlineStr">
        <is>
          <t>Prepaid expenses (other current assets) – year 3</t>
        </is>
      </c>
      <c r="E97" s="42">
        <f>E27*E19</f>
        <v/>
      </c>
      <c r="F97" s="42">
        <f>F27*F19</f>
        <v/>
      </c>
      <c r="G97" s="42">
        <f>G27*G19</f>
        <v/>
      </c>
    </row>
    <row r="98">
      <c r="A98" s="41" t="inlineStr">
        <is>
          <t>Prepaid expenses (other current assets) – year 4</t>
        </is>
      </c>
      <c r="E98" s="42">
        <f>E28*E19</f>
        <v/>
      </c>
      <c r="F98" s="42">
        <f>F28*F19</f>
        <v/>
      </c>
      <c r="G98" s="42">
        <f>G28*G19</f>
        <v/>
      </c>
    </row>
    <row r="99">
      <c r="A99" s="41" t="inlineStr">
        <is>
          <t>Prepaid expenses (other current assets) – year 5</t>
        </is>
      </c>
      <c r="E99" s="42">
        <f>E29*E19</f>
        <v/>
      </c>
      <c r="F99" s="42">
        <f>F29*F19</f>
        <v/>
      </c>
      <c r="G99" s="42">
        <f>G29*G19</f>
        <v/>
      </c>
    </row>
    <row r="100">
      <c r="A100" s="41" t="inlineStr">
        <is>
          <t>Accrued liabilities – year 1</t>
        </is>
      </c>
      <c r="E100" s="42">
        <f>E25*E20</f>
        <v/>
      </c>
      <c r="F100" s="42">
        <f>F25*F20</f>
        <v/>
      </c>
      <c r="G100" s="42">
        <f>G25*G20</f>
        <v/>
      </c>
    </row>
    <row r="101">
      <c r="A101" s="41" t="inlineStr">
        <is>
          <t>Accrued liabilities – year 2</t>
        </is>
      </c>
      <c r="E101" s="42">
        <f>E26*E20</f>
        <v/>
      </c>
      <c r="F101" s="42">
        <f>F26*F20</f>
        <v/>
      </c>
      <c r="G101" s="42">
        <f>G26*G20</f>
        <v/>
      </c>
    </row>
    <row r="102">
      <c r="A102" s="41" t="inlineStr">
        <is>
          <t>Accrued liabilities – year 3</t>
        </is>
      </c>
      <c r="E102" s="42">
        <f>E27*E20</f>
        <v/>
      </c>
      <c r="F102" s="42">
        <f>F27*F20</f>
        <v/>
      </c>
      <c r="G102" s="42">
        <f>G27*G20</f>
        <v/>
      </c>
    </row>
    <row r="103">
      <c r="A103" s="41" t="inlineStr">
        <is>
          <t>Accrued liabilities – year 4</t>
        </is>
      </c>
      <c r="E103" s="42">
        <f>E28*E20</f>
        <v/>
      </c>
      <c r="F103" s="42">
        <f>F28*F20</f>
        <v/>
      </c>
      <c r="G103" s="42">
        <f>G28*G20</f>
        <v/>
      </c>
    </row>
    <row r="104">
      <c r="A104" s="41" t="inlineStr">
        <is>
          <t>Accrued liabilities – year 5</t>
        </is>
      </c>
      <c r="E104" s="42">
        <f>E29*E20</f>
        <v/>
      </c>
      <c r="F104" s="42">
        <f>F29*F20</f>
        <v/>
      </c>
      <c r="G104" s="42">
        <f>G29*G20</f>
        <v/>
      </c>
    </row>
    <row r="105">
      <c r="A105" s="41" t="inlineStr">
        <is>
          <t>Current operating assets (AR + inv + prepaids) – year 1</t>
        </is>
      </c>
      <c r="E105" s="42">
        <f>E70+E80+E95</f>
        <v/>
      </c>
      <c r="F105" s="42">
        <f>F70+F80+F95</f>
        <v/>
      </c>
      <c r="G105" s="42">
        <f>G70+G80+G95</f>
        <v/>
      </c>
    </row>
    <row r="106">
      <c r="A106" s="41" t="inlineStr">
        <is>
          <t>Current operating assets (AR + inv + prepaids) – year 2</t>
        </is>
      </c>
      <c r="E106" s="42">
        <f>E71+E81+E96</f>
        <v/>
      </c>
      <c r="F106" s="42">
        <f>F71+F81+F96</f>
        <v/>
      </c>
      <c r="G106" s="42">
        <f>G71+G81+G96</f>
        <v/>
      </c>
    </row>
    <row r="107">
      <c r="A107" s="41" t="inlineStr">
        <is>
          <t>Current operating assets (AR + inv + prepaids) – year 3</t>
        </is>
      </c>
      <c r="E107" s="42">
        <f>E72+E82+E97</f>
        <v/>
      </c>
      <c r="F107" s="42">
        <f>F72+F82+F97</f>
        <v/>
      </c>
      <c r="G107" s="42">
        <f>G72+G82+G97</f>
        <v/>
      </c>
    </row>
    <row r="108">
      <c r="A108" s="41" t="inlineStr">
        <is>
          <t>Current operating assets (AR + inv + prepaids) – year 4</t>
        </is>
      </c>
      <c r="E108" s="42">
        <f>E73+E83+E98</f>
        <v/>
      </c>
      <c r="F108" s="42">
        <f>F73+F83+F98</f>
        <v/>
      </c>
      <c r="G108" s="42">
        <f>G73+G83+G98</f>
        <v/>
      </c>
    </row>
    <row r="109">
      <c r="A109" s="41" t="inlineStr">
        <is>
          <t>Current operating assets (AR + inv + prepaids) – year 5</t>
        </is>
      </c>
      <c r="E109" s="42">
        <f>E74+E84+E99</f>
        <v/>
      </c>
      <c r="F109" s="42">
        <f>F74+F84+F99</f>
        <v/>
      </c>
      <c r="G109" s="42">
        <f>G74+G84+G99</f>
        <v/>
      </c>
    </row>
    <row r="110">
      <c r="A110" s="41" t="inlineStr">
        <is>
          <t>Current operating liabilities (AP + accruals) – year 1</t>
        </is>
      </c>
      <c r="E110" s="42">
        <f>E90+E100</f>
        <v/>
      </c>
      <c r="F110" s="42">
        <f>F90+F100</f>
        <v/>
      </c>
      <c r="G110" s="42">
        <f>G90+G100</f>
        <v/>
      </c>
    </row>
    <row r="111">
      <c r="A111" s="41" t="inlineStr">
        <is>
          <t>Current operating liabilities (AP + accruals) – year 2</t>
        </is>
      </c>
      <c r="E111" s="42">
        <f>E91+E101</f>
        <v/>
      </c>
      <c r="F111" s="42">
        <f>F91+F101</f>
        <v/>
      </c>
      <c r="G111" s="42">
        <f>G91+G101</f>
        <v/>
      </c>
    </row>
    <row r="112">
      <c r="A112" s="41" t="inlineStr">
        <is>
          <t>Current operating liabilities (AP + accruals) – year 3</t>
        </is>
      </c>
      <c r="E112" s="42">
        <f>E92+E102</f>
        <v/>
      </c>
      <c r="F112" s="42">
        <f>F92+F102</f>
        <v/>
      </c>
      <c r="G112" s="42">
        <f>G92+G102</f>
        <v/>
      </c>
    </row>
    <row r="113">
      <c r="A113" s="41" t="inlineStr">
        <is>
          <t>Current operating liabilities (AP + accruals) – year 4</t>
        </is>
      </c>
      <c r="E113" s="42">
        <f>E93+E103</f>
        <v/>
      </c>
      <c r="F113" s="42">
        <f>F93+F103</f>
        <v/>
      </c>
      <c r="G113" s="42">
        <f>G93+G103</f>
        <v/>
      </c>
    </row>
    <row r="114">
      <c r="A114" s="41" t="inlineStr">
        <is>
          <t>Current operating liabilities (AP + accruals) – year 5</t>
        </is>
      </c>
      <c r="E114" s="42">
        <f>E94+E104</f>
        <v/>
      </c>
      <c r="F114" s="42">
        <f>F94+F104</f>
        <v/>
      </c>
      <c r="G114" s="42">
        <f>G94+G104</f>
        <v/>
      </c>
    </row>
    <row r="115">
      <c r="A115" s="41" t="inlineStr">
        <is>
          <t>Net working capital – year 1</t>
        </is>
      </c>
      <c r="E115" s="42">
        <f>E105-E110</f>
        <v/>
      </c>
      <c r="F115" s="42">
        <f>F105-F110</f>
        <v/>
      </c>
      <c r="G115" s="42">
        <f>G105-G110</f>
        <v/>
      </c>
    </row>
    <row r="116">
      <c r="A116" s="41" t="inlineStr">
        <is>
          <t>Net working capital – year 2</t>
        </is>
      </c>
      <c r="E116" s="42">
        <f>E106-E111</f>
        <v/>
      </c>
      <c r="F116" s="42">
        <f>F106-F111</f>
        <v/>
      </c>
      <c r="G116" s="42">
        <f>G106-G111</f>
        <v/>
      </c>
    </row>
    <row r="117">
      <c r="A117" s="41" t="inlineStr">
        <is>
          <t>Net working capital – year 3</t>
        </is>
      </c>
      <c r="E117" s="42">
        <f>E107-E112</f>
        <v/>
      </c>
      <c r="F117" s="42">
        <f>F107-F112</f>
        <v/>
      </c>
      <c r="G117" s="42">
        <f>G107-G112</f>
        <v/>
      </c>
    </row>
    <row r="118">
      <c r="A118" s="41" t="inlineStr">
        <is>
          <t>Net working capital – year 4</t>
        </is>
      </c>
      <c r="E118" s="42">
        <f>E108-E113</f>
        <v/>
      </c>
      <c r="F118" s="42">
        <f>F108-F113</f>
        <v/>
      </c>
      <c r="G118" s="42">
        <f>G108-G113</f>
        <v/>
      </c>
    </row>
    <row r="119">
      <c r="A119" s="41" t="inlineStr">
        <is>
          <t>Net working capital – year 5</t>
        </is>
      </c>
      <c r="E119" s="42">
        <f>E109-E114</f>
        <v/>
      </c>
      <c r="F119" s="42">
        <f>F109-F114</f>
        <v/>
      </c>
      <c r="G119" s="42">
        <f>G109-G114</f>
        <v/>
      </c>
    </row>
    <row r="120">
      <c r="A120" s="41" t="inlineStr">
        <is>
          <t>ΔNWC (prior yr − current yr) – year 1</t>
        </is>
      </c>
      <c r="E120" s="42">
        <f>1461096-E115</f>
        <v/>
      </c>
      <c r="F120" s="42">
        <f>1461096-F115</f>
        <v/>
      </c>
      <c r="G120" s="42">
        <f>1461096-G115</f>
        <v/>
      </c>
    </row>
    <row r="121">
      <c r="A121" s="41" t="inlineStr">
        <is>
          <t>ΔNWC (prior yr − current yr) – year 2</t>
        </is>
      </c>
      <c r="E121" s="42">
        <f>E115-E116</f>
        <v/>
      </c>
      <c r="F121" s="42">
        <f>F115-F116</f>
        <v/>
      </c>
      <c r="G121" s="42">
        <f>G115-G116</f>
        <v/>
      </c>
    </row>
    <row r="122">
      <c r="A122" s="41" t="inlineStr">
        <is>
          <t>ΔNWC (prior yr − current yr) – year 3</t>
        </is>
      </c>
      <c r="E122" s="42">
        <f>E116-E117</f>
        <v/>
      </c>
      <c r="F122" s="42">
        <f>F116-F117</f>
        <v/>
      </c>
      <c r="G122" s="42">
        <f>G116-G117</f>
        <v/>
      </c>
    </row>
    <row r="123">
      <c r="A123" s="41" t="inlineStr">
        <is>
          <t>ΔNWC (prior yr − current yr) – year 4</t>
        </is>
      </c>
      <c r="E123" s="42">
        <f>E117-E118</f>
        <v/>
      </c>
      <c r="F123" s="42">
        <f>F117-F118</f>
        <v/>
      </c>
      <c r="G123" s="42">
        <f>G117-G118</f>
        <v/>
      </c>
    </row>
    <row r="124">
      <c r="A124" s="41" t="inlineStr">
        <is>
          <t>ΔNWC (prior yr − current yr) – year 5</t>
        </is>
      </c>
      <c r="E124" s="42">
        <f>E118-E119</f>
        <v/>
      </c>
      <c r="F124" s="42">
        <f>F118-F119</f>
        <v/>
      </c>
      <c r="G124" s="42">
        <f>G118-G119</f>
        <v/>
      </c>
    </row>
    <row r="125">
      <c r="A125" s="41" t="inlineStr">
        <is>
          <t>Unlevered FCF – year 1</t>
        </is>
      </c>
      <c r="E125" s="42">
        <f>E50+E55-E60+E120</f>
        <v/>
      </c>
      <c r="F125" s="42">
        <f>F50+F55-F60+F120</f>
        <v/>
      </c>
      <c r="G125" s="42">
        <f>G50+G55-G60+G120</f>
        <v/>
      </c>
    </row>
    <row r="126">
      <c r="A126" s="41" t="inlineStr">
        <is>
          <t>Unlevered FCF – year 2</t>
        </is>
      </c>
      <c r="E126" s="42">
        <f>E51+E56-E61+E121</f>
        <v/>
      </c>
      <c r="F126" s="42">
        <f>F51+F56-F61+F121</f>
        <v/>
      </c>
      <c r="G126" s="42">
        <f>G51+G56-G61+G121</f>
        <v/>
      </c>
    </row>
    <row r="127">
      <c r="A127" s="41" t="inlineStr">
        <is>
          <t>Unlevered FCF – year 3</t>
        </is>
      </c>
      <c r="E127" s="42">
        <f>E52+E57-E62+E122</f>
        <v/>
      </c>
      <c r="F127" s="42">
        <f>F52+F57-F62+F122</f>
        <v/>
      </c>
      <c r="G127" s="42">
        <f>G52+G57-G62+G122</f>
        <v/>
      </c>
    </row>
    <row r="128">
      <c r="A128" s="41" t="inlineStr">
        <is>
          <t>Unlevered FCF – year 4</t>
        </is>
      </c>
      <c r="E128" s="42">
        <f>E53+E58-E63+E123</f>
        <v/>
      </c>
      <c r="F128" s="42">
        <f>F53+F58-F63+F123</f>
        <v/>
      </c>
      <c r="G128" s="42">
        <f>G53+G58-G63+G123</f>
        <v/>
      </c>
    </row>
    <row r="129">
      <c r="A129" s="41" t="inlineStr">
        <is>
          <t>Unlevered FCF – year 5</t>
        </is>
      </c>
      <c r="E129" s="42">
        <f>E54+E59-E64+E124</f>
        <v/>
      </c>
      <c r="F129" s="42">
        <f>F54+F59-F64+F124</f>
        <v/>
      </c>
      <c r="G129" s="42">
        <f>G54+G59-G64+G124</f>
        <v/>
      </c>
    </row>
    <row r="131">
      <c r="A131" s="23" t="inlineStr">
        <is>
          <t>Enterprise value (DCF)</t>
        </is>
      </c>
      <c r="E131" s="25">
        <f>NPV(E9,E125,E126,E127,E128,E129)+(E129*(1+E10)/(E9-E10))/(1+E9)^5</f>
        <v/>
      </c>
      <c r="F131" s="25">
        <f>NPV(F9,F125,F126,F127,F128,F129)+(F129*(1+F10)/(F9-F10))/(1+F9)^5</f>
        <v/>
      </c>
      <c r="G131" s="25">
        <f>NPV(G9,G125,G126,G127,G128,G129)+(G129*(1+G10)/(G9-G10))/(1+G9)^5</f>
        <v/>
      </c>
    </row>
    <row r="132">
      <c r="A132" s="45" t="inlineStr">
        <is>
          <t>Implied share price</t>
        </is>
      </c>
      <c r="E132" s="46">
        <f>(E131+1807202-1798441)/111380</f>
        <v/>
      </c>
      <c r="F132" s="47">
        <f>(F131+1807202-1798441)/111380</f>
        <v/>
      </c>
      <c r="G132" s="46">
        <f>(G131+1807202-1798441)/111380</f>
        <v/>
      </c>
    </row>
    <row r="133">
      <c r="A133" s="23" t="inlineStr">
        <is>
          <t>Upside / (downside) vs current</t>
        </is>
      </c>
      <c r="E133" s="48">
        <f>E132/100.0-1</f>
        <v/>
      </c>
      <c r="F133" s="48">
        <f>F132/100.0-1</f>
        <v/>
      </c>
      <c r="G133" s="48">
        <f>G132/100.0-1</f>
        <v/>
      </c>
    </row>
    <row r="135">
      <c r="A135" s="26" t="inlineStr">
        <is>
          <t>Current price $100.00; cash $1,807,202 k; lease debt $1,798,441 k; funded debt $0; net cash $8,761 k.</t>
        </is>
      </c>
    </row>
    <row r="137">
      <c r="A137" s="14" t="inlineStr">
        <is>
          <t>Pitch deck bridge (IS / CFS / BS)</t>
        </is>
      </c>
    </row>
    <row r="138">
      <c r="A138" s="41" t="inlineStr">
        <is>
          <t>Other income – year 1</t>
        </is>
      </c>
      <c r="E138" s="42" t="n">
        <v>45000</v>
      </c>
      <c r="F138" s="42" t="n">
        <v>45000</v>
      </c>
      <c r="G138" s="42" t="n">
        <v>45000</v>
      </c>
    </row>
    <row r="139">
      <c r="A139" s="41" t="inlineStr">
        <is>
          <t>Other income – year 2</t>
        </is>
      </c>
      <c r="E139" s="42" t="n">
        <v>40000</v>
      </c>
      <c r="F139" s="42" t="n">
        <v>40000</v>
      </c>
      <c r="G139" s="42" t="n">
        <v>40000</v>
      </c>
    </row>
    <row r="140">
      <c r="A140" s="41" t="inlineStr">
        <is>
          <t>Other income – year 3</t>
        </is>
      </c>
      <c r="E140" s="42" t="n">
        <v>35000</v>
      </c>
      <c r="F140" s="42" t="n">
        <v>35000</v>
      </c>
      <c r="G140" s="42" t="n">
        <v>35000</v>
      </c>
    </row>
    <row r="141">
      <c r="A141" s="41" t="inlineStr">
        <is>
          <t>Other income – year 4</t>
        </is>
      </c>
      <c r="E141" s="42" t="n">
        <v>30000</v>
      </c>
      <c r="F141" s="42" t="n">
        <v>30000</v>
      </c>
      <c r="G141" s="42" t="n">
        <v>30000</v>
      </c>
    </row>
    <row r="142">
      <c r="A142" s="41" t="inlineStr">
        <is>
          <t>Other income – year 5</t>
        </is>
      </c>
      <c r="E142" s="42" t="n">
        <v>25000</v>
      </c>
      <c r="F142" s="42" t="n">
        <v>25000</v>
      </c>
      <c r="G142" s="42" t="n">
        <v>25000</v>
      </c>
    </row>
    <row r="143">
      <c r="A143" s="41" t="inlineStr">
        <is>
          <t>Net income – year 1</t>
        </is>
      </c>
      <c r="E143" s="42">
        <f>(E45+E138)*(1-E11)</f>
        <v/>
      </c>
      <c r="F143" s="42">
        <f>(F45+F138)*(1-F11)</f>
        <v/>
      </c>
      <c r="G143" s="42">
        <f>(G45+G138)*(1-G11)</f>
        <v/>
      </c>
    </row>
    <row r="144">
      <c r="A144" s="41" t="inlineStr">
        <is>
          <t>Net income – year 2</t>
        </is>
      </c>
      <c r="E144" s="42">
        <f>(E46+E139)*(1-E11)</f>
        <v/>
      </c>
      <c r="F144" s="42">
        <f>(F46+F139)*(1-F11)</f>
        <v/>
      </c>
      <c r="G144" s="42">
        <f>(G46+G139)*(1-G11)</f>
        <v/>
      </c>
    </row>
    <row r="145">
      <c r="A145" s="41" t="inlineStr">
        <is>
          <t>Net income – year 3</t>
        </is>
      </c>
      <c r="E145" s="42">
        <f>(E47+E140)*(1-E11)</f>
        <v/>
      </c>
      <c r="F145" s="42">
        <f>(F47+F140)*(1-F11)</f>
        <v/>
      </c>
      <c r="G145" s="42">
        <f>(G47+G140)*(1-G11)</f>
        <v/>
      </c>
    </row>
    <row r="146">
      <c r="A146" s="41" t="inlineStr">
        <is>
          <t>Net income – year 4</t>
        </is>
      </c>
      <c r="E146" s="42">
        <f>(E48+E141)*(1-E11)</f>
        <v/>
      </c>
      <c r="F146" s="42">
        <f>(F48+F141)*(1-F11)</f>
        <v/>
      </c>
      <c r="G146" s="42">
        <f>(G48+G141)*(1-G11)</f>
        <v/>
      </c>
    </row>
    <row r="147">
      <c r="A147" s="41" t="inlineStr">
        <is>
          <t>Net income – year 5</t>
        </is>
      </c>
      <c r="E147" s="42">
        <f>(E49+E142)*(1-E11)</f>
        <v/>
      </c>
      <c r="F147" s="42">
        <f>(F49+F142)*(1-F11)</f>
        <v/>
      </c>
      <c r="G147" s="42">
        <f>(G49+G142)*(1-G11)</f>
        <v/>
      </c>
    </row>
    <row r="148">
      <c r="A148" s="41" t="inlineStr">
        <is>
          <t>Cash from operations – year 1</t>
        </is>
      </c>
      <c r="E148" s="42">
        <f>E143+E55+E120</f>
        <v/>
      </c>
      <c r="F148" s="42">
        <f>F143+F55+F120</f>
        <v/>
      </c>
      <c r="G148" s="42">
        <f>G143+G55+G120</f>
        <v/>
      </c>
    </row>
    <row r="149">
      <c r="A149" s="41" t="inlineStr">
        <is>
          <t>Cash from operations – year 2</t>
        </is>
      </c>
      <c r="E149" s="42">
        <f>E144+E56+E121</f>
        <v/>
      </c>
      <c r="F149" s="42">
        <f>F144+F56+F121</f>
        <v/>
      </c>
      <c r="G149" s="42">
        <f>G144+G56+G121</f>
        <v/>
      </c>
    </row>
    <row r="150">
      <c r="A150" s="41" t="inlineStr">
        <is>
          <t>Cash from operations – year 3</t>
        </is>
      </c>
      <c r="E150" s="42">
        <f>E145+E57+E122</f>
        <v/>
      </c>
      <c r="F150" s="42">
        <f>F145+F57+F122</f>
        <v/>
      </c>
      <c r="G150" s="42">
        <f>G145+G57+G122</f>
        <v/>
      </c>
    </row>
    <row r="151">
      <c r="A151" s="41" t="inlineStr">
        <is>
          <t>Cash from operations – year 4</t>
        </is>
      </c>
      <c r="E151" s="42">
        <f>E146+E58+E123</f>
        <v/>
      </c>
      <c r="F151" s="42">
        <f>F146+F58+F123</f>
        <v/>
      </c>
      <c r="G151" s="42">
        <f>G146+G58+G123</f>
        <v/>
      </c>
    </row>
    <row r="152">
      <c r="A152" s="41" t="inlineStr">
        <is>
          <t>Cash from operations – year 5</t>
        </is>
      </c>
      <c r="E152" s="42">
        <f>E147+E59+E124</f>
        <v/>
      </c>
      <c r="F152" s="42">
        <f>F147+F59+F124</f>
        <v/>
      </c>
      <c r="G152" s="42">
        <f>G147+G59+G124</f>
        <v/>
      </c>
    </row>
    <row r="153">
      <c r="A153" s="41" t="inlineStr">
        <is>
          <t>Free cash flow (CFS) – year 1</t>
        </is>
      </c>
      <c r="E153" s="42">
        <f>E148-E60</f>
        <v/>
      </c>
      <c r="F153" s="42">
        <f>F148-F60</f>
        <v/>
      </c>
      <c r="G153" s="42">
        <f>G148-G60</f>
        <v/>
      </c>
    </row>
    <row r="154">
      <c r="A154" s="41" t="inlineStr">
        <is>
          <t>Free cash flow (CFS) – year 2</t>
        </is>
      </c>
      <c r="E154" s="42">
        <f>E149-E61</f>
        <v/>
      </c>
      <c r="F154" s="42">
        <f>F149-F61</f>
        <v/>
      </c>
      <c r="G154" s="42">
        <f>G149-G61</f>
        <v/>
      </c>
    </row>
    <row r="155">
      <c r="A155" s="41" t="inlineStr">
        <is>
          <t>Free cash flow (CFS) – year 3</t>
        </is>
      </c>
      <c r="E155" s="42">
        <f>E150-E62</f>
        <v/>
      </c>
      <c r="F155" s="42">
        <f>F150-F62</f>
        <v/>
      </c>
      <c r="G155" s="42">
        <f>G150-G62</f>
        <v/>
      </c>
    </row>
    <row r="156">
      <c r="A156" s="41" t="inlineStr">
        <is>
          <t>Free cash flow (CFS) – year 4</t>
        </is>
      </c>
      <c r="E156" s="42">
        <f>E151-E63</f>
        <v/>
      </c>
      <c r="F156" s="42">
        <f>F151-F63</f>
        <v/>
      </c>
      <c r="G156" s="42">
        <f>G151-G63</f>
        <v/>
      </c>
    </row>
    <row r="157">
      <c r="A157" s="41" t="inlineStr">
        <is>
          <t>Free cash flow (CFS) – year 5</t>
        </is>
      </c>
      <c r="E157" s="42">
        <f>E152-E64</f>
        <v/>
      </c>
      <c r="F157" s="42">
        <f>F152-F64</f>
        <v/>
      </c>
      <c r="G157" s="42">
        <f>G152-G64</f>
        <v/>
      </c>
    </row>
    <row r="158">
      <c r="A158" s="41" t="inlineStr">
        <is>
          <t>Share repurchases – year 1</t>
        </is>
      </c>
      <c r="E158" s="42">
        <f>-E21</f>
        <v/>
      </c>
      <c r="F158" s="42">
        <f>-F21</f>
        <v/>
      </c>
      <c r="G158" s="42">
        <f>-ROUND(G22*G153,0)</f>
        <v/>
      </c>
    </row>
    <row r="159">
      <c r="A159" s="41" t="inlineStr">
        <is>
          <t>Share repurchases – year 2</t>
        </is>
      </c>
      <c r="E159" s="42">
        <f>-E21</f>
        <v/>
      </c>
      <c r="F159" s="42">
        <f>-F21</f>
        <v/>
      </c>
      <c r="G159" s="42">
        <f>-ROUND(G22*G154,0)</f>
        <v/>
      </c>
    </row>
    <row r="160">
      <c r="A160" s="41" t="inlineStr">
        <is>
          <t>Share repurchases – year 3</t>
        </is>
      </c>
      <c r="E160" s="42">
        <f>-E21</f>
        <v/>
      </c>
      <c r="F160" s="42">
        <f>-F21</f>
        <v/>
      </c>
      <c r="G160" s="42">
        <f>-ROUND(G22*G155,0)</f>
        <v/>
      </c>
    </row>
    <row r="161">
      <c r="A161" s="41" t="inlineStr">
        <is>
          <t>Share repurchases – year 4</t>
        </is>
      </c>
      <c r="E161" s="42">
        <f>-E21</f>
        <v/>
      </c>
      <c r="F161" s="42">
        <f>-F21</f>
        <v/>
      </c>
      <c r="G161" s="42">
        <f>-ROUND(G22*G156,0)</f>
        <v/>
      </c>
    </row>
    <row r="162">
      <c r="A162" s="41" t="inlineStr">
        <is>
          <t>Share repurchases – year 5</t>
        </is>
      </c>
      <c r="E162" s="42">
        <f>-E21</f>
        <v/>
      </c>
      <c r="F162" s="42">
        <f>-F21</f>
        <v/>
      </c>
      <c r="G162" s="42">
        <f>-ROUND(G22*G157,0)</f>
        <v/>
      </c>
    </row>
    <row r="163">
      <c r="A163" s="41" t="inlineStr">
        <is>
          <t>Cash &amp; equivalents – year 1</t>
        </is>
      </c>
      <c r="E163" s="42">
        <f>1807202+E153+E158</f>
        <v/>
      </c>
      <c r="F163" s="42">
        <f>1807202+F153+F158</f>
        <v/>
      </c>
      <c r="G163" s="42">
        <f>1807202+G153+G158</f>
        <v/>
      </c>
    </row>
    <row r="164">
      <c r="A164" s="41" t="inlineStr">
        <is>
          <t>Cash &amp; equivalents – year 2</t>
        </is>
      </c>
      <c r="E164" s="42">
        <f>E163+E154+E159</f>
        <v/>
      </c>
      <c r="F164" s="42">
        <f>F163+F154+F159</f>
        <v/>
      </c>
      <c r="G164" s="42">
        <f>G163+G154+G159</f>
        <v/>
      </c>
    </row>
    <row r="165">
      <c r="A165" s="41" t="inlineStr">
        <is>
          <t>Cash &amp; equivalents – year 3</t>
        </is>
      </c>
      <c r="E165" s="42">
        <f>E164+E155+E160</f>
        <v/>
      </c>
      <c r="F165" s="42">
        <f>F164+F155+F160</f>
        <v/>
      </c>
      <c r="G165" s="42">
        <f>G164+G155+G160</f>
        <v/>
      </c>
    </row>
    <row r="166">
      <c r="A166" s="41" t="inlineStr">
        <is>
          <t>Cash &amp; equivalents – year 4</t>
        </is>
      </c>
      <c r="E166" s="42">
        <f>E165+E156+E161</f>
        <v/>
      </c>
      <c r="F166" s="42">
        <f>F165+F156+F161</f>
        <v/>
      </c>
      <c r="G166" s="42">
        <f>G165+G156+G161</f>
        <v/>
      </c>
    </row>
    <row r="167">
      <c r="A167" s="41" t="inlineStr">
        <is>
          <t>Cash &amp; equivalents – year 5</t>
        </is>
      </c>
      <c r="E167" s="42">
        <f>E166+E157+E162</f>
        <v/>
      </c>
      <c r="F167" s="42">
        <f>F166+F157+F162</f>
        <v/>
      </c>
      <c r="G167" s="42">
        <f>G166+G157+G162</f>
        <v/>
      </c>
    </row>
    <row r="168">
      <c r="A168" s="41" t="inlineStr">
        <is>
          <t>Total assets – year 1</t>
        </is>
      </c>
      <c r="E168" s="42">
        <f>8456743*E25/11102600</f>
        <v/>
      </c>
      <c r="F168" s="42">
        <f>8456743*F25/11102600</f>
        <v/>
      </c>
      <c r="G168" s="42">
        <f>8456743*G25/11102600</f>
        <v/>
      </c>
    </row>
    <row r="169">
      <c r="A169" s="41" t="inlineStr">
        <is>
          <t>Total assets – year 2</t>
        </is>
      </c>
      <c r="E169" s="42">
        <f>8456743*E26/11102600</f>
        <v/>
      </c>
      <c r="F169" s="42">
        <f>8456743*F26/11102600</f>
        <v/>
      </c>
      <c r="G169" s="42">
        <f>8456743*G26/11102600</f>
        <v/>
      </c>
    </row>
    <row r="170">
      <c r="A170" s="41" t="inlineStr">
        <is>
          <t>Total assets – year 3</t>
        </is>
      </c>
      <c r="E170" s="42">
        <f>8456743*E27/11102600</f>
        <v/>
      </c>
      <c r="F170" s="42">
        <f>8456743*F27/11102600</f>
        <v/>
      </c>
      <c r="G170" s="42">
        <f>8456743*G27/11102600</f>
        <v/>
      </c>
    </row>
    <row r="171">
      <c r="A171" s="41" t="inlineStr">
        <is>
          <t>Total assets – year 4</t>
        </is>
      </c>
      <c r="E171" s="42">
        <f>8456743*E28/11102600</f>
        <v/>
      </c>
      <c r="F171" s="42">
        <f>8456743*F28/11102600</f>
        <v/>
      </c>
      <c r="G171" s="42">
        <f>8456743*G28/11102600</f>
        <v/>
      </c>
    </row>
    <row r="172">
      <c r="A172" s="41" t="inlineStr">
        <is>
          <t>Total assets – year 5</t>
        </is>
      </c>
      <c r="E172" s="42">
        <f>8456743*E29/11102600</f>
        <v/>
      </c>
      <c r="F172" s="42">
        <f>8456743*F29/11102600</f>
        <v/>
      </c>
      <c r="G172" s="42">
        <f>8456743*G29/11102600</f>
        <v/>
      </c>
    </row>
    <row r="173">
      <c r="A173" s="41" t="inlineStr">
        <is>
          <t>Total liabilities – year 1</t>
        </is>
      </c>
      <c r="E173" s="42">
        <f>3494903*E25/11102600</f>
        <v/>
      </c>
      <c r="F173" s="42">
        <f>3494903*F25/11102600</f>
        <v/>
      </c>
      <c r="G173" s="42">
        <f>3494903*G25/11102600</f>
        <v/>
      </c>
    </row>
    <row r="174">
      <c r="A174" s="41" t="inlineStr">
        <is>
          <t>Total liabilities – year 2</t>
        </is>
      </c>
      <c r="E174" s="42">
        <f>3494903*E26/11102600</f>
        <v/>
      </c>
      <c r="F174" s="42">
        <f>3494903*F26/11102600</f>
        <v/>
      </c>
      <c r="G174" s="42">
        <f>3494903*G26/11102600</f>
        <v/>
      </c>
    </row>
    <row r="175">
      <c r="A175" s="41" t="inlineStr">
        <is>
          <t>Total liabilities – year 3</t>
        </is>
      </c>
      <c r="E175" s="42">
        <f>3494903*E27/11102600</f>
        <v/>
      </c>
      <c r="F175" s="42">
        <f>3494903*F27/11102600</f>
        <v/>
      </c>
      <c r="G175" s="42">
        <f>3494903*G27/11102600</f>
        <v/>
      </c>
    </row>
    <row r="176">
      <c r="A176" s="41" t="inlineStr">
        <is>
          <t>Total liabilities – year 4</t>
        </is>
      </c>
      <c r="E176" s="42">
        <f>3494903*E28/11102600</f>
        <v/>
      </c>
      <c r="F176" s="42">
        <f>3494903*F28/11102600</f>
        <v/>
      </c>
      <c r="G176" s="42">
        <f>3494903*G28/11102600</f>
        <v/>
      </c>
    </row>
    <row r="177">
      <c r="A177" s="41" t="inlineStr">
        <is>
          <t>Total liabilities – year 5</t>
        </is>
      </c>
      <c r="E177" s="42">
        <f>3494903*E29/11102600</f>
        <v/>
      </c>
      <c r="F177" s="42">
        <f>3494903*F29/11102600</f>
        <v/>
      </c>
      <c r="G177" s="42">
        <f>3494903*G29/11102600</f>
        <v/>
      </c>
    </row>
    <row r="178">
      <c r="A178" s="41" t="inlineStr">
        <is>
          <t>Total equity – year 1</t>
        </is>
      </c>
      <c r="E178" s="42">
        <f>4961840*E25/11102600</f>
        <v/>
      </c>
      <c r="F178" s="42">
        <f>4961840*F25/11102600</f>
        <v/>
      </c>
      <c r="G178" s="42">
        <f>4961840*G25/11102600</f>
        <v/>
      </c>
    </row>
    <row r="179">
      <c r="A179" s="41" t="inlineStr">
        <is>
          <t>Total equity – year 2</t>
        </is>
      </c>
      <c r="E179" s="42">
        <f>4961840*E26/11102600</f>
        <v/>
      </c>
      <c r="F179" s="42">
        <f>4961840*F26/11102600</f>
        <v/>
      </c>
      <c r="G179" s="42">
        <f>4961840*G26/11102600</f>
        <v/>
      </c>
    </row>
    <row r="180">
      <c r="A180" s="41" t="inlineStr">
        <is>
          <t>Total equity – year 3</t>
        </is>
      </c>
      <c r="E180" s="42">
        <f>4961840*E27/11102600</f>
        <v/>
      </c>
      <c r="F180" s="42">
        <f>4961840*F27/11102600</f>
        <v/>
      </c>
      <c r="G180" s="42">
        <f>4961840*G27/11102600</f>
        <v/>
      </c>
    </row>
    <row r="181">
      <c r="A181" s="41" t="inlineStr">
        <is>
          <t>Total equity – year 4</t>
        </is>
      </c>
      <c r="E181" s="42">
        <f>4961840*E28/11102600</f>
        <v/>
      </c>
      <c r="F181" s="42">
        <f>4961840*F28/11102600</f>
        <v/>
      </c>
      <c r="G181" s="42">
        <f>4961840*G28/11102600</f>
        <v/>
      </c>
    </row>
    <row r="182">
      <c r="A182" s="41" t="inlineStr">
        <is>
          <t>Total equity – year 5</t>
        </is>
      </c>
      <c r="E182" s="42">
        <f>4961840*E29/11102600</f>
        <v/>
      </c>
      <c r="F182" s="42">
        <f>4961840*F29/11102600</f>
        <v/>
      </c>
      <c r="G182" s="42">
        <f>4961840*G29/11102600</f>
        <v/>
      </c>
    </row>
    <row r="183">
      <c r="A183" s="41" t="inlineStr">
        <is>
          <t>Diluted shares (000) – year 1</t>
        </is>
      </c>
      <c r="E183" s="42">
        <f>119068-E21/100</f>
        <v/>
      </c>
      <c r="F183" s="42">
        <f>119068-F21/100</f>
        <v/>
      </c>
      <c r="G183" s="42">
        <f>119068-ROUND(G22*G153,0)/100</f>
        <v/>
      </c>
    </row>
    <row r="184">
      <c r="A184" s="41" t="inlineStr">
        <is>
          <t>Diluted shares (000) – year 2</t>
        </is>
      </c>
      <c r="E184" s="42">
        <f>E183-E21/108</f>
        <v/>
      </c>
      <c r="F184" s="42">
        <f>F183-F21/108</f>
        <v/>
      </c>
      <c r="G184" s="42">
        <f>G183-ROUND(G22*G154,0)/108</f>
        <v/>
      </c>
    </row>
    <row r="185">
      <c r="A185" s="41" t="inlineStr">
        <is>
          <t>Diluted shares (000) – year 3</t>
        </is>
      </c>
      <c r="E185" s="42">
        <f>E184-E21/115</f>
        <v/>
      </c>
      <c r="F185" s="42">
        <f>F184-F21/115</f>
        <v/>
      </c>
      <c r="G185" s="42">
        <f>G184-ROUND(G22*G155,0)/115</f>
        <v/>
      </c>
    </row>
    <row r="186">
      <c r="A186" s="41" t="inlineStr">
        <is>
          <t>Diluted shares (000) – year 4</t>
        </is>
      </c>
      <c r="E186" s="42">
        <f>E185-E21/122</f>
        <v/>
      </c>
      <c r="F186" s="42">
        <f>F185-F21/122</f>
        <v/>
      </c>
      <c r="G186" s="42">
        <f>G185-ROUND(G22*G156,0)/122</f>
        <v/>
      </c>
    </row>
    <row r="187">
      <c r="A187" s="41" t="inlineStr">
        <is>
          <t>Diluted shares (000) – year 5</t>
        </is>
      </c>
      <c r="E187" s="42">
        <f>E186-E21/130</f>
        <v/>
      </c>
      <c r="F187" s="42">
        <f>F186-F21/130</f>
        <v/>
      </c>
      <c r="G187" s="42">
        <f>G186-ROUND(G22*G157,0)/130</f>
        <v/>
      </c>
    </row>
    <row r="188">
      <c r="A188" s="41" t="inlineStr">
        <is>
          <t>Diluted EPS ($) – year 1</t>
        </is>
      </c>
      <c r="E188" s="49">
        <f>E143/E183</f>
        <v/>
      </c>
      <c r="F188" s="49">
        <f>F143/F183</f>
        <v/>
      </c>
      <c r="G188" s="49">
        <f>G143/G183</f>
        <v/>
      </c>
    </row>
    <row r="189">
      <c r="A189" s="41" t="inlineStr">
        <is>
          <t>Diluted EPS ($) – year 2</t>
        </is>
      </c>
      <c r="E189" s="49">
        <f>E144/E184</f>
        <v/>
      </c>
      <c r="F189" s="49">
        <f>F144/F184</f>
        <v/>
      </c>
      <c r="G189" s="49">
        <f>G144/G184</f>
        <v/>
      </c>
    </row>
    <row r="190">
      <c r="A190" s="41" t="inlineStr">
        <is>
          <t>Diluted EPS ($) – year 3</t>
        </is>
      </c>
      <c r="E190" s="49">
        <f>E145/E185</f>
        <v/>
      </c>
      <c r="F190" s="49">
        <f>F145/F185</f>
        <v/>
      </c>
      <c r="G190" s="49">
        <f>G145/G185</f>
        <v/>
      </c>
    </row>
    <row r="191">
      <c r="A191" s="41" t="inlineStr">
        <is>
          <t>Diluted EPS ($) – year 4</t>
        </is>
      </c>
      <c r="E191" s="49">
        <f>E146/E186</f>
        <v/>
      </c>
      <c r="F191" s="49">
        <f>F146/F186</f>
        <v/>
      </c>
      <c r="G191" s="49">
        <f>G146/G186</f>
        <v/>
      </c>
    </row>
    <row r="192">
      <c r="A192" s="41" t="inlineStr">
        <is>
          <t>Diluted EPS ($) – year 5</t>
        </is>
      </c>
      <c r="E192" s="49">
        <f>E147/E187</f>
        <v/>
      </c>
      <c r="F192" s="49">
        <f>F147/F187</f>
        <v/>
      </c>
      <c r="G192" s="49">
        <f>G147/G187</f>
        <v/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E41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/>
    <pageSetUpPr/>
  </sheetPr>
  <dimension ref="A1:J56"/>
  <sheetViews>
    <sheetView showGridLines="0" showOutlineSymbols="1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40" customWidth="1" min="9" max="9"/>
    <col hidden="1" outlineLevel="1" width="28" customWidth="1" min="10" max="10"/>
    <col hidden="1" outlineLevel="1" width="16" customWidth="1" min="11" max="11"/>
    <col width="36" customWidth="1" min="12" max="12"/>
  </cols>
  <sheetData>
    <row r="1">
      <c r="A1" s="50" t="inlineStr">
        <is>
          <t>BOTTOM-UP REVENUE DRIVER SCHEDULE (FY2026E–FY2030E)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26" t="inlineStr">
        <is>
          <t>FY2025A = historical 10-K anchors (blue). FY26–30 = red operational assumptions.</t>
        </is>
      </c>
    </row>
    <row r="3">
      <c r="I3" s="51" t="inlineStr">
        <is>
          <t>Justification (~20 words)</t>
        </is>
      </c>
      <c r="J3" s="51" t="n"/>
    </row>
    <row r="4">
      <c r="A4" s="52" t="inlineStr">
        <is>
          <t>I. STORE FLEET &amp; SQUARE FOOTAGE (company-operated)</t>
        </is>
      </c>
    </row>
    <row r="5">
      <c r="A5" s="53" t="inlineStr">
        <is>
          <t>Driver</t>
        </is>
      </c>
      <c r="B5" s="54" t="inlineStr">
        <is>
          <t>FY2025A</t>
        </is>
      </c>
      <c r="C5" s="55" t="inlineStr">
        <is>
          <t>FY2026E</t>
        </is>
      </c>
      <c r="D5" s="54" t="inlineStr">
        <is>
          <t>FY2027E</t>
        </is>
      </c>
      <c r="E5" s="54" t="inlineStr">
        <is>
          <t>FY2028E</t>
        </is>
      </c>
      <c r="F5" s="54" t="inlineStr">
        <is>
          <t>FY2029E</t>
        </is>
      </c>
      <c r="G5" s="54" t="inlineStr">
        <is>
          <t>FY2030E</t>
        </is>
      </c>
      <c r="H5" s="54" t="inlineStr">
        <is>
          <t>Units</t>
        </is>
      </c>
      <c r="I5" s="56" t="inlineStr">
        <is>
          <t>Justification  [cols I–L: click + to expand]</t>
        </is>
      </c>
      <c r="J5" s="56" t="n"/>
    </row>
    <row r="6" ht="28" customHeight="1">
      <c r="A6" s="41" t="inlineStr">
        <is>
          <t>Americas — beginning stores</t>
        </is>
      </c>
      <c r="B6" s="57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8" t="inlineStr">
        <is>
          <t>stores</t>
        </is>
      </c>
      <c r="I6" s="17" t="inlineStr">
        <is>
          <t>Beginning stores = last year's ending count. Same number, just carried forward into the new fiscal year.</t>
        </is>
      </c>
    </row>
    <row r="7" ht="28" customHeight="1">
      <c r="A7" s="41" t="inlineStr">
        <is>
          <t>Americas — openings</t>
        </is>
      </c>
      <c r="C7" s="60" t="n">
        <v>8</v>
      </c>
      <c r="D7" s="60" t="n">
        <v>7</v>
      </c>
      <c r="E7" s="60" t="n">
        <v>6</v>
      </c>
      <c r="F7" s="60" t="n">
        <v>5</v>
      </c>
      <c r="G7" s="60" t="n">
        <v>4</v>
      </c>
      <c r="H7" s="58" t="inlineStr">
        <is>
          <t>stores</t>
        </is>
      </c>
      <c r="I7" s="17" t="inlineStr">
        <is>
          <t>Store openings skew to China (+20 FY26) vs mature Americas (+8). Anchored to FY25 +44 net stores and 11% sq-ft growth.</t>
        </is>
      </c>
      <c r="J7" s="19" t="inlineStr">
        <is>
          <t>. FY25 added 44 net stores; model skews openings to China.</t>
        </is>
      </c>
    </row>
    <row r="8" ht="28" customHeight="1">
      <c r="A8" s="41" t="inlineStr">
        <is>
          <t>Americas — closures</t>
        </is>
      </c>
      <c r="C8" s="60" t="n">
        <v>3</v>
      </c>
      <c r="D8" s="60" t="n">
        <v>3</v>
      </c>
      <c r="E8" s="60" t="n">
        <v>2</v>
      </c>
      <c r="F8" s="60" t="n">
        <v>2</v>
      </c>
      <c r="G8" s="60" t="n">
        <v>2</v>
      </c>
      <c r="H8" s="58" t="inlineStr">
        <is>
          <t>stores</t>
        </is>
      </c>
      <c r="I8" s="17" t="inlineStr">
        <is>
          <t>Closures assume 2–3 per mature region annually as leases roll; immaterial vs openings in expansion markets.</t>
        </is>
      </c>
      <c r="J8" s="19" t="inlineStr">
        <is>
          <t>.</t>
        </is>
      </c>
    </row>
    <row r="9" ht="28" customHeight="1">
      <c r="A9" s="61" t="inlineStr">
        <is>
          <t>Americas — ending stores</t>
        </is>
      </c>
      <c r="B9" s="57" t="n">
        <v>476</v>
      </c>
      <c r="C9" s="62">
        <f>C6+C7-C8</f>
        <v/>
      </c>
      <c r="D9" s="62">
        <f>D6+D7-D8</f>
        <v/>
      </c>
      <c r="E9" s="62">
        <f>E6+E7-E8</f>
        <v/>
      </c>
      <c r="F9" s="62">
        <f>F6+F7-F8</f>
        <v/>
      </c>
      <c r="G9" s="62">
        <f>G6+G7-G8</f>
        <v/>
      </c>
      <c r="H9" s="58" t="inlineStr">
        <is>
          <t>stores</t>
        </is>
      </c>
      <c r="I9" s="17" t="inlineStr">
        <is>
          <t>Simple roll-forward: where you started, plus openings, minus closures. That's your ending store count for the year.</t>
        </is>
      </c>
    </row>
    <row r="10" ht="28" customHeight="1">
      <c r="A10" s="41" t="inlineStr">
        <is>
          <t>China Mainland — beginning stores</t>
        </is>
      </c>
      <c r="B10" s="57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8" t="inlineStr">
        <is>
          <t>stores</t>
        </is>
      </c>
      <c r="I10" s="17" t="inlineStr">
        <is>
          <t>Beginning stores = last year's ending count. Same number, just carried forward into the new fiscal year.</t>
        </is>
      </c>
    </row>
    <row r="11" ht="28" customHeight="1">
      <c r="A11" s="41" t="inlineStr">
        <is>
          <t>China Mainland — openings</t>
        </is>
      </c>
      <c r="C11" s="60" t="n">
        <v>20</v>
      </c>
      <c r="D11" s="60" t="n">
        <v>18</v>
      </c>
      <c r="E11" s="60" t="n">
        <v>16</v>
      </c>
      <c r="F11" s="60" t="n">
        <v>14</v>
      </c>
      <c r="G11" s="60" t="n">
        <v>12</v>
      </c>
      <c r="H11" s="58" t="inlineStr">
        <is>
          <t>stores</t>
        </is>
      </c>
      <c r="I11" s="17" t="inlineStr">
        <is>
          <t>Store openings skew to China (+20 FY26) vs mature Americas (+8). Anchored to FY25 +44 net stores and 11% sq-ft growth.</t>
        </is>
      </c>
      <c r="J11" s="19" t="inlineStr">
        <is>
          <t>. FY25 added 44 net stores; model skews openings to China.</t>
        </is>
      </c>
    </row>
    <row r="12" ht="28" customHeight="1">
      <c r="A12" s="41" t="inlineStr">
        <is>
          <t>China Mainland — closures</t>
        </is>
      </c>
      <c r="C12" s="60" t="n">
        <v>1</v>
      </c>
      <c r="D12" s="60" t="n">
        <v>1</v>
      </c>
      <c r="E12" s="60" t="n">
        <v>1</v>
      </c>
      <c r="F12" s="60" t="n">
        <v>1</v>
      </c>
      <c r="G12" s="60" t="n">
        <v>1</v>
      </c>
      <c r="H12" s="58" t="inlineStr">
        <is>
          <t>stores</t>
        </is>
      </c>
      <c r="I12" s="17" t="inlineStr">
        <is>
          <t>Closures assume 2–3 per mature region annually as leases roll; immaterial vs openings in expansion markets.</t>
        </is>
      </c>
      <c r="J12" s="19" t="inlineStr">
        <is>
          <t>.</t>
        </is>
      </c>
    </row>
    <row r="13" ht="28" customHeight="1">
      <c r="A13" s="61" t="inlineStr">
        <is>
          <t>China Mainland — ending stores</t>
        </is>
      </c>
      <c r="B13" s="57" t="n">
        <v>172</v>
      </c>
      <c r="C13" s="62">
        <f>C10+C11-C12</f>
        <v/>
      </c>
      <c r="D13" s="62">
        <f>D10+D11-D12</f>
        <v/>
      </c>
      <c r="E13" s="62">
        <f>E10+E11-E12</f>
        <v/>
      </c>
      <c r="F13" s="62">
        <f>F10+F11-F12</f>
        <v/>
      </c>
      <c r="G13" s="62">
        <f>G10+G11-G12</f>
        <v/>
      </c>
      <c r="H13" s="58" t="inlineStr">
        <is>
          <t>stores</t>
        </is>
      </c>
      <c r="I13" s="17" t="inlineStr">
        <is>
          <t>Simple roll-forward: where you started, plus openings, minus closures. That's your ending store count for the year.</t>
        </is>
      </c>
    </row>
    <row r="14" ht="28" customHeight="1">
      <c r="A14" s="41" t="inlineStr">
        <is>
          <t>Rest of World — beginning stores</t>
        </is>
      </c>
      <c r="B14" s="57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8" t="inlineStr">
        <is>
          <t>stores</t>
        </is>
      </c>
      <c r="I14" s="17" t="inlineStr">
        <is>
          <t>Beginning stores = last year's ending count. Same number, just carried forward into the new fiscal year.</t>
        </is>
      </c>
    </row>
    <row r="15" ht="28" customHeight="1">
      <c r="A15" s="41" t="inlineStr">
        <is>
          <t>Rest of World — openings</t>
        </is>
      </c>
      <c r="C15" s="60" t="n">
        <v>7</v>
      </c>
      <c r="D15" s="60" t="n">
        <v>6</v>
      </c>
      <c r="E15" s="60" t="n">
        <v>5</v>
      </c>
      <c r="F15" s="60" t="n">
        <v>5</v>
      </c>
      <c r="G15" s="60" t="n">
        <v>4</v>
      </c>
      <c r="H15" s="58" t="inlineStr">
        <is>
          <t>stores</t>
        </is>
      </c>
      <c r="I15" s="17" t="inlineStr">
        <is>
          <t>Store openings skew to China (+20 FY26) vs mature Americas (+8). Anchored to FY25 +44 net stores and 11% sq-ft growth.</t>
        </is>
      </c>
      <c r="J15" s="19" t="inlineStr">
        <is>
          <t>. FY25 added 44 net stores; model skews openings to China.</t>
        </is>
      </c>
    </row>
    <row r="16" ht="28" customHeight="1">
      <c r="A16" s="41" t="inlineStr">
        <is>
          <t>Rest of World — closures</t>
        </is>
      </c>
      <c r="C16" s="60" t="n">
        <v>2</v>
      </c>
      <c r="D16" s="60" t="n">
        <v>2</v>
      </c>
      <c r="E16" s="60" t="n">
        <v>2</v>
      </c>
      <c r="F16" s="60" t="n">
        <v>2</v>
      </c>
      <c r="G16" s="60" t="n">
        <v>2</v>
      </c>
      <c r="H16" s="58" t="inlineStr">
        <is>
          <t>stores</t>
        </is>
      </c>
      <c r="I16" s="17" t="inlineStr">
        <is>
          <t>Closures assume 2–3 per mature region annually as leases roll; immaterial vs openings in expansion markets.</t>
        </is>
      </c>
      <c r="J16" s="19" t="inlineStr">
        <is>
          <t>.</t>
        </is>
      </c>
    </row>
    <row r="17" ht="28" customHeight="1">
      <c r="A17" s="61" t="inlineStr">
        <is>
          <t>Rest of World — ending stores</t>
        </is>
      </c>
      <c r="B17" s="57" t="n">
        <v>163</v>
      </c>
      <c r="C17" s="62">
        <f>C14+C15-C16</f>
        <v/>
      </c>
      <c r="D17" s="62">
        <f>D14+D15-D16</f>
        <v/>
      </c>
      <c r="E17" s="62">
        <f>E14+E15-E16</f>
        <v/>
      </c>
      <c r="F17" s="62">
        <f>F14+F15-F16</f>
        <v/>
      </c>
      <c r="G17" s="62">
        <f>G14+G15-G16</f>
        <v/>
      </c>
      <c r="H17" s="58" t="inlineStr">
        <is>
          <t>stores</t>
        </is>
      </c>
      <c r="I17" s="17" t="inlineStr">
        <is>
          <t>Simple roll-forward: where you started, plus openings, minus closures. That's your ending store count for the year.</t>
        </is>
      </c>
    </row>
    <row r="18" ht="28" customHeight="1">
      <c r="A18" s="61" t="inlineStr">
        <is>
          <t>Total ending stores</t>
        </is>
      </c>
      <c r="B18" s="63" t="n">
        <v>811</v>
      </c>
      <c r="C18" s="62">
        <f>C9+C13+C17</f>
        <v/>
      </c>
      <c r="D18" s="62">
        <f>D9+D13+D17</f>
        <v/>
      </c>
      <c r="E18" s="62">
        <f>E9+E13+E17</f>
        <v/>
      </c>
      <c r="F18" s="62">
        <f>F9+F13+F17</f>
        <v/>
      </c>
      <c r="G18" s="62">
        <f>G9+G13+G17</f>
        <v/>
      </c>
      <c r="I18" s="17" t="inlineStr">
        <is>
          <t>Add up Americas + China + RoW ending stores. Should tie to the 10-K total company-operated count.</t>
        </is>
      </c>
    </row>
    <row r="19" ht="28" customHeight="1">
      <c r="A19" s="41" t="inlineStr">
        <is>
          <t>Avg square feet per store</t>
        </is>
      </c>
      <c r="B19" s="60" t="n">
        <v>4366</v>
      </c>
      <c r="C19" s="60" t="n">
        <v>4400</v>
      </c>
      <c r="D19" s="60" t="n">
        <v>4425</v>
      </c>
      <c r="E19" s="60" t="n">
        <v>4450</v>
      </c>
      <c r="F19" s="60" t="n">
        <v>4475</v>
      </c>
      <c r="G19" s="60" t="n">
        <v>4500</v>
      </c>
      <c r="H19" s="58" t="inlineStr">
        <is>
          <t>sq ft</t>
        </is>
      </c>
      <c r="I19" s="17" t="inlineStr">
        <is>
          <t>4,367 avg sq ft/store = implied FY25 total sq ft / 811 stores. Modest expansion to 4,500 by FY30.</t>
        </is>
      </c>
      <c r="J19" s="19" t="inlineStr">
        <is>
          <t>.54M sq ft / 811 stores ≈ 4,367 sq ft.</t>
        </is>
      </c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8" t="inlineStr">
        <is>
          <t>sq ft</t>
        </is>
      </c>
      <c r="I20" s="17" t="inlineStr">
        <is>
          <t>Ending stores times avg sq ft per box. Gives you total fleet square footage for the productivity math.</t>
        </is>
      </c>
    </row>
    <row r="22">
      <c r="A22" s="52" t="inlineStr">
        <is>
          <t>II. STORE PRODUCTIVITY (brick &amp; mortar channel)</t>
        </is>
      </c>
    </row>
    <row r="23">
      <c r="A23" s="53" t="inlineStr">
        <is>
          <t>Driver</t>
        </is>
      </c>
      <c r="B23" s="54" t="inlineStr">
        <is>
          <t>FY2025A</t>
        </is>
      </c>
      <c r="C23" s="55" t="inlineStr">
        <is>
          <t>FY2026E</t>
        </is>
      </c>
      <c r="D23" s="54" t="inlineStr">
        <is>
          <t>FY2027E</t>
        </is>
      </c>
      <c r="E23" s="54" t="inlineStr">
        <is>
          <t>FY2028E</t>
        </is>
      </c>
      <c r="F23" s="54" t="inlineStr">
        <is>
          <t>FY2029E</t>
        </is>
      </c>
      <c r="G23" s="54" t="inlineStr">
        <is>
          <t>FY2030E</t>
        </is>
      </c>
      <c r="H23" s="54" t="inlineStr">
        <is>
          <t>Units</t>
        </is>
      </c>
      <c r="I23" s="56" t="inlineStr">
        <is>
          <t>Justification  [cols I–L: click + to expand]</t>
        </is>
      </c>
      <c r="J23" s="56" t="n"/>
    </row>
    <row r="24" ht="28" customHeight="1">
      <c r="A24" s="41" t="inlineStr">
        <is>
          <t>Sales per square foot ($)</t>
        </is>
      </c>
      <c r="B24" s="60" t="n">
        <v>1426</v>
      </c>
      <c r="C24" s="60" t="n">
        <v>1360</v>
      </c>
      <c r="D24" s="60" t="n">
        <v>1380</v>
      </c>
      <c r="E24" s="60" t="n">
        <v>1400</v>
      </c>
      <c r="F24" s="60" t="n">
        <v>1420</v>
      </c>
      <c r="G24" s="60" t="n">
        <v>1440</v>
      </c>
      <c r="H24" s="58" t="inlineStr">
        <is>
          <t>$/sq ft</t>
        </is>
      </c>
      <c r="I24" s="17" t="inlineStr">
        <is>
          <t>FY26 SPSF $1,380 reflects Americas traffic/conversion pressure; recovers toward $1,440 by FY30.</t>
        </is>
      </c>
      <c r="J24" s="19" t="inlineStr">
        <is>
          <t>.</t>
        </is>
      </c>
    </row>
    <row r="25" ht="28" customHeight="1">
      <c r="A25" s="41" t="inlineStr">
        <is>
          <t>Americas — comparable sales growth</t>
        </is>
      </c>
      <c r="B25" s="64" t="n">
        <v>-0.03</v>
      </c>
      <c r="C25" s="64" t="n">
        <v>-0.04</v>
      </c>
      <c r="D25" s="64" t="n">
        <v>0</v>
      </c>
      <c r="E25" s="64" t="n">
        <v>0.01</v>
      </c>
      <c r="F25" s="64" t="n">
        <v>0.02</v>
      </c>
      <c r="G25" s="64" t="n">
        <v>0.02</v>
      </c>
      <c r="H25" s="58" t="inlineStr">
        <is>
          <t>%</t>
        </is>
      </c>
      <c r="I25" s="17" t="inlineStr">
        <is>
          <t>FY25 Americas comp −3% per 10-K (traffic, conversion, AOV down). FY26 −4%: modest step-down before flat FY27 as promo clears.</t>
        </is>
      </c>
      <c r="J25" s="19" t="inlineStr">
        <is>
          <t>. FY26 model −4% before stabilization.</t>
        </is>
      </c>
    </row>
    <row r="26" ht="28" customHeight="1">
      <c r="A26" s="41" t="inlineStr">
        <is>
          <t>China Mainland — comparable sales growth</t>
        </is>
      </c>
      <c r="B26" s="64" t="n">
        <v>0.2</v>
      </c>
      <c r="C26" s="64" t="n">
        <v>0.14</v>
      </c>
      <c r="D26" s="64" t="n">
        <v>0.12</v>
      </c>
      <c r="E26" s="64" t="n">
        <v>0.1</v>
      </c>
      <c r="F26" s="64" t="n">
        <v>0.08</v>
      </c>
      <c r="G26" s="64" t="n">
        <v>0.07000000000000001</v>
      </c>
      <c r="H26" s="58" t="inlineStr">
        <is>
          <t>%</t>
        </is>
      </c>
      <c r="I26" s="17" t="inlineStr">
        <is>
          <t>FY25 China comp +20% (+19% CCY) per 10-K. FY26 +14%: still fastest region but moderating as the store base scales.</t>
        </is>
      </c>
      <c r="J26" s="19" t="inlineStr">
        <is>
          <t>. FY26 model +14% on a larger base.</t>
        </is>
      </c>
    </row>
    <row r="27" ht="28" customHeight="1">
      <c r="A27" s="41" t="inlineStr">
        <is>
          <t>Rest of World — comparable sales growth</t>
        </is>
      </c>
      <c r="B27" s="64" t="n">
        <v>0.09</v>
      </c>
      <c r="C27" s="64" t="n">
        <v>0.07000000000000001</v>
      </c>
      <c r="D27" s="64" t="n">
        <v>0.06</v>
      </c>
      <c r="E27" s="64" t="n">
        <v>0.05</v>
      </c>
      <c r="F27" s="64" t="n">
        <v>0.04</v>
      </c>
      <c r="G27" s="64" t="n">
        <v>0.04</v>
      </c>
      <c r="H27" s="58" t="inlineStr">
        <is>
          <t>%</t>
        </is>
      </c>
      <c r="I27" s="17" t="inlineStr">
        <is>
          <t>FY25 RoW comp +9% (+7% CCY) per 10-K. FY26 +7%: hold above CCY, fade to +4% by FY30 as APAC/Europe base matures.</t>
        </is>
      </c>
      <c r="J27" s="19" t="inlineStr">
        <is>
          <t>. FY26 model +7%, fading to +4%.</t>
        </is>
      </c>
    </row>
    <row r="28" ht="28" customHeight="1">
      <c r="A28" s="41" t="inlineStr">
        <is>
          <t>Prior-year store channel revenue ($000)</t>
        </is>
      </c>
      <c r="B28" s="65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8" t="inlineStr">
        <is>
          <t>$000</t>
        </is>
      </c>
      <c r="I28" s="17" t="inlineStr">
        <is>
          <t>Last year's total store-channel revenue; the base you're growing comps off of, not the new boxes.</t>
        </is>
      </c>
    </row>
    <row r="29" ht="28" customHeight="1">
      <c r="A29" s="41" t="inlineStr">
        <is>
          <t>Comparable store revenue ($000)</t>
        </is>
      </c>
      <c r="B29" s="57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  <c r="I29" s="17" t="inlineStr">
        <is>
          <t>Existing-store sales only; prior store rev grown by geo comp %. New doors are a separate line, not in here.</t>
        </is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  <c r="I30" s="17" t="inlineStr">
        <is>
          <t>Net new doors × sq ft × $/sq ft is plain dollars. /1000 → $000 on this tab. ×0.55 'cause year-one stores don't run full.</t>
        </is>
      </c>
    </row>
    <row r="31" ht="28" customHeight="1">
      <c r="A31" s="61" t="inlineStr">
        <is>
          <t>Store channel revenue ($000)</t>
        </is>
      </c>
      <c r="B31" s="63" t="n">
        <v>5049744</v>
      </c>
      <c r="C31" s="62">
        <f>C29+C30</f>
        <v/>
      </c>
      <c r="D31" s="62">
        <f>D29+D30</f>
        <v/>
      </c>
      <c r="E31" s="62">
        <f>E29+E30</f>
        <v/>
      </c>
      <c r="F31" s="62">
        <f>F29+F30</f>
        <v/>
      </c>
      <c r="G31" s="62">
        <f>G29+G30</f>
        <v/>
      </c>
      <c r="I31" s="17" t="inlineStr">
        <is>
          <t>Brick-and-mortar channel = comp store sales plus whatever the net new stores contributed. That's the whole store line.</t>
        </is>
      </c>
    </row>
    <row r="32" ht="28" customHeight="1"/>
    <row r="33" ht="28" customHeight="1">
      <c r="A33" s="52" t="inlineStr">
        <is>
          <t>III. DIRECT-TO-CONSUMER (e-commerce / digital)</t>
        </is>
      </c>
    </row>
    <row r="34" ht="28" customHeight="1">
      <c r="A34" s="53" t="inlineStr">
        <is>
          <t>Driver</t>
        </is>
      </c>
      <c r="B34" s="54" t="inlineStr">
        <is>
          <t>FY2025A</t>
        </is>
      </c>
      <c r="C34" s="55" t="inlineStr">
        <is>
          <t>FY2026E</t>
        </is>
      </c>
      <c r="D34" s="54" t="inlineStr">
        <is>
          <t>FY2027E</t>
        </is>
      </c>
      <c r="E34" s="54" t="inlineStr">
        <is>
          <t>FY2028E</t>
        </is>
      </c>
      <c r="F34" s="54" t="inlineStr">
        <is>
          <t>FY2029E</t>
        </is>
      </c>
      <c r="G34" s="54" t="inlineStr">
        <is>
          <t>FY2030E</t>
        </is>
      </c>
      <c r="H34" s="54" t="inlineStr">
        <is>
          <t>Units</t>
        </is>
      </c>
      <c r="I34" s="56" t="inlineStr">
        <is>
          <t>Justification  [cols I–L: click + to expand]</t>
        </is>
      </c>
      <c r="J34" s="56" t="n"/>
    </row>
    <row r="35">
      <c r="A35" s="41" t="inlineStr">
        <is>
          <t>Unique digital sessions (millions)</t>
        </is>
      </c>
      <c r="B35" s="60" t="n">
        <v>485</v>
      </c>
      <c r="C35" s="60" t="n">
        <v>485</v>
      </c>
      <c r="D35" s="60" t="n">
        <v>505</v>
      </c>
      <c r="E35" s="60" t="n">
        <v>525</v>
      </c>
      <c r="F35" s="60" t="n">
        <v>545</v>
      </c>
      <c r="G35" s="60" t="n">
        <v>560</v>
      </c>
      <c r="H35" s="58" t="inlineStr">
        <is>
          <t>M</t>
        </is>
      </c>
      <c r="I35" s="17" t="inlineStr">
        <is>
          <t>485M FY25 sessions implied from reported e-comm revenue / conv / AOV. FY26 −3% on Americas softness.</t>
        </is>
      </c>
      <c r="J35" s="19" t="inlineStr">
        <is>
          <t>. Sessions implied from revenue / conv / AOV.</t>
        </is>
      </c>
    </row>
    <row r="36">
      <c r="A36" s="41" t="inlineStr">
        <is>
          <t>Digital conversion rate</t>
        </is>
      </c>
      <c r="B36" s="64" t="n">
        <v>0.033</v>
      </c>
      <c r="C36" s="64" t="n">
        <v>0.033</v>
      </c>
      <c r="D36" s="64" t="n">
        <v>0.034</v>
      </c>
      <c r="E36" s="64" t="n">
        <v>0.035</v>
      </c>
      <c r="F36" s="64" t="n">
        <v>0.035</v>
      </c>
      <c r="G36" s="64" t="n">
        <v>0.036</v>
      </c>
      <c r="I36" s="17" t="inlineStr">
        <is>
          <t>3.3% FY26 digital conversion vs 3.5% pressure cited in 10-K Americas; gradual recovery to 3.6%.</t>
        </is>
      </c>
      <c r="J36" s="19" t="inlineStr">
        <is>
          <t>. FY26 model 3.3% digital conversion.</t>
        </is>
      </c>
    </row>
    <row r="37">
      <c r="A37" s="41" t="inlineStr">
        <is>
          <t>Digital average order value ($)</t>
        </is>
      </c>
      <c r="B37" s="67" t="n">
        <v>307</v>
      </c>
      <c r="C37" s="67" t="n">
        <v>305</v>
      </c>
      <c r="D37" s="67" t="n">
        <v>308</v>
      </c>
      <c r="E37" s="67" t="n">
        <v>310</v>
      </c>
      <c r="F37" s="67" t="n">
        <v>312</v>
      </c>
      <c r="G37" s="67" t="n">
        <v>315</v>
      </c>
      <c r="I37" s="17" t="inlineStr">
        <is>
          <t>AOV $305 FY26 on promo intensity; steps to $315 by FY30 as mix normalizes.</t>
        </is>
      </c>
      <c r="J37" s="19" t="inlineStr">
        <is>
          <t>. FY26 model $305 AOV.</t>
        </is>
      </c>
    </row>
    <row r="38" ht="28" customHeight="1">
      <c r="A38" s="61" t="inlineStr">
        <is>
          <t>E-commerce revenue ($000)</t>
        </is>
      </c>
      <c r="B38" s="63" t="n">
        <v>4918697</v>
      </c>
      <c r="C38" s="62">
        <f>C38*1000000*C39*C40/1000</f>
        <v/>
      </c>
      <c r="D38" s="62">
        <f>D38*1000000*D39*D40/1000</f>
        <v/>
      </c>
      <c r="E38" s="62">
        <f>E38*1000000*E39*E40/1000</f>
        <v/>
      </c>
      <c r="F38" s="62">
        <f>F38*1000000*F39*F40/1000</f>
        <v/>
      </c>
      <c r="G38" s="62">
        <f>G38*1000000*G39*G40/1000</f>
        <v/>
      </c>
      <c r="I38" s="17" t="inlineStr">
        <is>
          <t>Traffic × conversion × AOV is dollars. ×1M 'cause sessions are in millions; /1000 puts it in $000 like everything else.</t>
        </is>
      </c>
    </row>
    <row r="39" ht="28" customHeight="1"/>
    <row r="40" ht="28" customHeight="1">
      <c r="A40" s="52" t="inlineStr">
        <is>
          <t>IV. OTHER CHANNELS, GEOGRAPHY &amp; PRODUCT MIX</t>
        </is>
      </c>
    </row>
    <row r="41" ht="28" customHeight="1">
      <c r="A41" s="53" t="inlineStr">
        <is>
          <t>Driver</t>
        </is>
      </c>
      <c r="B41" s="54" t="inlineStr">
        <is>
          <t>FY2025A</t>
        </is>
      </c>
      <c r="C41" s="55" t="inlineStr">
        <is>
          <t>FY2026E</t>
        </is>
      </c>
      <c r="D41" s="54" t="inlineStr">
        <is>
          <t>FY2027E</t>
        </is>
      </c>
      <c r="E41" s="54" t="inlineStr">
        <is>
          <t>FY2028E</t>
        </is>
      </c>
      <c r="F41" s="54" t="inlineStr">
        <is>
          <t>FY2029E</t>
        </is>
      </c>
      <c r="G41" s="54" t="inlineStr">
        <is>
          <t>FY2030E</t>
        </is>
      </c>
      <c r="H41" s="54" t="inlineStr">
        <is>
          <t>Units</t>
        </is>
      </c>
      <c r="I41" s="56" t="inlineStr">
        <is>
          <t>Justification  [cols I–L: click + to expand]</t>
        </is>
      </c>
      <c r="J41" s="56" t="n"/>
    </row>
    <row r="42">
      <c r="A42" s="41" t="inlineStr">
        <is>
          <t>Other channels (wholesale / license / outlets) ($000)</t>
        </is>
      </c>
      <c r="B42" s="65" t="n">
        <v>1134159</v>
      </c>
      <c r="C42" s="42">
        <f>B45*(1+-0.02)</f>
        <v/>
      </c>
      <c r="D42" s="42">
        <f>C45*(1+0.0)</f>
        <v/>
      </c>
      <c r="E42" s="42">
        <f>D45*(1+0.02)</f>
        <v/>
      </c>
      <c r="F42" s="42">
        <f>E45*(1+0.02)</f>
        <v/>
      </c>
      <c r="G42" s="42">
        <f>F45*(1+0.02)</f>
        <v/>
      </c>
      <c r="H42" s="58" t="inlineStr">
        <is>
          <t>$000</t>
        </is>
      </c>
      <c r="I42" s="17" t="inlineStr">
        <is>
          <t>Other channels (wholesale/license/outlets) held at FY25 $1.13B base; low-single-digit growth thereafter.</t>
        </is>
      </c>
      <c r="J42" s="19" t="inlineStr">
        <is>
          <t>.13B.</t>
        </is>
      </c>
    </row>
    <row r="43">
      <c r="A43" s="41" t="inlineStr">
        <is>
          <t>Americas net revenue ($000)</t>
        </is>
      </c>
      <c r="B43" s="65" t="n">
        <v>7847044</v>
      </c>
      <c r="C43" s="42">
        <f>B46*(C31+C41+C45)/(B31+B41+B45)</f>
        <v/>
      </c>
      <c r="D43" s="42">
        <f>B46*(D31+D41+D45)/(B31+B41+B45)</f>
        <v/>
      </c>
      <c r="E43" s="42">
        <f>B46*(E31+E41+E45)/(B31+B41+B45)</f>
        <v/>
      </c>
      <c r="F43" s="42">
        <f>B46*(F31+F41+F45)/(B31+B41+B45)</f>
        <v/>
      </c>
      <c r="G43" s="42">
        <f>B46*(G31+G41+G45)/(B31+B41+B45)</f>
        <v/>
      </c>
      <c r="H43" s="58" t="inlineStr">
        <is>
          <t>$000</t>
        </is>
      </c>
      <c r="I43" s="17" t="inlineStr">
        <is>
          <t>Geographic split scales with consolidated growth; FY25 Americas 70.7% of revenue per 10-K segment table.</t>
        </is>
      </c>
      <c r="J43" s="19" t="inlineStr">
        <is>
          <t>.7%).</t>
        </is>
      </c>
    </row>
    <row r="44">
      <c r="A44" s="41" t="inlineStr">
        <is>
          <t>China Mainland net revenue ($000)</t>
        </is>
      </c>
      <c r="B44" s="65" t="n">
        <v>1754799</v>
      </c>
      <c r="C44" s="42">
        <f>B47*(C31+C41+C45)/(B31+B41+B45)</f>
        <v/>
      </c>
      <c r="D44" s="42">
        <f>B47*(D31+D41+D45)/(B31+B41+B45)</f>
        <v/>
      </c>
      <c r="E44" s="42">
        <f>B47*(E31+E41+E45)/(B31+B41+B45)</f>
        <v/>
      </c>
      <c r="F44" s="42">
        <f>B47*(F31+F41+F45)/(B31+B41+B45)</f>
        <v/>
      </c>
      <c r="G44" s="42">
        <f>B47*(G31+G41+G45)/(B31+B41+B45)</f>
        <v/>
      </c>
      <c r="H44" s="58" t="inlineStr">
        <is>
          <t>$000</t>
        </is>
      </c>
      <c r="I44" s="17" t="inlineStr">
        <is>
          <t>China 15.8% of FY25 revenue; fastest comp and store growth; expansion market in the driver schedule.</t>
        </is>
      </c>
      <c r="J44" s="19" t="inlineStr">
        <is>
          <t>.8%).</t>
        </is>
      </c>
    </row>
    <row r="45" ht="28" customHeight="1">
      <c r="A45" s="41" t="inlineStr">
        <is>
          <t>Rest of World net revenue ($000)</t>
        </is>
      </c>
      <c r="B45" s="65" t="n">
        <v>1500757</v>
      </c>
      <c r="C45" s="42">
        <f>B48*(C31+C41+C45)/(B31+B41+B45)</f>
        <v/>
      </c>
      <c r="D45" s="42">
        <f>B48*(D31+D41+D45)/(B31+B41+B45)</f>
        <v/>
      </c>
      <c r="E45" s="42">
        <f>B48*(E31+E41+E45)/(B31+B41+B45)</f>
        <v/>
      </c>
      <c r="F45" s="42">
        <f>B48*(F31+F41+F45)/(B31+B41+B45)</f>
        <v/>
      </c>
      <c r="G45" s="42">
        <f>B48*(G31+G41+G45)/(B31+B41+B45)</f>
        <v/>
      </c>
      <c r="H45" s="58" t="inlineStr">
        <is>
          <t>$000</t>
        </is>
      </c>
      <c r="I45" s="17" t="inlineStr">
        <is>
          <t>Rest of World 13.5% of FY25 revenue; mid-single-digit comps and steady openings.</t>
        </is>
      </c>
      <c r="J45" s="19" t="inlineStr">
        <is>
          <t>.5%).</t>
        </is>
      </c>
    </row>
    <row r="46" ht="70" customHeight="1">
      <c r="A46" s="41" t="inlineStr">
        <is>
          <t>Women's % of revenue</t>
        </is>
      </c>
      <c r="B46" s="64" t="n">
        <v>0.63</v>
      </c>
      <c r="C46" s="64" t="n">
        <v>0.62</v>
      </c>
      <c r="D46" s="64" t="n">
        <v>0.615</v>
      </c>
      <c r="E46" s="64" t="n">
        <v>0.61</v>
      </c>
      <c r="F46" s="64" t="n">
        <v>0.605</v>
      </c>
      <c r="G46" s="64" t="n">
        <v>0.6</v>
      </c>
      <c r="I46" s="17" t="inlineStr">
        <is>
          <t>Women's mix fades 62.5%→60% as men's penetrates; FY25 reported 63% women's per 10-K category disclosure.</t>
        </is>
      </c>
      <c r="J46" s="19" t="inlineStr">
        <is>
          <t>.</t>
        </is>
      </c>
    </row>
    <row r="47" ht="70" customHeight="1">
      <c r="A47" s="41" t="inlineStr">
        <is>
          <t>Men's % of revenue</t>
        </is>
      </c>
      <c r="B47" s="64" t="n">
        <v>0.24</v>
      </c>
      <c r="C47" s="64" t="n">
        <v>0.25</v>
      </c>
      <c r="D47" s="64" t="n">
        <v>0.255</v>
      </c>
      <c r="E47" s="64" t="n">
        <v>0.26</v>
      </c>
      <c r="F47" s="64" t="n">
        <v>0.265</v>
      </c>
      <c r="G47" s="64" t="n">
        <v>0.27</v>
      </c>
      <c r="I47" s="17" t="inlineStr">
        <is>
          <t>Men's mix rises 24.5%→27%; FY25 men's grew 4% vs women's 5% per 10-K category commentary.</t>
        </is>
      </c>
      <c r="J47" s="19" t="inlineStr">
        <is>
          <t>.</t>
        </is>
      </c>
    </row>
    <row r="48" ht="70" customHeight="1">
      <c r="A48" s="41" t="inlineStr">
        <is>
          <t>Accessories &amp; other % of revenue</t>
        </is>
      </c>
      <c r="B48" s="64" t="n">
        <v>0.13</v>
      </c>
      <c r="C48" s="64" t="n">
        <v>0.13</v>
      </c>
      <c r="D48" s="64" t="n">
        <v>0.13</v>
      </c>
      <c r="E48" s="64" t="n">
        <v>0.13</v>
      </c>
      <c r="F48" s="64" t="n">
        <v>0.13</v>
      </c>
      <c r="G48" s="64" t="n">
        <v>0.13</v>
      </c>
      <c r="I48" s="17" t="inlineStr">
        <is>
          <t>Accessories steady at 13% of revenue; FY25 accessories +8% per 10-K category disclosure.</t>
        </is>
      </c>
      <c r="J48" s="19" t="inlineStr">
        <is>
          <t>.</t>
        </is>
      </c>
    </row>
    <row r="49" ht="28" customHeight="1"/>
    <row r="50" ht="28" customHeight="1">
      <c r="A50" s="52" t="inlineStr">
        <is>
          <t>V. CONSOLIDATED REVENUE &amp; RECONCILIATION</t>
        </is>
      </c>
    </row>
    <row r="51" ht="28" customHeight="1">
      <c r="A51" s="53" t="inlineStr">
        <is>
          <t>Driver</t>
        </is>
      </c>
      <c r="B51" s="54" t="inlineStr">
        <is>
          <t>FY2025A</t>
        </is>
      </c>
      <c r="C51" s="55" t="inlineStr">
        <is>
          <t>FY2026E</t>
        </is>
      </c>
      <c r="D51" s="54" t="inlineStr">
        <is>
          <t>FY2027E</t>
        </is>
      </c>
      <c r="E51" s="54" t="inlineStr">
        <is>
          <t>FY2028E</t>
        </is>
      </c>
      <c r="F51" s="54" t="inlineStr">
        <is>
          <t>FY2029E</t>
        </is>
      </c>
      <c r="G51" s="54" t="inlineStr">
        <is>
          <t>FY2030E</t>
        </is>
      </c>
      <c r="H51" s="54" t="inlineStr">
        <is>
          <t>Units</t>
        </is>
      </c>
      <c r="I51" s="56" t="inlineStr">
        <is>
          <t>Justification  [cols I–L: click + to expand]</t>
        </is>
      </c>
      <c r="J51" s="56" t="n"/>
    </row>
    <row r="52">
      <c r="A52" s="68" t="inlineStr">
        <is>
          <t>Bottom-up total revenue ($000)</t>
        </is>
      </c>
      <c r="B52" s="69" t="n">
        <v>11102600</v>
      </c>
      <c r="C52" s="70">
        <f>C31+C41+C45</f>
        <v/>
      </c>
      <c r="D52" s="70">
        <f>D31+D41+D45</f>
        <v/>
      </c>
      <c r="E52" s="70">
        <f>E31+E41+E45</f>
        <v/>
      </c>
      <c r="F52" s="70">
        <f>F31+F41+F45</f>
        <v/>
      </c>
      <c r="G52" s="70">
        <f>G31+G41+G45</f>
        <v/>
      </c>
      <c r="I52" s="17" t="inlineStr">
        <is>
          <t>Bottom-up total = store channel + e-comm + other. That's your driver-built revenue before you check Scenarios.</t>
        </is>
      </c>
    </row>
    <row r="53">
      <c r="A53" s="41" t="inlineStr">
        <is>
          <t>Scenarios base-case revenue ($000)</t>
        </is>
      </c>
      <c r="B53" s="65" t="n">
        <v>11102600</v>
      </c>
      <c r="C53" s="42">
        <f>Scenarios!F25</f>
        <v/>
      </c>
      <c r="D53" s="42">
        <f>Scenarios!F26</f>
        <v/>
      </c>
      <c r="E53" s="42">
        <f>Scenarios!F27</f>
        <v/>
      </c>
      <c r="F53" s="42">
        <f>Scenarios!F28</f>
        <v/>
      </c>
      <c r="G53" s="42">
        <f>Scenarios!F29</f>
        <v/>
      </c>
      <c r="I53" s="17" t="inlineStr">
        <is>
          <t>Pulls the Scenarios base-case revenue path; that's still the number the DCF actually uses, not the driver total.</t>
        </is>
      </c>
    </row>
    <row r="54">
      <c r="A54" s="41" t="inlineStr">
        <is>
          <t>Variance (bottom-up − scenarios) ($000)</t>
        </is>
      </c>
      <c r="B54" s="42">
        <f>B52-B53</f>
        <v/>
      </c>
      <c r="C54" s="42">
        <f>C52-C53</f>
        <v/>
      </c>
      <c r="D54" s="42">
        <f>D52-D53</f>
        <v/>
      </c>
      <c r="E54" s="42">
        <f>E52-E53</f>
        <v/>
      </c>
      <c r="F54" s="42">
        <f>F52-F53</f>
        <v/>
      </c>
      <c r="G54" s="42">
        <f>G52-G53</f>
        <v/>
      </c>
      <c r="I54" s="17" t="inlineStr">
        <is>
          <t>Driver-built revenue minus Scenarios revenue. Shows you how far off the bottom-up path is from what you're valuing on.</t>
        </is>
      </c>
    </row>
    <row r="55" ht="28" customHeight="1">
      <c r="A55" s="41" t="inlineStr">
        <is>
          <t>Variance (%)</t>
        </is>
      </c>
      <c r="B55" s="43">
        <f>IF(B53=0,"",B54/B53)</f>
        <v/>
      </c>
      <c r="C55" s="43">
        <f>IF(C53=0,"",C54/C53)</f>
        <v/>
      </c>
      <c r="D55" s="43">
        <f>IF(D53=0,"",D54/D53)</f>
        <v/>
      </c>
      <c r="E55" s="43">
        <f>IF(E53=0,"",E54/E53)</f>
        <v/>
      </c>
      <c r="F55" s="43">
        <f>IF(F53=0,"",F54/F53)</f>
        <v/>
      </c>
      <c r="G55" s="43">
        <f>IF(G53=0,"",G54/G53)</f>
        <v/>
      </c>
      <c r="I55" s="17" t="inlineStr">
        <is>
          <t>Variance as a percent of Scenarios revenue. Easy read on whether the driver schedule is close or way out of line.</t>
        </is>
      </c>
    </row>
    <row r="56" ht="28" customHeight="1">
      <c r="B56" t="inlineStr">
        <is>
          <t>https://www.sec.gov/Archives/edgar/data/1397187/000139718726000020/lulu-20260201.htm</t>
        </is>
      </c>
    </row>
    <row r="57" ht="28" customHeight="1"/>
    <row r="58" ht="28" customHeight="1"/>
  </sheetData>
  <hyperlinks>
    <hyperlink xmlns:r="http://schemas.openxmlformats.org/officeDocument/2006/relationships" ref="B18" r:id="rId1"/>
    <hyperlink xmlns:r="http://schemas.openxmlformats.org/officeDocument/2006/relationships" ref="B28" r:id="rId2"/>
    <hyperlink xmlns:r="http://schemas.openxmlformats.org/officeDocument/2006/relationships" ref="B31" r:id="rId3"/>
    <hyperlink xmlns:r="http://schemas.openxmlformats.org/officeDocument/2006/relationships" ref="B41" r:id="rId4"/>
    <hyperlink xmlns:r="http://schemas.openxmlformats.org/officeDocument/2006/relationships" ref="B45" r:id="rId5"/>
    <hyperlink xmlns:r="http://schemas.openxmlformats.org/officeDocument/2006/relationships" ref="B46" r:id="rId6"/>
    <hyperlink xmlns:r="http://schemas.openxmlformats.org/officeDocument/2006/relationships" ref="B47" r:id="rId7"/>
    <hyperlink xmlns:r="http://schemas.openxmlformats.org/officeDocument/2006/relationships" ref="B48" r:id="rId8"/>
    <hyperlink xmlns:r="http://schemas.openxmlformats.org/officeDocument/2006/relationships" ref="B55" r:id="rId9"/>
    <hyperlink xmlns:r="http://schemas.openxmlformats.org/officeDocument/2006/relationships" ref="B56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1"/>
    <pageSetUpPr/>
  </sheetPr>
  <dimension ref="A1:I41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hidden="1" outlineLevel="1" width="22" customWidth="1" min="2" max="2"/>
    <col width="28" customWidth="1" min="3" max="3"/>
    <col hidden="1" outlineLevel="1" width="28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2" t="inlineStr">
        <is>
          <t>EBIT to NOPAT walk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B2" s="51" t="inlineStr">
        <is>
          <t>Justification  [cols B–D: click + to expand]</t>
        </is>
      </c>
      <c r="C2" s="51" t="inlineStr">
        <is>
          <t>Source (click)</t>
        </is>
      </c>
      <c r="D2" s="71" t="inlineStr">
        <is>
          <t>FY2025A</t>
        </is>
      </c>
      <c r="E2" s="72" t="inlineStr">
        <is>
          <t>FY2026E</t>
        </is>
      </c>
      <c r="F2" s="72" t="inlineStr">
        <is>
          <t>FY2027E</t>
        </is>
      </c>
      <c r="G2" s="72" t="inlineStr">
        <is>
          <t>FY2028E</t>
        </is>
      </c>
      <c r="H2" s="72" t="inlineStr">
        <is>
          <t>FY2029E</t>
        </is>
      </c>
      <c r="I2" s="72" t="inlineStr">
        <is>
          <t>FY2030E</t>
        </is>
      </c>
    </row>
    <row r="3">
      <c r="A3" s="52" t="inlineStr">
        <is>
          <t>Reported EBIT → Normalized NOPAT (5-phase pipeline)</t>
        </is>
      </c>
    </row>
    <row r="4">
      <c r="A4" s="26" t="n"/>
    </row>
    <row r="6">
      <c r="A6" s="52" t="inlineStr">
        <is>
          <t>Driver assumptions</t>
        </is>
      </c>
    </row>
    <row r="7" ht="42" customHeight="1">
      <c r="A7" s="16" t="inlineStr">
        <is>
          <t>Phase 1: Add back SBC? (0 = no — Convention A: expense stays in EBIT)</t>
        </is>
      </c>
      <c r="B7" s="17" t="inlineStr">
        <is>
          <t>SBC Flag (Convention A = 0)</t>
        </is>
      </c>
      <c r="C7" s="18" t="inlineStr">
        <is>
          <t>LULU CF statement (10-K): stock-based compensation</t>
        </is>
      </c>
      <c r="D7" s="40" t="n">
        <v>0</v>
      </c>
      <c r="E7" s="40" t="n">
        <v>0</v>
      </c>
      <c r="F7" s="40" t="n">
        <v>0</v>
      </c>
      <c r="G7" s="40" t="n">
        <v>0</v>
      </c>
      <c r="H7" s="40" t="n">
        <v>0</v>
      </c>
      <c r="I7" s="40" t="n">
        <v>0</v>
      </c>
    </row>
    <row r="8">
      <c r="A8" s="26" t="inlineStr">
        <is>
          <t>Convention A: SBC is a real economic cost (captures shareholder dilution). Forecast NOPAT uses Scenarios EBIT with SBC expensed. DCF implied value uses basic shares (111.4M).</t>
        </is>
      </c>
    </row>
    <row r="9" ht="70" customHeight="1">
      <c r="A9" s="16" t="inlineStr">
        <is>
          <t>Phase 3: Store-channel EBIT margin %</t>
        </is>
      </c>
      <c r="B9" s="17" t="inlineStr">
        <is>
          <t>Store EBIT % of Store Rev</t>
        </is>
      </c>
      <c r="C9" s="18" t="inlineStr">
        <is>
          <t>FY2025 10-K: company-operated stores net revenue</t>
        </is>
      </c>
      <c r="D9" s="20" t="n">
        <v>0.186</v>
      </c>
      <c r="E9" s="20" t="n">
        <v>0.186</v>
      </c>
      <c r="F9" s="20" t="n">
        <v>0.186</v>
      </c>
      <c r="G9" s="20" t="n">
        <v>0.186</v>
      </c>
      <c r="H9" s="20" t="n">
        <v>0.186</v>
      </c>
      <c r="I9" s="20" t="n">
        <v>0.186</v>
      </c>
    </row>
    <row r="10" ht="70" customHeight="1">
      <c r="A10" s="16" t="inlineStr">
        <is>
          <t>Phase 3: E-commerce EBIT margin %</t>
        </is>
      </c>
      <c r="B10" s="17" t="inlineStr">
        <is>
          <t>E-comm EBIT % of E-comm Rev</t>
        </is>
      </c>
      <c r="C10" s="18" t="inlineStr">
        <is>
          <t>FY2025 10-K: e-commerce net revenue</t>
        </is>
      </c>
      <c r="D10" s="20" t="n">
        <v>0.236</v>
      </c>
      <c r="E10" s="20" t="n">
        <v>0.236</v>
      </c>
      <c r="F10" s="20" t="n">
        <v>0.236</v>
      </c>
      <c r="G10" s="20" t="n">
        <v>0.236</v>
      </c>
      <c r="H10" s="20" t="n">
        <v>0.236</v>
      </c>
      <c r="I10" s="20" t="n">
        <v>0.236</v>
      </c>
    </row>
    <row r="11" ht="70" customHeight="1">
      <c r="A11" s="16" t="inlineStr">
        <is>
          <t>Phase 3: Other-channels EBIT margin %</t>
        </is>
      </c>
      <c r="B11" s="17" t="inlineStr">
        <is>
          <t>Other EBIT % of Other Rev</t>
        </is>
      </c>
      <c r="C11" s="18" t="inlineStr">
        <is>
          <t>FY2025 10-K: other channels (residual)</t>
        </is>
      </c>
      <c r="D11" s="20" t="n">
        <v>0.091</v>
      </c>
      <c r="E11" s="20" t="n">
        <v>0.091</v>
      </c>
      <c r="F11" s="20" t="n">
        <v>0.091</v>
      </c>
      <c r="G11" s="20" t="n">
        <v>0.091</v>
      </c>
      <c r="H11" s="20" t="n">
        <v>0.091</v>
      </c>
      <c r="I11" s="20" t="n">
        <v>0.091</v>
      </c>
    </row>
    <row r="12" ht="28" customHeight="1">
      <c r="A12" s="16" t="inlineStr">
        <is>
          <t>Phase 4: Terminal marginal tax rate</t>
        </is>
      </c>
      <c r="B12" s="17" t="inlineStr">
        <is>
          <t>Statutory Marginal (30%)</t>
        </is>
      </c>
      <c r="C12" s="18" t="inlineStr">
        <is>
          <t>Q2 FY2026 outlook: tax rate ≈ 30%</t>
        </is>
      </c>
      <c r="D12" s="20" t="n">
        <v>0.3</v>
      </c>
      <c r="E12" s="20" t="n">
        <v>0.3</v>
      </c>
      <c r="F12" s="20" t="n">
        <v>0.3</v>
      </c>
      <c r="G12" s="20" t="n">
        <v>0.3</v>
      </c>
      <c r="H12" s="20" t="n">
        <v>0.3</v>
      </c>
      <c r="I12" s="20" t="n">
        <v>0.3</v>
      </c>
    </row>
    <row r="13" ht="28" customHeight="1">
      <c r="A13" s="16" t="inlineStr">
        <is>
          <t>Phase 2: R&amp;D / software amortization period (years)</t>
        </is>
      </c>
      <c r="B13" s="17" t="inlineStr">
        <is>
          <t>R&amp;D Capitalization Period</t>
        </is>
      </c>
      <c r="C13" s="24" t="inlineStr">
        <is>
          <t>NOPAT Bridge: capitalization convention</t>
        </is>
      </c>
      <c r="D13" s="40" t="n">
        <v>4</v>
      </c>
      <c r="E13" s="40" t="n">
        <v>4</v>
      </c>
      <c r="F13" s="40" t="n">
        <v>4</v>
      </c>
      <c r="G13" s="40" t="n">
        <v>4</v>
      </c>
      <c r="H13" s="40" t="n">
        <v>4</v>
      </c>
      <c r="I13" s="40" t="n">
        <v>4</v>
      </c>
    </row>
    <row r="15" hidden="1" outlineLevel="1">
      <c r="A15" s="73" t="inlineStr">
        <is>
          <t>Phase 1 — Operating normalization</t>
        </is>
      </c>
    </row>
    <row r="16" hidden="1" outlineLevel="1" ht="28" customHeight="1">
      <c r="A16" s="16" t="inlineStr">
        <is>
          <t>Reported operating income (EBIT)</t>
        </is>
      </c>
      <c r="B16" s="17" t="inlineStr">
        <is>
          <t>10-K EBIT / Scenarios Forecast</t>
        </is>
      </c>
      <c r="C16" s="18" t="inlineStr">
        <is>
          <t>LULU FY2025 10-K: Income from operations</t>
        </is>
      </c>
      <c r="D16" s="74" t="n">
        <v>2210615</v>
      </c>
      <c r="E16" s="75">
        <f>Scenarios!F45</f>
        <v/>
      </c>
      <c r="F16" s="75">
        <f>Scenarios!F46</f>
        <v/>
      </c>
      <c r="G16" s="75">
        <f>Scenarios!F47</f>
        <v/>
      </c>
      <c r="H16" s="75">
        <f>Scenarios!F48</f>
        <v/>
      </c>
      <c r="I16" s="75">
        <f>Scenarios!F49</f>
        <v/>
      </c>
    </row>
    <row r="17" hidden="1" outlineLevel="1" ht="28" customHeight="1">
      <c r="A17" s="16" t="inlineStr">
        <is>
          <t>+ Impairment / intangible amortization (add-back)</t>
        </is>
      </c>
      <c r="B17" s="17" t="inlineStr">
        <is>
          <t>Adds back run-rate intangible amortization</t>
        </is>
      </c>
      <c r="C17" s="18" t="inlineStr">
        <is>
          <t>LULU FY2025 10-K: amortization of intangible assets</t>
        </is>
      </c>
      <c r="D17" s="74" t="n">
        <v>6961</v>
      </c>
      <c r="E17" s="75" t="n">
        <v>0</v>
      </c>
      <c r="F17" s="75" t="n">
        <v>0</v>
      </c>
      <c r="G17" s="75" t="n">
        <v>0</v>
      </c>
      <c r="H17" s="75" t="n">
        <v>0</v>
      </c>
      <c r="I17" s="75" t="n">
        <v>0</v>
      </c>
    </row>
    <row r="18" hidden="1" outlineLevel="1" ht="28" customHeight="1">
      <c r="A18" s="16" t="inlineStr">
        <is>
          <t>+ Restructuring costs (add-back)</t>
        </is>
      </c>
      <c r="B18" s="17" t="inlineStr">
        <is>
          <t>Non-Recurring Restructuring Add-Back</t>
        </is>
      </c>
      <c r="C18" s="18" t="inlineStr">
        <is>
          <t>LULU FY2025 10-K: restructuring charges</t>
        </is>
      </c>
      <c r="D18" s="74" t="n">
        <v>0</v>
      </c>
      <c r="E18" s="75" t="n">
        <v>0</v>
      </c>
      <c r="F18" s="75" t="n">
        <v>0</v>
      </c>
      <c r="G18" s="75" t="n">
        <v>0</v>
      </c>
      <c r="H18" s="75" t="n">
        <v>0</v>
      </c>
      <c r="I18" s="75" t="n">
        <v>0</v>
      </c>
    </row>
    <row r="19" hidden="1" outlineLevel="1" ht="28" customHeight="1">
      <c r="A19" s="16" t="inlineStr">
        <is>
          <t>+ Legal / M&amp;A one-offs (add-back)</t>
        </is>
      </c>
      <c r="B19" s="17" t="inlineStr">
        <is>
          <t>One-Off Legal / M&amp;A Strip</t>
        </is>
      </c>
      <c r="C19" s="18" t="inlineStr">
        <is>
          <t>LULU FY2025 10-K: SG&amp;A one-offs</t>
        </is>
      </c>
      <c r="D19" s="74" t="n">
        <v>0</v>
      </c>
      <c r="E19" s="75" t="n">
        <v>0</v>
      </c>
      <c r="F19" s="75" t="n">
        <v>0</v>
      </c>
      <c r="G19" s="75" t="n">
        <v>0</v>
      </c>
      <c r="H19" s="75" t="n">
        <v>0</v>
      </c>
      <c r="I19" s="75" t="n">
        <v>0</v>
      </c>
    </row>
    <row r="20" hidden="1" outlineLevel="1" ht="42" customHeight="1">
      <c r="A20" s="16" t="inlineStr">
        <is>
          <t>+ Stock-based compensation (add-back only if flag = 1)</t>
        </is>
      </c>
      <c r="B20" s="17" t="inlineStr">
        <is>
          <t>SBC Add-Back (if flag = 1)</t>
        </is>
      </c>
      <c r="C20" s="18" t="inlineStr">
        <is>
          <t>LULU CF statement (10-K): stock-based compensation</t>
        </is>
      </c>
      <c r="D20" s="75">
        <f>62203*$D$7</f>
        <v/>
      </c>
      <c r="E20" s="75">
        <f>Scenarios!F25/11102600*62203*$D$7</f>
        <v/>
      </c>
      <c r="F20" s="75">
        <f>Scenarios!F26/11102600*62203*$D$7</f>
        <v/>
      </c>
      <c r="G20" s="75">
        <f>Scenarios!F27/11102600*62203*$D$7</f>
        <v/>
      </c>
      <c r="H20" s="75">
        <f>Scenarios!F28/11102600*62203*$D$7</f>
        <v/>
      </c>
      <c r="I20" s="75">
        <f>Scenarios!F29/11102600*62203*$D$7</f>
        <v/>
      </c>
    </row>
    <row r="21" hidden="1" outlineLevel="1" ht="28" customHeight="1">
      <c r="A21" s="23">
        <f> Adjusted EBIT (Phase 1)</f>
        <v/>
      </c>
      <c r="B21" s="17" t="inlineStr">
        <is>
          <t>Phase 1 adjusted EBIT = reported + non-recurring add-backs</t>
        </is>
      </c>
      <c r="C21" s="24" t="inlineStr">
        <is>
          <t>NOPAT Bridge tab: Phase 1 subtotal</t>
        </is>
      </c>
      <c r="E21" s="25">
        <f>E16+E17+E18+E19+E20</f>
        <v/>
      </c>
      <c r="F21" s="25">
        <f>F16+F17+F18+F19+F20</f>
        <v/>
      </c>
      <c r="G21" s="25">
        <f>G16+G17+G18+G19+G20</f>
        <v/>
      </c>
      <c r="H21" s="25">
        <f>H16+H17+H18+H19+H20</f>
        <v/>
      </c>
      <c r="I21" s="25">
        <f>I16+I17+I18+I19+I20</f>
        <v/>
      </c>
    </row>
    <row r="22" hidden="1" outlineLevel="1">
      <c r="A22" s="73" t="inlineStr">
        <is>
          <t>Phase 2 — Lease &amp; capitalization (ASC 842 / IFRS 16)</t>
        </is>
      </c>
    </row>
    <row r="23" hidden="1" outlineLevel="1" ht="42" customHeight="1">
      <c r="A23" s="16" t="inlineStr">
        <is>
          <t>+ Implied lease interest expense (reclass from rent)</t>
        </is>
      </c>
      <c r="B23" s="17" t="inlineStr">
        <is>
          <t>Lease Interest Reclass (memo)</t>
        </is>
      </c>
      <c r="C23" s="18" t="inlineStr">
        <is>
          <t>LULU FY2025 10-K: interest on lease liabilities (supplemental)</t>
        </is>
      </c>
      <c r="D23" s="74" t="n">
        <v>1028</v>
      </c>
      <c r="E23" s="75">
        <f>1028*(Scenarios!F25/11102600)</f>
        <v/>
      </c>
      <c r="F23" s="75">
        <f>1028*(Scenarios!F26/11102600)</f>
        <v/>
      </c>
      <c r="G23" s="75">
        <f>1028*(Scenarios!F27/11102600)</f>
        <v/>
      </c>
      <c r="H23" s="75">
        <f>1028*(Scenarios!F28/11102600)</f>
        <v/>
      </c>
      <c r="I23" s="75">
        <f>1028*(Scenarios!F29/11102600)</f>
        <v/>
      </c>
    </row>
    <row r="24" hidden="1" outlineLevel="1" ht="28" customHeight="1">
      <c r="A24" s="16" t="inlineStr">
        <is>
          <t>+ Capitalize R&amp;D / software (current-year expense)</t>
        </is>
      </c>
      <c r="B24" s="17" t="inlineStr">
        <is>
          <t>R&amp;D Capitalization (immaterial)</t>
        </is>
      </c>
      <c r="C24" s="18" t="inlineStr">
        <is>
          <t>LULU FY2025 10-K: R&amp;D / software expense</t>
        </is>
      </c>
      <c r="D24" s="74" t="n">
        <v>0</v>
      </c>
      <c r="E24" s="75" t="n">
        <v>0</v>
      </c>
      <c r="F24" s="75" t="n">
        <v>0</v>
      </c>
      <c r="G24" s="75" t="n">
        <v>0</v>
      </c>
      <c r="H24" s="75" t="n">
        <v>0</v>
      </c>
      <c r="I24" s="75" t="n">
        <v>0</v>
      </c>
    </row>
    <row r="25" hidden="1" outlineLevel="1" ht="28" customHeight="1">
      <c r="A25" s="16" t="inlineStr">
        <is>
          <t>− Amortization of prior capitalized intangibles</t>
        </is>
      </c>
      <c r="B25" s="17" t="inlineStr">
        <is>
          <t>Amortization of prior capitalized intangibles</t>
        </is>
      </c>
      <c r="C25" s="18" t="inlineStr">
        <is>
          <t>LULU FY2025 10-K: intangible amortization</t>
        </is>
      </c>
      <c r="D25" s="74" t="n">
        <v>6961</v>
      </c>
      <c r="E25" s="75" t="n">
        <v>0</v>
      </c>
      <c r="F25" s="75" t="n">
        <v>0</v>
      </c>
      <c r="G25" s="75" t="n">
        <v>0</v>
      </c>
      <c r="H25" s="75" t="n">
        <v>0</v>
      </c>
      <c r="I25" s="75" t="n">
        <v>0</v>
      </c>
    </row>
    <row r="26" hidden="1" outlineLevel="1" ht="28" customHeight="1">
      <c r="A26" s="23">
        <f> EBIT after lease &amp; capitalization (Phase 2)</f>
        <v/>
      </c>
      <c r="B26" s="17" t="inlineStr">
        <is>
          <t>Phase 2 EBIT = Phase 1 + lease interest reclass + R&amp;D cap − amortization</t>
        </is>
      </c>
      <c r="C26" s="24" t="inlineStr">
        <is>
          <t>NOPAT Bridge tab: Phase 2 subtotal</t>
        </is>
      </c>
      <c r="E26" s="25">
        <f>E21+E23+E24-E25</f>
        <v/>
      </c>
      <c r="F26" s="25">
        <f>F21+F23+F24-F25</f>
        <v/>
      </c>
      <c r="G26" s="25">
        <f>G21+G23+G24-G25</f>
        <v/>
      </c>
      <c r="H26" s="25">
        <f>H21+H23+H24-H25</f>
        <v/>
      </c>
      <c r="I26" s="25">
        <f>I21+I23+I24-I25</f>
        <v/>
      </c>
    </row>
    <row r="27" hidden="1" outlineLevel="1">
      <c r="A27" s="73" t="inlineStr">
        <is>
          <t>Phase 3 — Segment / channel EBIT (driver-based)</t>
        </is>
      </c>
    </row>
    <row r="28" hidden="1" outlineLevel="1" ht="28" customHeight="1">
      <c r="A28" s="16" t="inlineStr">
        <is>
          <t>Store-channel revenue</t>
        </is>
      </c>
      <c r="B28" s="17" t="inlineStr">
        <is>
          <t>Not % of revenue; store-channel revenue from Revenue Drivers tab</t>
        </is>
      </c>
      <c r="C28" s="18" t="inlineStr">
        <is>
          <t>Revenue Drivers tab: store-channel revenue</t>
        </is>
      </c>
      <c r="D28" s="74" t="n">
        <v>5049744</v>
      </c>
      <c r="E28" s="75">
        <f>'Revenue Drivers'!F31</f>
        <v/>
      </c>
      <c r="F28" s="75">
        <f>'Revenue Drivers'!G31</f>
        <v/>
      </c>
      <c r="G28" s="75">
        <f>'Revenue Drivers'!H31</f>
        <v/>
      </c>
      <c r="H28" s="75">
        <f>'Revenue Drivers'!I31</f>
        <v/>
      </c>
      <c r="I28" s="75">
        <f>'Revenue Drivers'!I31</f>
        <v/>
      </c>
    </row>
    <row r="29" hidden="1" outlineLevel="1" ht="28" customHeight="1">
      <c r="A29" s="16" t="inlineStr">
        <is>
          <t>E-commerce revenue</t>
        </is>
      </c>
      <c r="B29" s="17" t="inlineStr">
        <is>
          <t>Not % of revenue; e-commerce revenue from Revenue Drivers tab</t>
        </is>
      </c>
      <c r="C29" s="18" t="inlineStr">
        <is>
          <t>Revenue Drivers tab: e-commerce revenue</t>
        </is>
      </c>
      <c r="D29" s="74" t="n">
        <v>4918697</v>
      </c>
      <c r="E29" s="75">
        <f>'Revenue Drivers'!F41</f>
        <v/>
      </c>
      <c r="F29" s="75">
        <f>'Revenue Drivers'!G41</f>
        <v/>
      </c>
      <c r="G29" s="75">
        <f>'Revenue Drivers'!H41</f>
        <v/>
      </c>
      <c r="H29" s="75">
        <f>'Revenue Drivers'!I41</f>
        <v/>
      </c>
      <c r="I29" s="75">
        <f>'Revenue Drivers'!I41</f>
        <v/>
      </c>
    </row>
    <row r="30" hidden="1" outlineLevel="1" ht="28" customHeight="1">
      <c r="A30" s="16" t="inlineStr">
        <is>
          <t>Other channels revenue</t>
        </is>
      </c>
      <c r="B30" s="17" t="inlineStr">
        <is>
          <t>Not % of revenue; wholesale/license/outlet revenue from Revenue Drivers tab</t>
        </is>
      </c>
      <c r="C30" s="18" t="inlineStr">
        <is>
          <t>Revenue Drivers tab: other channels revenue</t>
        </is>
      </c>
      <c r="D30" s="74" t="n">
        <v>1134159</v>
      </c>
      <c r="E30" s="75">
        <f>'Revenue Drivers'!F45</f>
        <v/>
      </c>
      <c r="F30" s="75">
        <f>'Revenue Drivers'!G45</f>
        <v/>
      </c>
      <c r="G30" s="75">
        <f>'Revenue Drivers'!H45</f>
        <v/>
      </c>
      <c r="H30" s="75">
        <f>'Revenue Drivers'!I45</f>
        <v/>
      </c>
      <c r="I30" s="75">
        <f>'Revenue Drivers'!I45</f>
        <v/>
      </c>
    </row>
    <row r="31" hidden="1" outlineLevel="1" ht="70" customHeight="1">
      <c r="A31" s="16" t="inlineStr">
        <is>
          <t>Store-channel EBIT (= Rev × store margin)</t>
        </is>
      </c>
      <c r="B31" s="17" t="inlineStr">
        <is>
          <t>Not % of consolidated revenue; store EBIT ÷ store revenue only (not Scenarios co</t>
        </is>
      </c>
      <c r="C31" s="18" t="inlineStr">
        <is>
          <t>FY2025 10-K: company-operated stores net revenue</t>
        </is>
      </c>
      <c r="D31" s="75" t="n">
        <v>939252.384</v>
      </c>
      <c r="E31" s="75">
        <f>E28*D$9</f>
        <v/>
      </c>
      <c r="F31" s="75">
        <f>F28*D$9</f>
        <v/>
      </c>
      <c r="G31" s="75">
        <f>G28*D$9</f>
        <v/>
      </c>
      <c r="H31" s="75">
        <f>H28*D$9</f>
        <v/>
      </c>
      <c r="I31" s="75">
        <f>I28*D$9</f>
        <v/>
      </c>
    </row>
    <row r="32" hidden="1" outlineLevel="1" ht="70" customHeight="1">
      <c r="A32" s="16" t="inlineStr">
        <is>
          <t>E-commerce EBIT (= Rev × e-comm margin)</t>
        </is>
      </c>
      <c r="B32" s="17" t="inlineStr">
        <is>
          <t>Not % of consolidated revenue; e-commerce EBIT ÷ e-commerce revenue only (not Sc</t>
        </is>
      </c>
      <c r="C32" s="18" t="inlineStr">
        <is>
          <t>FY2025 10-K: e-commerce net revenue</t>
        </is>
      </c>
      <c r="D32" s="75" t="n">
        <v>1160812.492</v>
      </c>
      <c r="E32" s="75">
        <f>E29*D$10</f>
        <v/>
      </c>
      <c r="F32" s="75">
        <f>F29*D$10</f>
        <v/>
      </c>
      <c r="G32" s="75">
        <f>G29*D$10</f>
        <v/>
      </c>
      <c r="H32" s="75">
        <f>H29*D$10</f>
        <v/>
      </c>
      <c r="I32" s="75">
        <f>I29*D$10</f>
        <v/>
      </c>
    </row>
    <row r="33" hidden="1" outlineLevel="1" ht="56" customHeight="1">
      <c r="A33" s="16" t="inlineStr">
        <is>
          <t>Other-channels EBIT (= Rev × other margin)</t>
        </is>
      </c>
      <c r="B33" s="17" t="inlineStr">
        <is>
          <t>Not % of consolidated revenue; other-channel EBIT ÷ other revenue only (not Scen</t>
        </is>
      </c>
      <c r="C33" s="18" t="inlineStr">
        <is>
          <t>FY2025 10-K: other channels (residual)</t>
        </is>
      </c>
      <c r="D33" s="75" t="n">
        <v>103208.469</v>
      </c>
      <c r="E33" s="75">
        <f>E30*D$11</f>
        <v/>
      </c>
      <c r="F33" s="75">
        <f>F30*D$11</f>
        <v/>
      </c>
      <c r="G33" s="75">
        <f>G30*D$11</f>
        <v/>
      </c>
      <c r="H33" s="75">
        <f>H30*D$11</f>
        <v/>
      </c>
      <c r="I33" s="75">
        <f>I30*D$11</f>
        <v/>
      </c>
    </row>
    <row r="34" hidden="1" outlineLevel="1" ht="28" customHeight="1">
      <c r="A34" s="23" t="inlineStr">
        <is>
          <t>Channel EBIT (sum of sector EBIT)</t>
        </is>
      </c>
      <c r="B34" s="17" t="inlineStr">
        <is>
          <t>Phase 3 channel EBIT = Σ sector EBIT_i</t>
        </is>
      </c>
      <c r="C34" s="24" t="inlineStr">
        <is>
          <t>NOPAT Bridge tab: sector EBIT subtotal</t>
        </is>
      </c>
      <c r="E34" s="70">
        <f>E31+E32+E33+Scenarios!F7</f>
        <v/>
      </c>
      <c r="F34" s="70">
        <f>F31+F32+F33</f>
        <v/>
      </c>
      <c r="G34" s="70">
        <f>G31+G32+G33</f>
        <v/>
      </c>
      <c r="H34" s="70">
        <f>H31+H32+H33</f>
        <v/>
      </c>
      <c r="I34" s="70">
        <f>I31+I32+I33</f>
        <v/>
      </c>
    </row>
    <row r="35" hidden="1" outlineLevel="1" ht="28" customHeight="1">
      <c r="A35" s="23">
        <f> EBIT after channel mix (Phase 3)</f>
        <v/>
      </c>
      <c r="B35" s="17" t="inlineStr">
        <is>
          <t>Channel-mix EBIT output (Phase 3)</t>
        </is>
      </c>
      <c r="C35" s="24" t="inlineStr">
        <is>
          <t>NOPAT Bridge tab: Phase 3 subtotal</t>
        </is>
      </c>
      <c r="D35" s="76" t="n">
        <v>2203273.345</v>
      </c>
      <c r="E35" s="25">
        <f>E34</f>
        <v/>
      </c>
      <c r="F35" s="25">
        <f>F34</f>
        <v/>
      </c>
      <c r="G35" s="25">
        <f>G34</f>
        <v/>
      </c>
      <c r="H35" s="25">
        <f>H34</f>
        <v/>
      </c>
      <c r="I35" s="25">
        <f>I34</f>
        <v/>
      </c>
    </row>
    <row r="36" hidden="1" outlineLevel="1" ht="28" customHeight="1">
      <c r="A36" s="23">
        <f> Normalized EBIT (tax base for NOPAT)</f>
        <v/>
      </c>
      <c r="B36" s="17" t="inlineStr">
        <is>
          <t>FY25: Phases 1–2 walk-through (SBC not added back; flag = 0)</t>
        </is>
      </c>
      <c r="C36" s="24" t="inlineStr">
        <is>
          <t>Scenarios tab: base-case EBIT (forecast)</t>
        </is>
      </c>
      <c r="D36" s="25">
        <f>D21+D23+D24-D25</f>
        <v/>
      </c>
      <c r="E36" s="25">
        <f>Scenarios!F45</f>
        <v/>
      </c>
      <c r="F36" s="25">
        <f>Scenarios!F46</f>
        <v/>
      </c>
      <c r="G36" s="25">
        <f>Scenarios!F47</f>
        <v/>
      </c>
      <c r="H36" s="25">
        <f>Scenarios!F48</f>
        <v/>
      </c>
      <c r="I36" s="25">
        <f>Scenarios!F49</f>
        <v/>
      </c>
    </row>
    <row r="37" hidden="1" outlineLevel="1">
      <c r="A37" s="16" t="inlineStr">
        <is>
          <t>Check vs Scenarios EBIT (base case)</t>
        </is>
      </c>
      <c r="E37" s="75">
        <f>E36-Scenarios!F45</f>
        <v/>
      </c>
      <c r="F37" s="75">
        <f>F36-Scenarios!F46</f>
        <v/>
      </c>
      <c r="G37" s="75">
        <f>G36-Scenarios!F47</f>
        <v/>
      </c>
      <c r="H37" s="75">
        <f>H36-Scenarios!F48</f>
        <v/>
      </c>
      <c r="I37" s="75">
        <f>I36-Scenarios!F49</f>
        <v/>
      </c>
    </row>
    <row r="38" hidden="1" outlineLevel="1">
      <c r="A38" s="73" t="inlineStr">
        <is>
          <t>Phase 4 — Tax normalization to NOPAT</t>
        </is>
      </c>
    </row>
    <row r="39" hidden="1" outlineLevel="1" ht="70" customHeight="1">
      <c r="A39" s="16" t="inlineStr">
        <is>
          <t>Operating effective tax rate (t_operating)</t>
        </is>
      </c>
      <c r="B39" s="17" t="inlineStr">
        <is>
          <t>Operating effective tax rate: (tax + interest shield) ÷ (EBT + interest)</t>
        </is>
      </c>
      <c r="C39" s="18" t="inlineStr">
        <is>
          <t>LULU FY2025 10-K: income tax &amp; interest expense</t>
        </is>
      </c>
      <c r="D39" s="77" t="n">
        <v>0.2946847649213503</v>
      </c>
      <c r="E39" s="32">
        <f>0.29468476492135026+(E$12-0.29468476492135026)*1/5</f>
        <v/>
      </c>
      <c r="F39" s="32">
        <f>0.29468476492135026+(F$12-0.29468476492135026)*2/5</f>
        <v/>
      </c>
      <c r="G39" s="32">
        <f>0.29468476492135026+(G$12-0.29468476492135026)*3/5</f>
        <v/>
      </c>
      <c r="H39" s="32">
        <f>0.29468476492135026+(H$12-0.29468476492135026)*4/5</f>
        <v/>
      </c>
      <c r="I39" s="32">
        <f>0.29468476492135026+(I$12-0.29468476492135026)*5/5</f>
        <v/>
      </c>
    </row>
    <row r="40" hidden="1" outlineLevel="1" ht="28" customHeight="1">
      <c r="A40" s="16" t="inlineStr">
        <is>
          <t>Unlevered tax on normalized EBIT</t>
        </is>
      </c>
      <c r="B40" s="17" t="inlineStr">
        <is>
          <t>Unlevered tax = normalized EBIT × t_operating</t>
        </is>
      </c>
      <c r="C40" s="24" t="inlineStr">
        <is>
          <t>NOPAT Bridge tab: unlevered tax expense</t>
        </is>
      </c>
      <c r="E40" s="75">
        <f>E36*E39</f>
        <v/>
      </c>
      <c r="F40" s="75">
        <f>F36*F39</f>
        <v/>
      </c>
      <c r="G40" s="75">
        <f>G36*G39</f>
        <v/>
      </c>
      <c r="H40" s="75">
        <f>H36*H39</f>
        <v/>
      </c>
      <c r="I40" s="75">
        <f>I36*I39</f>
        <v/>
      </c>
    </row>
    <row r="41" ht="28" customHeight="1">
      <c r="A41" s="23" t="inlineStr">
        <is>
          <t>NORMALIZED NOPAT</t>
        </is>
      </c>
      <c r="B41" s="17" t="inlineStr">
        <is>
          <t>NORMALIZED NOPAT = EBIT_norm × (1 − t_operating)</t>
        </is>
      </c>
      <c r="C41" s="24" t="inlineStr">
        <is>
          <t>NOPAT Bridge tab: normalized NOPAT</t>
        </is>
      </c>
      <c r="E41" s="25">
        <f>E36-E40</f>
        <v/>
      </c>
      <c r="F41" s="25">
        <f>F36-F40</f>
        <v/>
      </c>
      <c r="G41" s="25">
        <f>G36-G40</f>
        <v/>
      </c>
      <c r="H41" s="25">
        <f>H36-H40</f>
        <v/>
      </c>
      <c r="I41" s="25">
        <f>I36-I40</f>
        <v/>
      </c>
    </row>
  </sheetData>
  <hyperlinks>
    <hyperlink xmlns:r="http://schemas.openxmlformats.org/officeDocument/2006/relationships" ref="C7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6" r:id="rId6"/>
    <hyperlink xmlns:r="http://schemas.openxmlformats.org/officeDocument/2006/relationships" ref="E16" r:id="rId7"/>
    <hyperlink xmlns:r="http://schemas.openxmlformats.org/officeDocument/2006/relationships" ref="C17" r:id="rId8"/>
    <hyperlink xmlns:r="http://schemas.openxmlformats.org/officeDocument/2006/relationships" ref="E17" r:id="rId9"/>
    <hyperlink xmlns:r="http://schemas.openxmlformats.org/officeDocument/2006/relationships" ref="C18" r:id="rId10"/>
    <hyperlink xmlns:r="http://schemas.openxmlformats.org/officeDocument/2006/relationships" ref="E18" r:id="rId11"/>
    <hyperlink xmlns:r="http://schemas.openxmlformats.org/officeDocument/2006/relationships" ref="C19" r:id="rId12"/>
    <hyperlink xmlns:r="http://schemas.openxmlformats.org/officeDocument/2006/relationships" ref="E19" r:id="rId13"/>
    <hyperlink xmlns:r="http://schemas.openxmlformats.org/officeDocument/2006/relationships" ref="C20" r:id="rId14"/>
    <hyperlink xmlns:r="http://schemas.openxmlformats.org/officeDocument/2006/relationships" ref="C23" r:id="rId15"/>
    <hyperlink xmlns:r="http://schemas.openxmlformats.org/officeDocument/2006/relationships" ref="E23" r:id="rId16"/>
    <hyperlink xmlns:r="http://schemas.openxmlformats.org/officeDocument/2006/relationships" ref="C24" r:id="rId17"/>
    <hyperlink xmlns:r="http://schemas.openxmlformats.org/officeDocument/2006/relationships" ref="E24" r:id="rId18"/>
    <hyperlink xmlns:r="http://schemas.openxmlformats.org/officeDocument/2006/relationships" ref="C25" r:id="rId19"/>
    <hyperlink xmlns:r="http://schemas.openxmlformats.org/officeDocument/2006/relationships" ref="E25" r:id="rId20"/>
    <hyperlink ref="C28" location="'Revenue Drivers'!B31"/>
    <hyperlink xmlns:r="http://schemas.openxmlformats.org/officeDocument/2006/relationships" ref="E28" r:id="rId21"/>
    <hyperlink ref="C29" location="'Revenue Drivers'!B41"/>
    <hyperlink xmlns:r="http://schemas.openxmlformats.org/officeDocument/2006/relationships" ref="E29" r:id="rId22"/>
    <hyperlink ref="C30" location="'Revenue Drivers'!B45"/>
    <hyperlink xmlns:r="http://schemas.openxmlformats.org/officeDocument/2006/relationships" ref="E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E35" r:id="rId27"/>
    <hyperlink xmlns:r="http://schemas.openxmlformats.org/officeDocument/2006/relationships" ref="C39" r:id="rId28"/>
    <hyperlink xmlns:r="http://schemas.openxmlformats.org/officeDocument/2006/relationships" ref="E39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0" summaryRight="1"/>
    <pageSetUpPr/>
  </sheetPr>
  <dimension ref="A1:M104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6" customWidth="1" min="2" max="2"/>
    <col width="16" customWidth="1" min="3" max="3"/>
    <col hidden="1" outlineLevel="1"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16" customWidth="1" min="12" max="12"/>
    <col width="36" customWidth="1" min="13" max="13"/>
  </cols>
  <sheetData>
    <row r="1" ht="16" customHeight="1">
      <c r="A1" s="12" t="inlineStr">
        <is>
          <t>DISCOUNTED CASH FLOW — BASE CASE  (US$ thousands)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78" t="n"/>
      <c r="C2" s="78" t="inlineStr">
        <is>
          <t>Source (click)</t>
        </is>
      </c>
      <c r="D2" s="78" t="n"/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  <c r="K2" s="81" t="inlineStr">
        <is>
          <t>Δ vs Scenarios</t>
        </is>
      </c>
      <c r="L2" s="78" t="inlineStr">
        <is>
          <t>Alt. source  [cols L–M: click + to expand]</t>
        </is>
      </c>
      <c r="M2" s="78" t="n"/>
    </row>
    <row r="3" ht="28" customHeight="1">
      <c r="A3" s="38" t="n"/>
      <c r="C3" s="85" t="inlineStr">
        <is>
          <t>NOPAT Bridge</t>
        </is>
      </c>
      <c r="D3" s="85" t="n"/>
    </row>
    <row r="4" ht="36" customHeight="1">
      <c r="A4" s="16" t="inlineStr">
        <is>
          <t>Net revenue</t>
        </is>
      </c>
      <c r="C4" t="inlineStr">
        <is>
          <t>'NOPAT Bridge'!A1</t>
        </is>
      </c>
      <c r="D4" t="inlineStr">
        <is>
          <t>'Revenue Drivers'!A1</t>
        </is>
      </c>
      <c r="E4" s="74">
        <f>Scenarios!F25/(1+Scenarios!$F$4)</f>
        <v/>
      </c>
      <c r="F4" s="75">
        <f>Scenarios!F25</f>
        <v/>
      </c>
      <c r="G4" s="75">
        <f>Scenarios!F26</f>
        <v/>
      </c>
      <c r="H4" s="75">
        <f>Scenarios!F27</f>
        <v/>
      </c>
      <c r="I4" s="75">
        <f>Scenarios!F28</f>
        <v/>
      </c>
      <c r="J4" s="75">
        <f>Scenarios!F29</f>
        <v/>
      </c>
      <c r="K4" s="86">
        <f>IF(MAX(ABS(F5-Scenarios!$F$25),ABS(G5-Scenarios!$F$26),ABS(H5-Scenarios!$F$27),ABS(I5-Scenarios!$F$28),ABS(J5-Scenarios!$F$29))&lt;0.5,"OK","CHECK")</f>
        <v/>
      </c>
    </row>
    <row r="5">
      <c r="A5" s="16" t="inlineStr">
        <is>
          <t>Revenue growth %</t>
        </is>
      </c>
      <c r="B5" s="19" t="n"/>
      <c r="C5" s="38" t="inlineStr">
        <is>
          <t>Q2 FY26 Release</t>
        </is>
      </c>
      <c r="D5" s="19" t="n"/>
      <c r="E5" t="inlineStr">
        <is>
          <t>https://www.sec.gov/Archives/edgar/data/1397187/000139718726000020/lulu-20260201.htm</t>
        </is>
      </c>
      <c r="F5" s="32">
        <f>F5/E5-1</f>
        <v/>
      </c>
      <c r="G5" s="32">
        <f>G5/F5-1</f>
        <v/>
      </c>
      <c r="H5" s="32">
        <f>H5/G5-1</f>
        <v/>
      </c>
      <c r="I5" s="32">
        <f>I5/H5-1</f>
        <v/>
      </c>
      <c r="J5" s="32">
        <f>J5/I5-1</f>
        <v/>
      </c>
    </row>
    <row r="6" ht="42" customHeight="1">
      <c r="A6" s="16" t="inlineStr">
        <is>
          <t>Gross margin %</t>
        </is>
      </c>
      <c r="B6" s="17" t="n"/>
      <c r="C6" s="18" t="inlineStr">
        <is>
          <t>10-K</t>
        </is>
      </c>
      <c r="D6" s="19" t="n"/>
      <c r="E6" s="77" t="n">
        <v>0.566005440167168</v>
      </c>
      <c r="F6" s="20">
        <f>Scenarios!$F$14</f>
        <v/>
      </c>
      <c r="G6" s="20">
        <f>Scenarios!$F$14</f>
        <v/>
      </c>
      <c r="H6" s="20">
        <f>Scenarios!$F$14</f>
        <v/>
      </c>
      <c r="I6" s="20">
        <f>Scenarios!$F$14</f>
        <v/>
      </c>
      <c r="J6" s="20">
        <f>Scenarios!$F$14</f>
        <v/>
      </c>
    </row>
    <row r="7" ht="112" customHeight="1">
      <c r="A7" s="16" t="inlineStr">
        <is>
          <t>Cost of goods sold (COGS)</t>
        </is>
      </c>
      <c r="C7" t="inlineStr">
        <is>
          <t>https://www.sec.gov/Archives/edgar/data/1397187/000139718726000020/lulu-20260201.htm</t>
        </is>
      </c>
      <c r="E7" s="74" t="n">
        <v>4818468</v>
      </c>
      <c r="F7" s="75">
        <f>Scenarios!F35</f>
        <v/>
      </c>
      <c r="G7" s="75">
        <f>Scenarios!F36</f>
        <v/>
      </c>
      <c r="H7" s="75">
        <f>Scenarios!F37</f>
        <v/>
      </c>
      <c r="I7" s="75">
        <f>Scenarios!F38</f>
        <v/>
      </c>
      <c r="J7" s="75">
        <f>Scenarios!F39</f>
        <v/>
      </c>
      <c r="K7" s="86">
        <f>IF(MAX(ABS(F8-Scenarios!$F$35),ABS(G8-Scenarios!$F$36),ABS(H8-Scenarios!$F$37),ABS(I8-Scenarios!$F$38),ABS(J8-Scenarios!$F$39))&lt;0.5,"OK","CHECK")</f>
        <v/>
      </c>
    </row>
    <row r="8">
      <c r="A8" s="16" t="inlineStr">
        <is>
          <t>Clean / run-rate EBIT margin %</t>
        </is>
      </c>
      <c r="B8" s="19" t="n"/>
      <c r="C8" s="38" t="inlineStr">
        <is>
          <t>Q2 FY26 Release</t>
        </is>
      </c>
      <c r="D8" s="19" t="n"/>
      <c r="E8" t="inlineStr">
        <is>
          <t>https://www.sec.gov/Archives/edgar/data/1397187/000139718726000020/lulu-20260201.htm</t>
        </is>
      </c>
      <c r="F8" s="32">
        <f>Scenarios!F40</f>
        <v/>
      </c>
      <c r="G8" s="32">
        <f>Scenarios!F41</f>
        <v/>
      </c>
      <c r="H8" s="32">
        <f>Scenarios!F42</f>
        <v/>
      </c>
      <c r="I8" s="32">
        <f>Scenarios!F43</f>
        <v/>
      </c>
      <c r="J8" s="32">
        <f>Scenarios!F44</f>
        <v/>
      </c>
      <c r="K8" s="86">
        <f>IF(MAX(ABS(F9-Scenarios!$F$40),ABS(G9-Scenarios!$F$41),ABS(H9-Scenarios!$F$42),ABS(I9-Scenarios!$F$43),ABS(J9-Scenarios!$F$44))&lt;0.0001,"OK","CHECK")</f>
        <v/>
      </c>
    </row>
    <row r="9" ht="42" customHeight="1">
      <c r="A9" s="16" t="inlineStr">
        <is>
          <t>Plus: FY26 IEEPA tariff refunds (one-time)</t>
        </is>
      </c>
      <c r="B9" s="17" t="n"/>
      <c r="C9" s="18" t="inlineStr">
        <is>
          <t>Q2 FY26 Release</t>
        </is>
      </c>
      <c r="D9" s="19" t="n"/>
      <c r="E9" s="74" t="n">
        <v>0</v>
      </c>
      <c r="F9" s="37">
        <f>Scenarios!$F$7</f>
        <v/>
      </c>
      <c r="G9" s="37" t="n">
        <v>0</v>
      </c>
      <c r="H9" s="37" t="n">
        <v>0</v>
      </c>
      <c r="I9" s="37" t="n">
        <v>0</v>
      </c>
      <c r="J9" s="37" t="n">
        <v>0</v>
      </c>
    </row>
    <row r="10" ht="28" customHeight="1">
      <c r="A10" s="23" t="inlineStr">
        <is>
          <t>EBIT (incl. FY26 refund)</t>
        </is>
      </c>
      <c r="C10" t="inlineStr">
        <is>
          <t>https://corporate.lululemon.com/newsroom/press-releases/2026/09-03-2026-210528733</t>
        </is>
      </c>
      <c r="E10" s="76" t="n">
        <v>2210615</v>
      </c>
      <c r="F10" s="25">
        <f>Scenarios!F45</f>
        <v/>
      </c>
      <c r="G10" s="25">
        <f>Scenarios!F46</f>
        <v/>
      </c>
      <c r="H10" s="25">
        <f>Scenarios!F47</f>
        <v/>
      </c>
      <c r="I10" s="25">
        <f>Scenarios!F48</f>
        <v/>
      </c>
      <c r="J10" s="25">
        <f>Scenarios!F49</f>
        <v/>
      </c>
      <c r="K10" s="87">
        <f>IF(MAX(ABS(F11-Scenarios!$F$45),ABS(G11-Scenarios!$F$46),ABS(H11-Scenarios!$F$47),ABS(I11-Scenarios!$F$48),ABS(J11-Scenarios!$F$49))&lt;0.5,"OK","CHECK")</f>
        <v/>
      </c>
    </row>
    <row r="11">
      <c r="A11" s="16" t="inlineStr">
        <is>
          <t>Reported EBIT margin % (incl. FY26 refund)</t>
        </is>
      </c>
      <c r="E11" s="77" t="n">
        <v>0.1991078666258354</v>
      </c>
      <c r="F11" s="32">
        <f>F11/F5</f>
        <v/>
      </c>
      <c r="G11" s="32">
        <f>G11/G5</f>
        <v/>
      </c>
      <c r="H11" s="32">
        <f>H11/H5</f>
        <v/>
      </c>
      <c r="I11" s="32">
        <f>I11/I5</f>
        <v/>
      </c>
      <c r="J11" s="32">
        <f>J11/J5</f>
        <v/>
      </c>
    </row>
    <row r="12">
      <c r="A12" s="16" t="inlineStr">
        <is>
          <t>Less: unlevered tax (t_operating from NOPAT Bridge)</t>
        </is>
      </c>
      <c r="E12" t="inlineStr">
        <is>
          <t>https://www.sec.gov/Archives/edgar/data/1397187/000139718726000020/lulu-20260201.htm</t>
        </is>
      </c>
      <c r="F12" s="75">
        <f>-'NOPAT Bridge'!E40</f>
        <v/>
      </c>
      <c r="G12" s="75">
        <f>-'NOPAT Bridge'!F40</f>
        <v/>
      </c>
      <c r="H12" s="75">
        <f>-'NOPAT Bridge'!G40</f>
        <v/>
      </c>
      <c r="I12" s="75">
        <f>-'NOPAT Bridge'!H40</f>
        <v/>
      </c>
      <c r="J12" s="75">
        <f>-'NOPAT Bridge'!I40</f>
        <v/>
      </c>
    </row>
    <row r="13">
      <c r="A13" s="23" t="inlineStr">
        <is>
          <t>NOPAT</t>
        </is>
      </c>
      <c r="F13" s="25">
        <f>Scenarios!F50</f>
        <v/>
      </c>
      <c r="G13" s="25">
        <f>Scenarios!F51</f>
        <v/>
      </c>
      <c r="H13" s="25">
        <f>Scenarios!F52</f>
        <v/>
      </c>
      <c r="I13" s="25">
        <f>Scenarios!F53</f>
        <v/>
      </c>
      <c r="J13" s="25">
        <f>Scenarios!F54</f>
        <v/>
      </c>
      <c r="K13" s="87">
        <f>IF(MAX(ABS(F14-Scenarios!$F$50),ABS(G14-Scenarios!$F$51),ABS(H14-Scenarios!$F$52),ABS(I14-Scenarios!$F$53),ABS(J14-Scenarios!$F$54))&lt;0.5,"OK","CHECK")</f>
        <v/>
      </c>
    </row>
    <row r="14">
      <c r="A14" s="16" t="inlineStr">
        <is>
          <t>D&amp;A % of revenue</t>
        </is>
      </c>
      <c r="B14" s="17" t="n"/>
      <c r="C14" s="18" t="inlineStr">
        <is>
          <t>10-K</t>
        </is>
      </c>
      <c r="D14" s="19" t="n"/>
      <c r="F14" s="20">
        <f>Scenarios!$F$12</f>
        <v/>
      </c>
      <c r="G14" s="20">
        <f>Scenarios!$F$12</f>
        <v/>
      </c>
      <c r="H14" s="20">
        <f>Scenarios!$F$12</f>
        <v/>
      </c>
      <c r="I14" s="20">
        <f>Scenarios!$F$12</f>
        <v/>
      </c>
      <c r="J14" s="20">
        <f>Scenarios!$F$12</f>
        <v/>
      </c>
    </row>
    <row r="15" ht="28" customHeight="1">
      <c r="A15" s="16" t="inlineStr">
        <is>
          <t>Plus: depreciation &amp; amortization</t>
        </is>
      </c>
      <c r="C15" t="inlineStr">
        <is>
          <t>https://www.sec.gov/Archives/edgar/data/1397187/000139718726000020/lulu-20260201.htm</t>
        </is>
      </c>
      <c r="F15" s="75">
        <f>Scenarios!F55</f>
        <v/>
      </c>
      <c r="G15" s="75">
        <f>Scenarios!F56</f>
        <v/>
      </c>
      <c r="H15" s="75">
        <f>Scenarios!F57</f>
        <v/>
      </c>
      <c r="I15" s="75">
        <f>Scenarios!F58</f>
        <v/>
      </c>
      <c r="J15" s="75">
        <f>Scenarios!F59</f>
        <v/>
      </c>
      <c r="K15" s="86">
        <f>IF(MAX(ABS(F16-Scenarios!$F$55),ABS(G16-Scenarios!$F$56),ABS(H16-Scenarios!$F$57),ABS(I16-Scenarios!$F$58),ABS(J16-Scenarios!$F$59))&lt;0.5,"OK","CHECK")</f>
        <v/>
      </c>
    </row>
    <row r="16">
      <c r="A16" s="16" t="inlineStr">
        <is>
          <t>Capex % of revenue</t>
        </is>
      </c>
      <c r="B16" s="19" t="n"/>
      <c r="C16" s="38" t="inlineStr">
        <is>
          <t>10-K</t>
        </is>
      </c>
      <c r="D16" s="19" t="n"/>
      <c r="F16" s="20">
        <f>Scenarios!$F$13</f>
        <v/>
      </c>
      <c r="G16" s="20">
        <f>Scenarios!$F$13</f>
        <v/>
      </c>
      <c r="H16" s="20">
        <f>Scenarios!$F$13</f>
        <v/>
      </c>
      <c r="I16" s="20">
        <f>Scenarios!$F$13</f>
        <v/>
      </c>
      <c r="J16" s="20">
        <f>Scenarios!$F$13</f>
        <v/>
      </c>
    </row>
    <row r="17" ht="150" customHeight="1">
      <c r="A17" s="16" t="inlineStr">
        <is>
          <t>Less: capital expenditures</t>
        </is>
      </c>
      <c r="C17" t="inlineStr">
        <is>
          <t>https://www.sec.gov/Archives/edgar/data/1397187/000139718726000020/lulu-20260201.htm</t>
        </is>
      </c>
      <c r="F17" s="75">
        <f>-Scenarios!F60</f>
        <v/>
      </c>
      <c r="G17" s="75">
        <f>-Scenarios!F61</f>
        <v/>
      </c>
      <c r="H17" s="75">
        <f>-Scenarios!F62</f>
        <v/>
      </c>
      <c r="I17" s="75">
        <f>-Scenarios!F63</f>
        <v/>
      </c>
      <c r="J17" s="75">
        <f>-Scenarios!F64</f>
        <v/>
      </c>
      <c r="K17" s="86">
        <f>IF(MAX(ABS(F18+Scenarios!$F$60),ABS(G18+Scenarios!$F$61),ABS(H18+Scenarios!$F$62),ABS(I18+Scenarios!$F$63),ABS(J18+Scenarios!$F$64))&lt;0.5,"OK","CHECK")</f>
        <v/>
      </c>
    </row>
    <row r="18">
      <c r="A18" s="16" t="inlineStr">
        <is>
          <t>DSO (days) — flat vs FY25</t>
        </is>
      </c>
      <c r="B18" s="17" t="n"/>
      <c r="C18" s="18" t="inlineStr">
        <is>
          <t>10-K</t>
        </is>
      </c>
      <c r="D18" s="19" t="n"/>
      <c r="E18" s="88" t="n">
        <v>6.267883648875038</v>
      </c>
      <c r="F18" s="28">
        <f>Scenarios!F65</f>
        <v/>
      </c>
      <c r="G18" s="28">
        <f>Scenarios!F66</f>
        <v/>
      </c>
      <c r="H18" s="28">
        <f>Scenarios!F67</f>
        <v/>
      </c>
      <c r="I18" s="28">
        <f>Scenarios!F68</f>
        <v/>
      </c>
      <c r="J18" s="28">
        <f>Scenarios!F69</f>
        <v/>
      </c>
      <c r="K18" s="86">
        <f>IF(MAX(ABS(F20-Scenarios!$F$65),ABS(G20-Scenarios!$F$66),ABS(H20-Scenarios!$F$67),ABS(I20-Scenarios!$F$68),ABS(J20-Scenarios!$F$69))&lt;0.5,"OK","CHECK")</f>
        <v/>
      </c>
    </row>
    <row r="19">
      <c r="A19" s="16" t="inlineStr">
        <is>
          <t>Accounts receivable, net</t>
        </is>
      </c>
      <c r="B19" s="17" t="n"/>
      <c r="C19" s="18" t="inlineStr">
        <is>
          <t>10-K</t>
        </is>
      </c>
      <c r="D19" s="19" t="n"/>
      <c r="E19" s="74" t="n">
        <v>190657</v>
      </c>
      <c r="F19" s="75">
        <f>Scenarios!F70</f>
        <v/>
      </c>
      <c r="G19" s="75">
        <f>Scenarios!F71</f>
        <v/>
      </c>
      <c r="H19" s="75">
        <f>Scenarios!F72</f>
        <v/>
      </c>
      <c r="I19" s="75">
        <f>Scenarios!F73</f>
        <v/>
      </c>
      <c r="J19" s="75">
        <f>Scenarios!F74</f>
        <v/>
      </c>
      <c r="K19" s="86">
        <f>IF(MAX(ABS(F21-Scenarios!$F$70),ABS(G21-Scenarios!$F$71),ABS(H21-Scenarios!$F$72),ABS(I21-Scenarios!$F$73),ABS(J21-Scenarios!$F$74))&lt;0.5,"OK","CHECK")</f>
        <v/>
      </c>
    </row>
    <row r="20" hidden="1" outlineLevel="1" ht="150" customHeight="1">
      <c r="A20" s="16" t="inlineStr">
        <is>
          <t>DIO (days) — FY25 anchor, −1 day/yr</t>
        </is>
      </c>
      <c r="B20" s="19" t="n"/>
      <c r="C20" s="38" t="inlineStr">
        <is>
          <t>10-K</t>
        </is>
      </c>
      <c r="D20" s="19" t="n"/>
      <c r="E20" s="88" t="n">
        <v>128.8324100108167</v>
      </c>
      <c r="F20" s="28">
        <f>Scenarios!F75</f>
        <v/>
      </c>
      <c r="G20" s="28">
        <f>Scenarios!F76</f>
        <v/>
      </c>
      <c r="H20" s="28">
        <f>Scenarios!F77</f>
        <v/>
      </c>
      <c r="I20" s="28">
        <f>Scenarios!F78</f>
        <v/>
      </c>
      <c r="J20" s="28">
        <f>Scenarios!F79</f>
        <v/>
      </c>
      <c r="K20" s="86">
        <f>IF(MAX(ABS(F22-Scenarios!$F$75),ABS(G22-Scenarios!$F$76),ABS(H22-Scenarios!$F$77),ABS(I22-Scenarios!$F$78),ABS(J22-Scenarios!$F$79))&lt;0.5,"OK","CHECK")</f>
        <v/>
      </c>
    </row>
    <row r="21" hidden="1" outlineLevel="1" ht="98" customHeight="1">
      <c r="A21" s="16" t="inlineStr">
        <is>
          <t>Inventories</t>
        </is>
      </c>
      <c r="B21" s="17" t="n"/>
      <c r="C21" s="18" t="inlineStr">
        <is>
          <t>10-K</t>
        </is>
      </c>
      <c r="D21" s="19" t="n"/>
      <c r="E21" s="74" t="n">
        <v>1700753</v>
      </c>
      <c r="F21" s="75">
        <f>Scenarios!F80</f>
        <v/>
      </c>
      <c r="G21" s="75">
        <f>Scenarios!F81</f>
        <v/>
      </c>
      <c r="H21" s="75">
        <f>Scenarios!F82</f>
        <v/>
      </c>
      <c r="I21" s="75">
        <f>Scenarios!F83</f>
        <v/>
      </c>
      <c r="J21" s="75">
        <f>Scenarios!F84</f>
        <v/>
      </c>
      <c r="K21" s="86">
        <f>IF(MAX(ABS(F23-Scenarios!$F$80),ABS(G23-Scenarios!$F$81),ABS(H23-Scenarios!$F$82),ABS(I23-Scenarios!$F$83),ABS(J23-Scenarios!$F$84))&lt;0.5,"OK","CHECK")</f>
        <v/>
      </c>
    </row>
    <row r="22" hidden="1" outlineLevel="1" ht="150" customHeight="1">
      <c r="A22" s="16" t="inlineStr">
        <is>
          <t>DPO (days) — flat vs FY25</t>
        </is>
      </c>
      <c r="B22" s="17" t="n"/>
      <c r="C22" s="18" t="inlineStr">
        <is>
          <t>10-K</t>
        </is>
      </c>
      <c r="D22" s="19" t="n"/>
      <c r="E22" s="88" t="n">
        <v>25.10521290169407</v>
      </c>
      <c r="F22" s="28">
        <f>Scenarios!F85</f>
        <v/>
      </c>
      <c r="G22" s="28">
        <f>Scenarios!F86</f>
        <v/>
      </c>
      <c r="H22" s="28">
        <f>Scenarios!F87</f>
        <v/>
      </c>
      <c r="I22" s="28">
        <f>Scenarios!F88</f>
        <v/>
      </c>
      <c r="J22" s="28">
        <f>Scenarios!F89</f>
        <v/>
      </c>
      <c r="K22" s="86">
        <f>IF(MAX(ABS(F24-Scenarios!$F$85),ABS(G24-Scenarios!$F$86),ABS(H24-Scenarios!$F$87),ABS(I24-Scenarios!$F$88),ABS(J24-Scenarios!$F$89))&lt;0.5,"OK","CHECK")</f>
        <v/>
      </c>
    </row>
    <row r="23" hidden="1" outlineLevel="1" ht="112" customHeight="1">
      <c r="A23" s="16" t="inlineStr">
        <is>
          <t>Accounts payable</t>
        </is>
      </c>
      <c r="B23" s="17" t="n"/>
      <c r="C23" s="18" t="inlineStr">
        <is>
          <t>10-K</t>
        </is>
      </c>
      <c r="D23" s="19" t="n"/>
      <c r="E23" s="74" t="n">
        <v>331421</v>
      </c>
      <c r="F23" s="75">
        <f>Scenarios!F90</f>
        <v/>
      </c>
      <c r="G23" s="75">
        <f>Scenarios!F91</f>
        <v/>
      </c>
      <c r="H23" s="75">
        <f>Scenarios!F92</f>
        <v/>
      </c>
      <c r="I23" s="75">
        <f>Scenarios!F93</f>
        <v/>
      </c>
      <c r="J23" s="75">
        <f>Scenarios!F94</f>
        <v/>
      </c>
      <c r="K23" s="86">
        <f>IF(MAX(ABS(F25-Scenarios!$F$90),ABS(G25-Scenarios!$F$91),ABS(H25-Scenarios!$F$92),ABS(I25-Scenarios!$F$93),ABS(J25-Scenarios!$F$94))&lt;0.5,"OK","CHECK")</f>
        <v/>
      </c>
    </row>
    <row r="24" hidden="1" outlineLevel="1" ht="84" customHeight="1">
      <c r="A24" s="16" t="inlineStr">
        <is>
          <t>Prepaid expenses (% of revenue)</t>
        </is>
      </c>
      <c r="B24" s="17" t="n"/>
      <c r="C24" s="18" t="inlineStr">
        <is>
          <t>10-K</t>
        </is>
      </c>
      <c r="D24" s="19" t="n"/>
      <c r="E24" s="77" t="n">
        <v>0.05080692810692991</v>
      </c>
      <c r="F24" s="20">
        <f>Scenarios!$F$19</f>
        <v/>
      </c>
      <c r="G24" s="20">
        <f>Scenarios!$F$19</f>
        <v/>
      </c>
      <c r="H24" s="20">
        <f>Scenarios!$F$19</f>
        <v/>
      </c>
      <c r="I24" s="20">
        <f>Scenarios!$F$19</f>
        <v/>
      </c>
      <c r="J24" s="20">
        <f>Scenarios!$F$19</f>
        <v/>
      </c>
    </row>
    <row r="25" hidden="1" outlineLevel="1" ht="84" customHeight="1">
      <c r="A25" s="16" t="inlineStr">
        <is>
          <t>Prepaid expenses (other current assets)</t>
        </is>
      </c>
      <c r="B25" s="17" t="n"/>
      <c r="C25" s="18" t="inlineStr">
        <is>
          <t>10-K</t>
        </is>
      </c>
      <c r="D25" s="19" t="n"/>
      <c r="E25" s="74" t="n">
        <v>564089</v>
      </c>
      <c r="F25" s="75">
        <f>Scenarios!F95</f>
        <v/>
      </c>
      <c r="G25" s="75">
        <f>Scenarios!F96</f>
        <v/>
      </c>
      <c r="H25" s="75">
        <f>Scenarios!F97</f>
        <v/>
      </c>
      <c r="I25" s="75">
        <f>Scenarios!F98</f>
        <v/>
      </c>
      <c r="J25" s="75">
        <f>Scenarios!F99</f>
        <v/>
      </c>
      <c r="K25" s="86">
        <f>IF(MAX(ABS(F27-Scenarios!$F$95),ABS(G27-Scenarios!$F$96),ABS(H27-Scenarios!$F$97),ABS(I27-Scenarios!$F$98),ABS(J27-Scenarios!$F$99))&lt;0.5,"OK","CHECK")</f>
        <v/>
      </c>
    </row>
    <row r="26" hidden="1" outlineLevel="1" ht="84" customHeight="1">
      <c r="A26" s="16" t="inlineStr">
        <is>
          <t>Accrued liabilities (% of revenue)</t>
        </is>
      </c>
      <c r="B26" s="17" t="n"/>
      <c r="C26" s="18" t="inlineStr">
        <is>
          <t>10-K</t>
        </is>
      </c>
      <c r="D26" s="19" t="n"/>
      <c r="E26" s="77" t="n">
        <v>0.05971412101669879</v>
      </c>
      <c r="F26" s="20">
        <f>Scenarios!$F$20</f>
        <v/>
      </c>
      <c r="G26" s="20">
        <f>Scenarios!$F$20</f>
        <v/>
      </c>
      <c r="H26" s="20">
        <f>Scenarios!$F$20</f>
        <v/>
      </c>
      <c r="I26" s="20">
        <f>Scenarios!$F$20</f>
        <v/>
      </c>
      <c r="J26" s="20">
        <f>Scenarios!$F$20</f>
        <v/>
      </c>
    </row>
    <row r="27" hidden="1" outlineLevel="1" ht="84" customHeight="1">
      <c r="A27" s="16" t="inlineStr">
        <is>
          <t>Accrued liabilities and other</t>
        </is>
      </c>
      <c r="B27" s="17" t="n"/>
      <c r="C27" s="18" t="inlineStr">
        <is>
          <t>10-K</t>
        </is>
      </c>
      <c r="D27" s="19" t="n"/>
      <c r="E27" s="74" t="n">
        <v>662982</v>
      </c>
      <c r="F27" s="75">
        <f>Scenarios!F100</f>
        <v/>
      </c>
      <c r="G27" s="75">
        <f>Scenarios!F101</f>
        <v/>
      </c>
      <c r="H27" s="75">
        <f>Scenarios!F102</f>
        <v/>
      </c>
      <c r="I27" s="75">
        <f>Scenarios!F103</f>
        <v/>
      </c>
      <c r="J27" s="75">
        <f>Scenarios!F104</f>
        <v/>
      </c>
      <c r="K27" s="86">
        <f>IF(MAX(ABS(F29-Scenarios!$F$100),ABS(G29-Scenarios!$F$101),ABS(H29-Scenarios!$F$102),ABS(I29-Scenarios!$F$103),ABS(J29-Scenarios!$F$104))&lt;0.5,"OK","CHECK")</f>
        <v/>
      </c>
    </row>
    <row r="28" hidden="1" outlineLevel="1" ht="84" customHeight="1">
      <c r="A28" s="16" t="inlineStr">
        <is>
          <t>Current operating assets (AR + inv + prepaids)</t>
        </is>
      </c>
      <c r="B28" s="17" t="n"/>
      <c r="C28" s="18" t="inlineStr">
        <is>
          <t>Scenarios</t>
        </is>
      </c>
      <c r="D28" s="19" t="n"/>
      <c r="E28" t="inlineStr">
        <is>
          <t>https://www.sec.gov/Archives/edgar/data/1397187/000139718726000020/lulu-20260201.htm</t>
        </is>
      </c>
      <c r="F28" s="75">
        <f>Scenarios!F105</f>
        <v/>
      </c>
      <c r="G28" s="75">
        <f>Scenarios!F106</f>
        <v/>
      </c>
      <c r="H28" s="75">
        <f>Scenarios!F107</f>
        <v/>
      </c>
      <c r="I28" s="75">
        <f>Scenarios!F108</f>
        <v/>
      </c>
      <c r="J28" s="75">
        <f>Scenarios!F109</f>
        <v/>
      </c>
      <c r="K28" s="86">
        <f>IF(MAX(ABS(F30-Scenarios!$F$105),ABS(G30-Scenarios!$F$106),ABS(H30-Scenarios!$F$107),ABS(I30-Scenarios!$F$108),ABS(J30-Scenarios!$F$109))&lt;0.5,"OK","CHECK")</f>
        <v/>
      </c>
    </row>
    <row r="29" hidden="1" outlineLevel="1" ht="84" customHeight="1">
      <c r="A29" s="16" t="inlineStr">
        <is>
          <t>Current operating liabilities (AP + accruals)</t>
        </is>
      </c>
      <c r="B29" s="17" t="n"/>
      <c r="C29" s="18" t="inlineStr">
        <is>
          <t>Scenarios</t>
        </is>
      </c>
      <c r="D29" s="19" t="n"/>
      <c r="E29" t="inlineStr">
        <is>
          <t>https://www.sec.gov/Archives/edgar/data/1397187/000139718726000020/lulu-20260201.htm</t>
        </is>
      </c>
      <c r="F29" s="75">
        <f>Scenarios!F110</f>
        <v/>
      </c>
      <c r="G29" s="75">
        <f>Scenarios!F111</f>
        <v/>
      </c>
      <c r="H29" s="75">
        <f>Scenarios!F112</f>
        <v/>
      </c>
      <c r="I29" s="75">
        <f>Scenarios!F113</f>
        <v/>
      </c>
      <c r="J29" s="75">
        <f>Scenarios!F114</f>
        <v/>
      </c>
      <c r="K29" s="86">
        <f>IF(MAX(ABS(F31-Scenarios!$F$110),ABS(G31-Scenarios!$F$111),ABS(H31-Scenarios!$F$112),ABS(I31-Scenarios!$F$113),ABS(J31-Scenarios!$F$114))&lt;0.5,"OK","CHECK")</f>
        <v/>
      </c>
    </row>
    <row r="30" hidden="1" outlineLevel="1" ht="42" customHeight="1">
      <c r="A30" s="23" t="inlineStr">
        <is>
          <t>Net working capital</t>
        </is>
      </c>
      <c r="B30" s="17" t="n"/>
      <c r="C30" s="18" t="inlineStr">
        <is>
          <t>10-K</t>
        </is>
      </c>
      <c r="D30" s="19" t="n"/>
      <c r="E30" s="76" t="n">
        <v>1461096</v>
      </c>
      <c r="F30" s="25">
        <f>Scenarios!F115</f>
        <v/>
      </c>
      <c r="G30" s="25">
        <f>Scenarios!F116</f>
        <v/>
      </c>
      <c r="H30" s="25">
        <f>Scenarios!F117</f>
        <v/>
      </c>
      <c r="I30" s="25">
        <f>Scenarios!F118</f>
        <v/>
      </c>
      <c r="J30" s="25">
        <f>Scenarios!F119</f>
        <v/>
      </c>
      <c r="K30" s="87">
        <f>IF(MAX(ABS(F32-Scenarios!$F$115),ABS(G32-Scenarios!$F$116),ABS(H32-Scenarios!$F$117),ABS(I32-Scenarios!$F$118),ABS(J32-Scenarios!$F$119))&lt;0.5,"OK","CHECK")</f>
        <v/>
      </c>
    </row>
    <row r="31" hidden="1" outlineLevel="1" ht="42" customHeight="1">
      <c r="A31" s="23" t="inlineStr">
        <is>
          <t>ΔNWC (prior yr − current yr)</t>
        </is>
      </c>
      <c r="B31" s="17" t="n"/>
      <c r="C31" s="18" t="inlineStr">
        <is>
          <t>Scenarios</t>
        </is>
      </c>
      <c r="D31" s="19" t="n"/>
      <c r="F31" s="25">
        <f>Scenarios!F120</f>
        <v/>
      </c>
      <c r="G31" s="25">
        <f>Scenarios!F121</f>
        <v/>
      </c>
      <c r="H31" s="25">
        <f>Scenarios!F122</f>
        <v/>
      </c>
      <c r="I31" s="25">
        <f>Scenarios!F123</f>
        <v/>
      </c>
      <c r="J31" s="25">
        <f>Scenarios!F124</f>
        <v/>
      </c>
      <c r="K31" s="87">
        <f>IF(MAX(ABS(F33-Scenarios!$F$120),ABS(G33-Scenarios!$F$121),ABS(H33-Scenarios!$F$122),ABS(I33-Scenarios!$F$123),ABS(J33-Scenarios!$F$124))&lt;0.5,"OK","CHECK")</f>
        <v/>
      </c>
    </row>
    <row r="32" hidden="1" outlineLevel="1" ht="42" customHeight="1">
      <c r="A32" s="23" t="inlineStr">
        <is>
          <t>Unlevered free cash flow</t>
        </is>
      </c>
      <c r="C32" t="inlineStr">
        <is>
          <t>https://www.sec.gov/Archives/edgar/data/1397187/000139718726000020/lulu-20260201.htm</t>
        </is>
      </c>
      <c r="E32" t="inlineStr">
        <is>
          <t>https://www.sec.gov/Archives/edgar/data/1397187/000139718726000020/lulu-20260201.htm</t>
        </is>
      </c>
      <c r="F32" s="89">
        <f>Scenarios!F125</f>
        <v/>
      </c>
      <c r="G32" s="89">
        <f>Scenarios!F126</f>
        <v/>
      </c>
      <c r="H32" s="89">
        <f>Scenarios!F127</f>
        <v/>
      </c>
      <c r="I32" s="89">
        <f>Scenarios!F128</f>
        <v/>
      </c>
      <c r="J32" s="89">
        <f>Scenarios!F129</f>
        <v/>
      </c>
      <c r="K32" s="87">
        <f>IF(MAX(ABS(F35-Scenarios!$F$125),ABS(G35-Scenarios!$F$126),ABS(H35-Scenarios!$F$127),ABS(I35-Scenarios!$F$128),ABS(J35-Scenarios!$F$129))&lt;0.5,"OK","CHECK")</f>
        <v/>
      </c>
    </row>
    <row r="33" ht="56" customHeight="1">
      <c r="A33" s="16" t="inlineStr">
        <is>
          <t>Discount period (years)</t>
        </is>
      </c>
      <c r="C33" t="inlineStr">
        <is>
          <t>'Scenarios'!A120</t>
        </is>
      </c>
      <c r="F33" s="90" t="n">
        <v>1</v>
      </c>
      <c r="G33" s="90" t="n">
        <v>2</v>
      </c>
      <c r="H33" s="90" t="n">
        <v>3</v>
      </c>
      <c r="I33" s="90" t="n">
        <v>4</v>
      </c>
      <c r="J33" s="90" t="n">
        <v>5</v>
      </c>
    </row>
    <row r="34">
      <c r="A34" s="16" t="inlineStr">
        <is>
          <t>Discount factor @ WACC</t>
        </is>
      </c>
      <c r="F34" s="91">
        <f>1/(1+Scenarios!$F$9)^F36</f>
        <v/>
      </c>
      <c r="G34" s="91">
        <f>1/(1+Scenarios!$F$9)^G36</f>
        <v/>
      </c>
      <c r="H34" s="91">
        <f>1/(1+Scenarios!$F$9)^H36</f>
        <v/>
      </c>
      <c r="I34" s="91">
        <f>1/(1+Scenarios!$F$9)^I36</f>
        <v/>
      </c>
      <c r="J34" s="91">
        <f>1/(1+Scenarios!$F$9)^J36</f>
        <v/>
      </c>
    </row>
    <row r="35">
      <c r="A35" s="23" t="inlineStr">
        <is>
          <t>PV of unlevered FCF</t>
        </is>
      </c>
      <c r="F35" s="25">
        <f>F35*F37</f>
        <v/>
      </c>
      <c r="G35" s="25">
        <f>G35*G37</f>
        <v/>
      </c>
      <c r="H35" s="25">
        <f>H35*H37</f>
        <v/>
      </c>
      <c r="I35" s="25">
        <f>I35*I37</f>
        <v/>
      </c>
      <c r="J35" s="25">
        <f>J35*J37</f>
        <v/>
      </c>
    </row>
    <row r="37">
      <c r="A37" s="15" t="inlineStr">
        <is>
          <t>Scenarios linkage summary (column K should all read OK)</t>
        </is>
      </c>
      <c r="K37" s="92">
        <f>IF(COUNTIF(K5:K35,"CHECK")=0,"ALL OK","REVIEW")</f>
        <v/>
      </c>
    </row>
    <row r="38">
      <c r="A38" s="93" t="inlineStr">
        <is>
          <t>VALUATION — GORDON GROWTH (PERPETUITY) METHOD</t>
        </is>
      </c>
      <c r="B38" s="13" t="n"/>
      <c r="C38" s="13" t="n"/>
    </row>
    <row r="39">
      <c r="A39" s="23" t="inlineStr">
        <is>
          <t>Sum of PV of explicit FCF (FY26–FY30)</t>
        </is>
      </c>
      <c r="E39" s="70">
        <f>SUM(F38:J38)</f>
        <v/>
      </c>
    </row>
    <row r="40">
      <c r="A40" s="16" t="inlineStr">
        <is>
          <t>Terminal growth rate (g)</t>
        </is>
      </c>
      <c r="B40" s="17" t="n"/>
      <c r="C40" s="18" t="inlineStr">
        <is>
          <t>FRED</t>
        </is>
      </c>
      <c r="D40" s="19" t="n"/>
      <c r="E40" s="32">
        <f>Scenarios!$F$10</f>
        <v/>
      </c>
    </row>
    <row r="41">
      <c r="A41" s="23" t="inlineStr">
        <is>
          <t>Terminal EBITDA (FY2030E EBIT + D&amp;A)</t>
        </is>
      </c>
      <c r="E41" s="25">
        <f>J11+J16</f>
        <v/>
      </c>
    </row>
    <row r="42">
      <c r="A42" s="16" t="inlineStr">
        <is>
          <t>Terminal value = FCF₅×(1+g)/(WACC−g)</t>
        </is>
      </c>
      <c r="E42" s="75">
        <f>J35*(1+Scenarios!$F$10)/(Scenarios!$F$9-Scenarios!$F$10)</f>
        <v/>
      </c>
    </row>
    <row r="43" ht="28" customHeight="1">
      <c r="A43" s="16" t="inlineStr">
        <is>
          <t>Implied exit EV/EBITDA = Gordon TV / FY30 EBITDA</t>
        </is>
      </c>
      <c r="C43" t="inlineStr">
        <is>
          <t>https://fred.stlouisfed.org/series/GDPC1</t>
        </is>
      </c>
      <c r="E43" s="94">
        <f>E42/E41</f>
        <v/>
      </c>
    </row>
    <row r="44">
      <c r="A44" s="23" t="inlineStr">
        <is>
          <t>PV of terminal value</t>
        </is>
      </c>
      <c r="E44" s="70">
        <f>E42/(1+Scenarios!$F$9)^J36</f>
        <v/>
      </c>
    </row>
    <row r="45">
      <c r="A45" s="23" t="inlineStr">
        <is>
          <t>Enterprise value</t>
        </is>
      </c>
      <c r="E45" s="25">
        <f>E39+E44</f>
        <v/>
      </c>
    </row>
    <row r="46">
      <c r="A46" s="16" t="inlineStr">
        <is>
          <t>Plus: cash &amp; equivalents (FY2025)</t>
        </is>
      </c>
      <c r="C46" s="95" t="inlineStr">
        <is>
          <t>10-K</t>
        </is>
      </c>
      <c r="D46" s="19" t="n"/>
      <c r="E46" s="74" t="n">
        <v>1807202</v>
      </c>
    </row>
    <row r="47">
      <c r="A47" s="16" t="inlineStr">
        <is>
          <t>Less: total debt &amp; operating leases</t>
        </is>
      </c>
      <c r="B47" s="17" t="n"/>
      <c r="C47" s="18" t="inlineStr">
        <is>
          <t>10-K</t>
        </is>
      </c>
      <c r="D47" s="19" t="n"/>
      <c r="E47" s="74" t="n">
        <v>-1798441</v>
      </c>
    </row>
    <row r="48">
      <c r="A48" s="23" t="inlineStr">
        <is>
          <t>Equity value</t>
        </is>
      </c>
      <c r="E48" s="25">
        <f>E45+E46+E47</f>
        <v/>
      </c>
    </row>
    <row r="49">
      <c r="A49" s="16" t="inlineStr">
        <is>
          <t>Shares outstanding (000)</t>
        </is>
      </c>
      <c r="C49" s="95" t="inlineStr">
        <is>
          <t>10-K</t>
        </is>
      </c>
      <c r="D49" s="19" t="n"/>
      <c r="E49" s="74" t="n">
        <v>111380</v>
      </c>
    </row>
    <row r="50" ht="28" customHeight="1">
      <c r="A50" s="23" t="inlineStr">
        <is>
          <t>Implied value per share</t>
        </is>
      </c>
      <c r="C50" t="inlineStr">
        <is>
          <t>https://www.sec.gov/Archives/edgar/data/1397187/000139718726000020/lulu-20260201.htm</t>
        </is>
      </c>
      <c r="E50" s="96">
        <f>E48/E49</f>
        <v/>
      </c>
      <c r="K50" s="87">
        <f>IF(ABS(E56-Scenarios!$F$132)&lt;0.05,"OK","CHECK")</f>
        <v/>
      </c>
    </row>
    <row r="51" ht="28" customHeight="1">
      <c r="A51" s="16" t="inlineStr">
        <is>
          <t>Current share price</t>
        </is>
      </c>
      <c r="C51" s="95" t="inlineStr">
        <is>
          <t>NASDAQ</t>
        </is>
      </c>
      <c r="D51" s="19" t="n"/>
      <c r="E51" s="97" t="n">
        <v>100</v>
      </c>
    </row>
    <row r="52">
      <c r="A52" s="23" t="inlineStr">
        <is>
          <t>Implied upside / (downside)</t>
        </is>
      </c>
      <c r="E52" s="98">
        <f>E50/E51-1</f>
        <v/>
      </c>
    </row>
    <row r="55" ht="28" customHeight="1">
      <c r="A55" s="93" t="inlineStr">
        <is>
          <t>SHARE REPURCHASE &amp; EPS ACCRETION SCHEDULE</t>
        </is>
      </c>
      <c r="B55" s="13" t="n"/>
      <c r="C55" s="13" t="inlineStr">
        <is>
          <t>https://www.sec.gov/Archives/edgar/data/1397187/000139718726000020/lulu-20260201.htm</t>
        </is>
      </c>
      <c r="D55" s="13" t="n"/>
      <c r="E55" s="13" t="inlineStr">
        <is>
          <t>https://www.sec.gov/Archives/edgar/data/1397187/000139718726000020/lulu-20260201.htm</t>
        </is>
      </c>
    </row>
    <row r="57" ht="28" customHeight="1">
      <c r="A57" s="16" t="inlineStr">
        <is>
          <t>Annual repurchase budget ($000) — base case</t>
        </is>
      </c>
      <c r="C57" t="inlineStr">
        <is>
          <t>https://www.nasdaq.com/market-activity/stocks/lulu</t>
        </is>
      </c>
      <c r="E57" s="37" t="n">
        <v>500000</v>
      </c>
      <c r="F57" s="37">
        <f>$E$65</f>
        <v/>
      </c>
      <c r="G57" s="37">
        <f>$E$65</f>
        <v/>
      </c>
      <c r="H57" s="37">
        <f>$E$65</f>
        <v/>
      </c>
      <c r="I57" s="37">
        <f>$E$65</f>
        <v/>
      </c>
      <c r="J57" s="37">
        <f>$E$65</f>
        <v/>
      </c>
    </row>
    <row r="58">
      <c r="A58" s="16" t="inlineStr">
        <is>
          <t>Cost of equity — share-price growth rate</t>
        </is>
      </c>
      <c r="E58" s="20" t="n">
        <v>0.105</v>
      </c>
      <c r="F58" s="20">
        <f>$E$66</f>
        <v/>
      </c>
      <c r="G58" s="20">
        <f>$E$66</f>
        <v/>
      </c>
      <c r="H58" s="20">
        <f>$E$66</f>
        <v/>
      </c>
      <c r="I58" s="20">
        <f>$E$66</f>
        <v/>
      </c>
      <c r="J58" s="20">
        <f>$E$66</f>
        <v/>
      </c>
    </row>
    <row r="60">
      <c r="A60" s="16" t="inlineStr">
        <is>
          <t>Unlevered free cash flow (from DCF above)</t>
        </is>
      </c>
      <c r="F60" s="75">
        <f>F35</f>
        <v/>
      </c>
      <c r="G60" s="75">
        <f>G35</f>
        <v/>
      </c>
      <c r="H60" s="75">
        <f>H35</f>
        <v/>
      </c>
      <c r="I60" s="75">
        <f>I35</f>
        <v/>
      </c>
      <c r="J60" s="75">
        <f>J35</f>
        <v/>
      </c>
    </row>
    <row r="61">
      <c r="A61" s="16" t="inlineStr">
        <is>
          <t>Repurchase cash deployed (= fixed budget)</t>
        </is>
      </c>
      <c r="E61" s="75" t="n">
        <v>0</v>
      </c>
      <c r="F61" s="75">
        <f>F65</f>
        <v/>
      </c>
      <c r="G61" s="75">
        <f>G65</f>
        <v/>
      </c>
      <c r="H61" s="75">
        <f>H65</f>
        <v/>
      </c>
      <c r="I61" s="75">
        <f>I65</f>
        <v/>
      </c>
      <c r="J61" s="75">
        <f>J65</f>
        <v/>
      </c>
    </row>
    <row r="62">
      <c r="A62" s="16" t="inlineStr">
        <is>
          <t>Repurchase as % of UFCF (derived)</t>
        </is>
      </c>
      <c r="F62" s="32">
        <f>F69/F68</f>
        <v/>
      </c>
      <c r="G62" s="32">
        <f>G69/G68</f>
        <v/>
      </c>
      <c r="H62" s="32">
        <f>H69/H68</f>
        <v/>
      </c>
      <c r="I62" s="32">
        <f>I69/I68</f>
        <v/>
      </c>
      <c r="J62" s="32">
        <f>J69/J68</f>
        <v/>
      </c>
    </row>
    <row r="64">
      <c r="A64" s="16" t="inlineStr">
        <is>
          <t>Projected share price ($)</t>
        </is>
      </c>
      <c r="E64" s="99" t="n">
        <v>100</v>
      </c>
      <c r="F64" s="99">
        <f>E72*(1+$E$66)</f>
        <v/>
      </c>
      <c r="G64" s="99">
        <f>F72*(1+$E$66)</f>
        <v/>
      </c>
      <c r="H64" s="99">
        <f>G72*(1+$E$66)</f>
        <v/>
      </c>
      <c r="I64" s="99">
        <f>H72*(1+$E$66)</f>
        <v/>
      </c>
      <c r="J64" s="99">
        <f>I72*(1+$E$66)</f>
        <v/>
      </c>
    </row>
    <row r="65">
      <c r="A65" s="16" t="inlineStr">
        <is>
          <t>Shares retired (000)</t>
        </is>
      </c>
      <c r="E65" s="75" t="n">
        <v>0</v>
      </c>
      <c r="F65" s="75">
        <f>F69/F72</f>
        <v/>
      </c>
      <c r="G65" s="75">
        <f>G69/G72</f>
        <v/>
      </c>
      <c r="H65" s="75">
        <f>H69/H72</f>
        <v/>
      </c>
      <c r="I65" s="75">
        <f>I69/I72</f>
        <v/>
      </c>
      <c r="J65" s="75">
        <f>J69/J72</f>
        <v/>
      </c>
    </row>
    <row r="66">
      <c r="A66" s="16" t="inlineStr">
        <is>
          <t>Beginning shares (000)</t>
        </is>
      </c>
      <c r="E66" s="22" t="n">
        <v>111380</v>
      </c>
      <c r="F66" s="75">
        <f>$E$74</f>
        <v/>
      </c>
      <c r="G66" s="75">
        <f>F75</f>
        <v/>
      </c>
      <c r="H66" s="75">
        <f>G75</f>
        <v/>
      </c>
      <c r="I66" s="75">
        <f>H75</f>
        <v/>
      </c>
      <c r="J66" s="75">
        <f>I75</f>
        <v/>
      </c>
    </row>
    <row r="67">
      <c r="A67" s="23" t="inlineStr">
        <is>
          <t>Ending shares (000)</t>
        </is>
      </c>
      <c r="E67" s="100" t="n">
        <v>111380</v>
      </c>
      <c r="F67" s="25">
        <f>F74-F73</f>
        <v/>
      </c>
      <c r="G67" s="25">
        <f>G74-G73</f>
        <v/>
      </c>
      <c r="H67" s="25">
        <f>H74-H73</f>
        <v/>
      </c>
      <c r="I67" s="25">
        <f>I74-I73</f>
        <v/>
      </c>
      <c r="J67" s="25">
        <f>J74-J73</f>
        <v/>
      </c>
    </row>
    <row r="69">
      <c r="A69" s="16" t="inlineStr">
        <is>
          <t>Projected net income ($000)</t>
        </is>
      </c>
      <c r="E69" s="22" t="n">
        <v>1579183</v>
      </c>
      <c r="F69" s="75">
        <f>('NOPAT Bridge'!E36-'NOPAT Bridge'!E23)*(1-'NOPAT Bridge'!E$39)</f>
        <v/>
      </c>
      <c r="G69" s="75">
        <f>('NOPAT Bridge'!F36-'NOPAT Bridge'!F23)*(1-'NOPAT Bridge'!F$39)</f>
        <v/>
      </c>
      <c r="H69" s="75">
        <f>('NOPAT Bridge'!G36-'NOPAT Bridge'!G23)*(1-'NOPAT Bridge'!G$39)</f>
        <v/>
      </c>
      <c r="I69" s="75">
        <f>('NOPAT Bridge'!H36-'NOPAT Bridge'!H23)*(1-'NOPAT Bridge'!H$39)</f>
        <v/>
      </c>
      <c r="J69" s="75">
        <f>('NOPAT Bridge'!I36-'NOPAT Bridge'!I23)*(1-'NOPAT Bridge'!I$39)</f>
        <v/>
      </c>
    </row>
    <row r="70">
      <c r="A70" s="23" t="inlineStr">
        <is>
          <t>Accretive EPS ($/share) = Net income ÷ ending shares</t>
        </is>
      </c>
      <c r="E70" s="101" t="n">
        <v>14.1783354282636</v>
      </c>
      <c r="F70" s="101">
        <f>F77/F75</f>
        <v/>
      </c>
      <c r="G70" s="101">
        <f>G77/G75</f>
        <v/>
      </c>
      <c r="H70" s="101">
        <f>H77/H75</f>
        <v/>
      </c>
      <c r="I70" s="101">
        <f>I77/I75</f>
        <v/>
      </c>
      <c r="J70" s="101">
        <f>J77/J75</f>
        <v/>
      </c>
    </row>
    <row r="72">
      <c r="A72" s="93" t="inlineStr">
        <is>
          <t>CROSS-CHECK — EXIT MULTIPLE METHOD</t>
        </is>
      </c>
      <c r="B72" s="13" t="n"/>
      <c r="C72" s="13" t="n"/>
    </row>
    <row r="73">
      <c r="A73" s="15" t="inlineStr">
        <is>
          <t>Exit multiple is the Gordon identity — not a peer pick or an average</t>
        </is>
      </c>
    </row>
    <row r="74">
      <c r="A74" s="16" t="inlineStr">
        <is>
          <t>Selected exit EV/EBITDA (Gordon implied)</t>
        </is>
      </c>
      <c r="B74" s="17" t="n"/>
      <c r="C74" s="18" t="inlineStr">
        <is>
          <t>DCF: Gordon implied exit (TV / FY30 EBIT</t>
        </is>
      </c>
      <c r="D74" s="19" t="n"/>
      <c r="E74" s="94">
        <f>E46</f>
        <v/>
      </c>
      <c r="M74" s="95" t="n"/>
    </row>
    <row r="75">
      <c r="A75" s="16" t="inlineStr">
        <is>
          <t>Terminal value = Terminal EBITDA × exit multiple</t>
        </is>
      </c>
      <c r="E75" s="75">
        <f>E41*E74</f>
        <v/>
      </c>
    </row>
    <row r="76">
      <c r="A76" s="16" t="inlineStr">
        <is>
          <t>PV of terminal value</t>
        </is>
      </c>
      <c r="E76" s="75">
        <f>E75/(1+Scenarios!$F$9)^J36</f>
        <v/>
      </c>
    </row>
    <row r="77">
      <c r="A77" s="23" t="inlineStr">
        <is>
          <t>Enterprise value (exit method)</t>
        </is>
      </c>
      <c r="E77" s="25">
        <f>E39+E76</f>
        <v/>
      </c>
    </row>
    <row r="78">
      <c r="A78" s="23" t="inlineStr">
        <is>
          <t>Implied value per share (exit method)</t>
        </is>
      </c>
      <c r="E78" s="102">
        <f>(E77+E46+E47)/E49</f>
        <v/>
      </c>
    </row>
    <row r="80">
      <c r="A80" s="93" t="inlineStr">
        <is>
          <t>TERMINAL VALUE RECONCILIATION (GORDON vs EXIT MULTIPLE)</t>
        </is>
      </c>
      <c r="B80" s="13" t="n"/>
      <c r="C80" s="13" t="n"/>
      <c r="D80" s="13" t="n"/>
    </row>
    <row r="81">
      <c r="A81" s="103" t="inlineStr"/>
      <c r="B81" s="54" t="n"/>
      <c r="C81" s="54" t="inlineStr">
        <is>
          <t>Exit Multiple</t>
        </is>
      </c>
      <c r="D81" s="54" t="n"/>
    </row>
    <row r="82" ht="28" customHeight="1">
      <c r="A82" s="23" t="inlineStr">
        <is>
          <t>Terminal value ($)</t>
        </is>
      </c>
      <c r="B82" s="70" t="n"/>
      <c r="C82" s="70">
        <f>E83</f>
        <v/>
      </c>
      <c r="D82" s="70" t="n"/>
      <c r="M82" t="inlineStr">
        <is>
          <t>'Comps'!A45</t>
        </is>
      </c>
    </row>
    <row r="83">
      <c r="A83" s="23" t="inlineStr">
        <is>
          <t>Exit EV/EBITDA (implied vs selected)</t>
        </is>
      </c>
      <c r="B83" s="104" t="n"/>
      <c r="C83" s="104">
        <f>E82</f>
        <v/>
      </c>
      <c r="D83" s="104" t="n"/>
    </row>
    <row r="84">
      <c r="A84" s="16" t="inlineStr">
        <is>
          <t>Terminal value variance (%)</t>
        </is>
      </c>
      <c r="B84" s="32" t="n"/>
      <c r="C84" s="32" t="n"/>
      <c r="D84" s="32" t="n"/>
    </row>
    <row r="85">
      <c r="A85" s="23" t="inlineStr">
        <is>
          <t>Implied share price</t>
        </is>
      </c>
      <c r="B85" s="105" t="n"/>
      <c r="C85" s="105">
        <f>E86</f>
        <v/>
      </c>
      <c r="D85" s="105" t="n"/>
    </row>
    <row r="86">
      <c r="A86" s="68" t="inlineStr">
        <is>
          <t>Sanity check: multiples within ±1.5 turns?</t>
        </is>
      </c>
      <c r="B86" s="106" t="n"/>
      <c r="C86" s="107">
        <f>TEXT(D91,"0.0")&amp;"x spread vs Gordon-imp</f>
        <v/>
      </c>
      <c r="D86" s="26" t="n"/>
    </row>
    <row r="89">
      <c r="A89" s="93" t="inlineStr">
        <is>
          <t>SENSITIVITY — IMPLIED SHARE PRICE (WACC vs terminal growth)</t>
        </is>
      </c>
      <c r="B89" s="13" t="n"/>
      <c r="C89" s="13" t="n"/>
      <c r="D89" s="13" t="n"/>
      <c r="E89" s="13" t="n"/>
      <c r="F89" s="13" t="n"/>
      <c r="G89" s="13" t="n"/>
      <c r="H89" s="13" t="n"/>
    </row>
    <row r="90">
      <c r="A90" s="108" t="inlineStr">
        <is>
          <t>WACC \ g</t>
        </is>
      </c>
      <c r="B90" s="17" t="n"/>
      <c r="C90" s="18" t="inlineStr">
        <is>
          <t>FRED</t>
        </is>
      </c>
      <c r="D90" s="19" t="n"/>
      <c r="F90" s="109" t="n">
        <v>0.015</v>
      </c>
      <c r="G90" s="109" t="n">
        <v>0.02</v>
      </c>
      <c r="H90" s="109" t="n">
        <v>0.0225</v>
      </c>
      <c r="I90" s="109" t="n">
        <v>0.025</v>
      </c>
      <c r="J90" s="109" t="n">
        <v>0.03</v>
      </c>
      <c r="L90" s="95" t="inlineStr">
        <is>
          <t>Scenarios: terminal g</t>
        </is>
      </c>
    </row>
    <row r="91">
      <c r="A91" s="109" t="n">
        <v>0.095</v>
      </c>
      <c r="C91" s="95" t="inlineStr">
        <is>
          <t>Damodaran</t>
        </is>
      </c>
      <c r="D91" s="19" t="n"/>
      <c r="F91" s="110">
        <f>(NPV(0.095,F35:J35)+(J35*(1+0.015)/(0.095-0.015))/(1+0.095)^5+E46+E47)/E49</f>
        <v/>
      </c>
      <c r="G91" s="110">
        <f>(NPV(0.095,F35:J35)+(J35*(1+0.02)/(0.095-0.02))/(1+0.095)^5+E46+E47)/E49</f>
        <v/>
      </c>
      <c r="H91" s="110">
        <f>(NPV(0.095,F35:J35)+(J35*(1+0.0225)/(0.095-0.0225))/(1+0.095)^5+E46+E47)/E49</f>
        <v/>
      </c>
      <c r="I91" s="110">
        <f>(NPV(0.095,F35:J35)+(J35*(1+0.025)/(0.095-0.025))/(1+0.095)^5+E46+E47)/E49</f>
        <v/>
      </c>
      <c r="J91" s="110">
        <f>(NPV(0.095,F35:J35)+(J35*(1+0.03)/(0.095-0.03))/(1+0.095)^5+E46+E47)/E49</f>
        <v/>
      </c>
      <c r="L91" s="95" t="inlineStr">
        <is>
          <t>WACC tab</t>
        </is>
      </c>
    </row>
    <row r="92">
      <c r="A92" s="109" t="n">
        <v>0.1</v>
      </c>
      <c r="D92" s="19" t="n"/>
      <c r="F92" s="110">
        <f>(NPV(0.1,F35:J35)+(J35*(1+0.015)/(0.1-0.015))/(1+0.1)^5+E46+E47)/E49</f>
        <v/>
      </c>
      <c r="G92" s="110">
        <f>(NPV(0.1,F35:J35)+(J35*(1+0.02)/(0.1-0.02))/(1+0.1)^5+E46+E47)/E49</f>
        <v/>
      </c>
      <c r="H92" s="110">
        <f>(NPV(0.1,F35:J35)+(J35*(1+0.0225)/(0.1-0.0225))/(1+0.1)^5+E46+E47)/E49</f>
        <v/>
      </c>
      <c r="I92" s="110">
        <f>(NPV(0.1,F35:J35)+(J35*(1+0.025)/(0.1-0.025))/(1+0.1)^5+E46+E47)/E49</f>
        <v/>
      </c>
      <c r="J92" s="110">
        <f>(NPV(0.1,F35:J35)+(J35*(1+0.03)/(0.1-0.03))/(1+0.1)^5+E46+E47)/E49</f>
        <v/>
      </c>
      <c r="L92" s="95" t="inlineStr">
        <is>
          <t>WACC tab</t>
        </is>
      </c>
    </row>
    <row r="93">
      <c r="A93" s="109" t="n">
        <v>0.105</v>
      </c>
      <c r="D93" s="19" t="n"/>
      <c r="F93" s="110">
        <f>(NPV(0.105,F35:J35)+(J35*(1+0.015)/(0.105-0.015))/(1+0.105)^5+E46+E47)/E49</f>
        <v/>
      </c>
      <c r="G93" s="110">
        <f>(NPV(0.105,F35:J35)+(J35*(1+0.02)/(0.105-0.02))/(1+0.105)^5+E46+E47)/E49</f>
        <v/>
      </c>
      <c r="H93" s="111">
        <f>(NPV(0.105,F35:J35)+(J35*(1+0.0225)/(0.105-0.0225))/(1+0.105)^5+E46+E47)/E49</f>
        <v/>
      </c>
      <c r="I93" s="110">
        <f>(NPV(0.105,F35:J35)+(J35*(1+0.025)/(0.105-0.025))/(1+0.105)^5+E46+E47)/E49</f>
        <v/>
      </c>
      <c r="J93" s="110">
        <f>(NPV(0.105,F35:J35)+(J35*(1+0.03)/(0.105-0.03))/(1+0.105)^5+E46+E47)/E49</f>
        <v/>
      </c>
      <c r="L93" s="95" t="inlineStr">
        <is>
          <t>WACC tab</t>
        </is>
      </c>
    </row>
    <row r="94">
      <c r="A94" s="109" t="n">
        <v>0.11</v>
      </c>
      <c r="D94" s="19" t="n"/>
      <c r="F94" s="110">
        <f>(NPV(0.11,F35:J35)+(J35*(1+0.015)/(0.11-0.015))/(1+0.11)^5+E46+E47)/E49</f>
        <v/>
      </c>
      <c r="G94" s="110">
        <f>(NPV(0.11,F35:J35)+(J35*(1+0.02)/(0.11-0.02))/(1+0.11)^5+E46+E47)/E49</f>
        <v/>
      </c>
      <c r="H94" s="110">
        <f>(NPV(0.11,F35:J35)+(J35*(1+0.0225)/(0.11-0.0225))/(1+0.11)^5+E46+E47)/E49</f>
        <v/>
      </c>
      <c r="I94" s="110">
        <f>(NPV(0.11,F35:J35)+(J35*(1+0.025)/(0.11-0.025))/(1+0.11)^5+E46+E47)/E49</f>
        <v/>
      </c>
      <c r="J94" s="110">
        <f>(NPV(0.11,F35:J35)+(J35*(1+0.03)/(0.11-0.03))/(1+0.11)^5+E46+E47)/E49</f>
        <v/>
      </c>
      <c r="L94" s="95" t="inlineStr">
        <is>
          <t>WACC tab</t>
        </is>
      </c>
    </row>
    <row r="95">
      <c r="A95" s="109" t="n">
        <v>0.115</v>
      </c>
      <c r="D95" s="19" t="n"/>
      <c r="F95" s="110">
        <f>(NPV(0.115,F35:J35)+(J35*(1+0.015)/(0.115-0.015))/(1+0.115)^5+E46+E47)/E49</f>
        <v/>
      </c>
      <c r="G95" s="110">
        <f>(NPV(0.115,F35:J35)+(J35*(1+0.02)/(0.115-0.02))/(1+0.115)^5+E46+E47)/E49</f>
        <v/>
      </c>
      <c r="H95" s="110">
        <f>(NPV(0.115,F35:J35)+(J35*(1+0.0225)/(0.115-0.0225))/(1+0.115)^5+E46+E47)/E49</f>
        <v/>
      </c>
      <c r="I95" s="110">
        <f>(NPV(0.115,F35:J35)+(J35*(1+0.025)/(0.115-0.025))/(1+0.115)^5+E46+E47)/E49</f>
        <v/>
      </c>
      <c r="J95" s="110">
        <f>(NPV(0.115,F35:J35)+(J35*(1+0.03)/(0.115-0.03))/(1+0.115)^5+E46+E47)/E49</f>
        <v/>
      </c>
      <c r="L95" s="95" t="inlineStr">
        <is>
          <t>WACC tab</t>
        </is>
      </c>
    </row>
    <row r="96">
      <c r="B96" s="17" t="n"/>
      <c r="C96" s="18" t="inlineStr">
        <is>
          <t>WACC Tab</t>
        </is>
      </c>
      <c r="D96" s="19" t="n"/>
      <c r="L96" s="95" t="inlineStr">
        <is>
          <t>FRED: Real GDP (GDPC1)</t>
        </is>
      </c>
      <c r="M96" s="19" t="n"/>
    </row>
    <row r="98" ht="28" customHeight="1">
      <c r="C98" t="inlineStr">
        <is>
          <t>https://fred.stlouisfed.org/series/GDPC1</t>
        </is>
      </c>
      <c r="L98" t="inlineStr">
        <is>
          <t>'Scenarios'!G10</t>
        </is>
      </c>
    </row>
    <row r="99" ht="28" customHeight="1">
      <c r="C99" t="inlineStr">
        <is>
          <t>https://www.stern.nyu.edu/~adamodar/New_Home_Page/datafile/histimpl.html</t>
        </is>
      </c>
      <c r="L99" t="inlineStr">
        <is>
          <t>'WACC'!E41</t>
        </is>
      </c>
    </row>
    <row r="100" ht="28" customHeight="1">
      <c r="L100" t="inlineStr">
        <is>
          <t>'WACC'!E41</t>
        </is>
      </c>
    </row>
    <row r="101" ht="28" customHeight="1">
      <c r="L101" t="inlineStr">
        <is>
          <t>'WACC'!E41</t>
        </is>
      </c>
    </row>
    <row r="102" ht="28" customHeight="1">
      <c r="L102" t="inlineStr">
        <is>
          <t>'WACC'!E41</t>
        </is>
      </c>
    </row>
    <row r="103" ht="28" customHeight="1">
      <c r="L103" t="inlineStr">
        <is>
          <t>'WACC'!E41</t>
        </is>
      </c>
    </row>
    <row r="104" ht="28" customHeight="1">
      <c r="C104" t="inlineStr">
        <is>
          <t>'Scenarios'!G9</t>
        </is>
      </c>
      <c r="L104" t="inlineStr">
        <is>
          <t>https://fred.stlouisfed.org/series/GDPC1</t>
        </is>
      </c>
    </row>
  </sheetData>
  <hyperlinks>
    <hyperlink xmlns:r="http://schemas.openxmlformats.org/officeDocument/2006/relationships" ref="A4" r:id="rId1"/>
    <hyperlink ref="C4" location="'NOPAT Bridge'!A1"/>
    <hyperlink ref="D4" location="'Revenue Drivers'!A1"/>
    <hyperlink xmlns:r="http://schemas.openxmlformats.org/officeDocument/2006/relationships" ref="E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C15" r:id="rId12"/>
    <hyperlink xmlns:r="http://schemas.openxmlformats.org/officeDocument/2006/relationships" ref="C17" r:id="rId13"/>
    <hyperlink xmlns:r="http://schemas.openxmlformats.org/officeDocument/2006/relationships" ref="C20" r:id="rId14"/>
    <hyperlink xmlns:r="http://schemas.openxmlformats.org/officeDocument/2006/relationships" ref="E20" r:id="rId15"/>
    <hyperlink xmlns:r="http://schemas.openxmlformats.org/officeDocument/2006/relationships" ref="C21" r:id="rId16"/>
    <hyperlink xmlns:r="http://schemas.openxmlformats.org/officeDocument/2006/relationships" ref="E21" r:id="rId17"/>
    <hyperlink xmlns:r="http://schemas.openxmlformats.org/officeDocument/2006/relationships" ref="C22" r:id="rId18"/>
    <hyperlink xmlns:r="http://schemas.openxmlformats.org/officeDocument/2006/relationships" ref="E22" r:id="rId19"/>
    <hyperlink xmlns:r="http://schemas.openxmlformats.org/officeDocument/2006/relationships" ref="C23" r:id="rId20"/>
    <hyperlink xmlns:r="http://schemas.openxmlformats.org/officeDocument/2006/relationships" ref="E23" r:id="rId21"/>
    <hyperlink xmlns:r="http://schemas.openxmlformats.org/officeDocument/2006/relationships" ref="C24" r:id="rId22"/>
    <hyperlink xmlns:r="http://schemas.openxmlformats.org/officeDocument/2006/relationships" ref="E24" r:id="rId23"/>
    <hyperlink xmlns:r="http://schemas.openxmlformats.org/officeDocument/2006/relationships" ref="C25" r:id="rId24"/>
    <hyperlink xmlns:r="http://schemas.openxmlformats.org/officeDocument/2006/relationships" ref="E25" r:id="rId25"/>
    <hyperlink xmlns:r="http://schemas.openxmlformats.org/officeDocument/2006/relationships" ref="C26" r:id="rId26"/>
    <hyperlink xmlns:r="http://schemas.openxmlformats.org/officeDocument/2006/relationships" ref="E26" r:id="rId27"/>
    <hyperlink xmlns:r="http://schemas.openxmlformats.org/officeDocument/2006/relationships" ref="C27" r:id="rId28"/>
    <hyperlink xmlns:r="http://schemas.openxmlformats.org/officeDocument/2006/relationships" ref="E27" r:id="rId29"/>
    <hyperlink xmlns:r="http://schemas.openxmlformats.org/officeDocument/2006/relationships" ref="C28" r:id="rId30"/>
    <hyperlink xmlns:r="http://schemas.openxmlformats.org/officeDocument/2006/relationships" ref="E28" r:id="rId31"/>
    <hyperlink xmlns:r="http://schemas.openxmlformats.org/officeDocument/2006/relationships" ref="C29" r:id="rId32"/>
    <hyperlink xmlns:r="http://schemas.openxmlformats.org/officeDocument/2006/relationships" ref="E29" r:id="rId33"/>
    <hyperlink ref="C30" location="'Scenarios'!A105"/>
    <hyperlink ref="C31" location="'Scenarios'!A110"/>
    <hyperlink xmlns:r="http://schemas.openxmlformats.org/officeDocument/2006/relationships" ref="C32" r:id="rId34"/>
    <hyperlink xmlns:r="http://schemas.openxmlformats.org/officeDocument/2006/relationships" ref="E32" r:id="rId35"/>
    <hyperlink ref="C33" location="'Scenarios'!A120"/>
    <hyperlink xmlns:r="http://schemas.openxmlformats.org/officeDocument/2006/relationships" ref="C43" r:id="rId36"/>
    <hyperlink xmlns:r="http://schemas.openxmlformats.org/officeDocument/2006/relationships" ref="C50" r:id="rId37"/>
    <hyperlink xmlns:r="http://schemas.openxmlformats.org/officeDocument/2006/relationships" ref="E50" r:id="rId38"/>
    <hyperlink xmlns:r="http://schemas.openxmlformats.org/officeDocument/2006/relationships" ref="C51" r:id="rId39"/>
    <hyperlink xmlns:r="http://schemas.openxmlformats.org/officeDocument/2006/relationships" ref="E51" r:id="rId40"/>
    <hyperlink xmlns:r="http://schemas.openxmlformats.org/officeDocument/2006/relationships" ref="C55" r:id="rId41"/>
    <hyperlink xmlns:r="http://schemas.openxmlformats.org/officeDocument/2006/relationships" ref="E55" r:id="rId42"/>
    <hyperlink xmlns:r="http://schemas.openxmlformats.org/officeDocument/2006/relationships" ref="C57" r:id="rId43"/>
    <hyperlink xmlns:r="http://schemas.openxmlformats.org/officeDocument/2006/relationships" ref="E57" r:id="rId44"/>
    <hyperlink ref="C82" location="'DCF'!E46"/>
    <hyperlink ref="M82" location="'Comps'!A45"/>
    <hyperlink xmlns:r="http://schemas.openxmlformats.org/officeDocument/2006/relationships" ref="C98" r:id="rId45"/>
    <hyperlink ref="L98" location="'Scenarios'!G10"/>
    <hyperlink xmlns:r="http://schemas.openxmlformats.org/officeDocument/2006/relationships" ref="C99" r:id="rId46"/>
    <hyperlink ref="L99" location="'WACC'!E41"/>
    <hyperlink ref="L100" location="'WACC'!E41"/>
    <hyperlink ref="L101" location="'WACC'!E41"/>
    <hyperlink ref="L102" location="'WACC'!E41"/>
    <hyperlink ref="L103" location="'WACC'!E41"/>
    <hyperlink ref="C104" location="'Scenarios'!G9"/>
    <hyperlink xmlns:r="http://schemas.openxmlformats.org/officeDocument/2006/relationships" ref="L104" r:id="rId4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1"/>
    <pageSetUpPr/>
  </sheetPr>
  <dimension ref="A1:I62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8" customWidth="1" min="2" max="2"/>
    <col width="18" customWidth="1" min="3" max="3"/>
    <col hidden="1" outlineLevel="1"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— IMPLIED PRICE RANGES (FOOTBALL FIELD)</t>
        </is>
      </c>
      <c r="B1" s="13" t="n"/>
      <c r="C1" s="13" t="n"/>
      <c r="D1" s="13" t="n"/>
      <c r="E1" s="13" t="n"/>
      <c r="F1" s="13" t="n"/>
      <c r="G1" s="13" t="n"/>
    </row>
    <row r="2">
      <c r="B2" s="15" t="inlineStr">
        <is>
          <t>Justification (~20 words)  [cols B–D: click + to expand]</t>
        </is>
      </c>
      <c r="C2" s="15" t="inlineStr">
        <is>
          <t>Source (click)</t>
        </is>
      </c>
    </row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C4" s="95" t="inlineStr">
        <is>
          <t>10-K</t>
        </is>
      </c>
      <c r="D4" s="74" t="n">
        <v>11102600</v>
      </c>
      <c r="E4">
        <f>DCF!E5</f>
        <v/>
      </c>
    </row>
    <row r="5">
      <c r="A5" s="16" t="inlineStr">
        <is>
          <t>FY2025A EBITDA (EBIT + D&amp;A)</t>
        </is>
      </c>
      <c r="D5" s="75">
        <f>2210615+496228</f>
        <v/>
      </c>
    </row>
    <row r="6">
      <c r="A6" s="16" t="inlineStr">
        <is>
          <t>FY2030E terminal EBITDA (DCF EBIT + D&amp;A)</t>
        </is>
      </c>
      <c r="C6" s="95" t="inlineStr">
        <is>
          <t>↳ DCF base case</t>
        </is>
      </c>
      <c r="D6" s="75">
        <f>DCF!E44</f>
        <v/>
      </c>
    </row>
    <row r="7" ht="28" customHeight="1">
      <c r="A7" s="16" t="inlineStr">
        <is>
          <t>FY2026E diluted EPS (guidance midpoint)</t>
        </is>
      </c>
      <c r="C7" s="95" t="inlineStr">
        <is>
          <t>Release</t>
        </is>
      </c>
      <c r="D7" s="97" t="n">
        <v>9.609999999999999</v>
      </c>
      <c r="E7">
        <f>Scenarios!F188</f>
        <v/>
      </c>
    </row>
    <row r="8" ht="28" customHeight="1">
      <c r="A8" s="16" t="inlineStr">
        <is>
          <t>Cash &amp; equivalents</t>
        </is>
      </c>
      <c r="C8" s="95" t="inlineStr">
        <is>
          <t>10-K</t>
        </is>
      </c>
      <c r="D8" s="74" t="n">
        <v>1807202</v>
      </c>
      <c r="E8" t="inlineStr">
        <is>
          <t>https://www.sec.gov/Archives/edgar/data/1397187/000139718726000020/lulu-20260201.htm</t>
        </is>
      </c>
    </row>
    <row r="9" ht="28" customHeight="1">
      <c r="A9" s="16" t="inlineStr">
        <is>
          <t>Shares outstanding (000)</t>
        </is>
      </c>
      <c r="C9" s="95" t="inlineStr">
        <is>
          <t>10-K</t>
        </is>
      </c>
      <c r="D9" s="74" t="n">
        <v>111380</v>
      </c>
      <c r="E9" t="inlineStr">
        <is>
          <t>https://www.sec.gov/Archives/edgar/data/1397187/000139718726000020/lulu-20260201.htm</t>
        </is>
      </c>
    </row>
    <row r="10" ht="28" customHeight="1">
      <c r="A10" s="16" t="inlineStr">
        <is>
          <t>Current share price</t>
        </is>
      </c>
      <c r="C10" s="95" t="inlineStr">
        <is>
          <t>NASDAQ</t>
        </is>
      </c>
      <c r="D10" s="97" t="n">
        <v>100</v>
      </c>
      <c r="E10" t="inlineStr">
        <is>
          <t>https://www.nasdaq.com/market-activity/stocks/lulu</t>
        </is>
      </c>
    </row>
    <row r="12">
      <c r="A12" s="14" t="inlineStr">
        <is>
          <t>EXIT MULTIPLE BUILD — FY2030E TERMINAL YEAR</t>
        </is>
      </c>
    </row>
    <row r="13">
      <c r="A13" s="107" t="inlineStr">
        <is>
          <t>Peer / reference EV/EBITDA (forward / illustrative)</t>
        </is>
      </c>
    </row>
    <row r="14">
      <c r="A14" s="14" t="inlineStr">
        <is>
          <t>PITCHBOOK PUBCOMPS — daily EV / TTM EBITDA as of 04-Sep-2026 ($000)</t>
        </is>
      </c>
    </row>
    <row r="15">
      <c r="A15" s="26" t="inlineStr">
        <is>
          <t>EV/EBITDA is a black formula (I/J). UAA is shown but excluded from averages (negative TTM EBITDA).</t>
        </is>
      </c>
    </row>
    <row r="16">
      <c r="A16" s="113" t="inlineStr">
        <is>
          <t>Company</t>
        </is>
      </c>
      <c r="B16" s="113" t="inlineStr">
        <is>
          <t>Justification</t>
        </is>
      </c>
      <c r="C16" s="113" t="inlineStr">
        <is>
          <t>Source</t>
        </is>
      </c>
      <c r="D16" s="114" t="inlineStr">
        <is>
          <t>EV/EBITDA</t>
        </is>
      </c>
      <c r="H16" s="114" t="inlineStr">
        <is>
          <t>EV ($000)</t>
        </is>
      </c>
      <c r="I16" s="114" t="inlineStr">
        <is>
          <t>EBITDA ($000)</t>
        </is>
      </c>
    </row>
    <row r="17">
      <c r="A17" s="16" t="inlineStr">
        <is>
          <t>lululemon (LULU)</t>
        </is>
      </c>
      <c r="B17" s="17" t="inlineStr">
        <is>
          <t>PitchBook Comps Set 04-Sep-2026. Multiple = daily EV / TTM EBITDA. UAA excluded from the mean (negative EBITDA).</t>
        </is>
      </c>
      <c r="C17" s="24" t="inlineStr">
        <is>
          <t>PitchBook Comps Set 04-Sep-2026</t>
        </is>
      </c>
      <c r="D17" s="115">
        <f>IF(I19&lt;=0,"n.m.",H19/I19)</f>
        <v/>
      </c>
      <c r="H17" s="116" t="n">
        <v>11890440</v>
      </c>
      <c r="I17" s="116" t="n">
        <v>2548084</v>
      </c>
    </row>
    <row r="18">
      <c r="A18" s="16" t="inlineStr">
        <is>
          <t>Under Armour (UAA)</t>
        </is>
      </c>
      <c r="B18" s="17" t="inlineStr">
        <is>
          <t>PitchBook Comps Set 04-Sep-2026. Multiple = daily EV / TTM EBITDA. UAA excluded from the mean (negative EBITDA).</t>
        </is>
      </c>
      <c r="C18" s="24" t="inlineStr">
        <is>
          <t>PitchBook Comps Set 04-Sep-2026</t>
        </is>
      </c>
      <c r="D18" s="115">
        <f>IF(I20&lt;=0,"n.m.",H20/I20)</f>
        <v/>
      </c>
      <c r="H18" s="116" t="n">
        <v>3208397</v>
      </c>
      <c r="I18" s="116" t="n">
        <v>-23230</v>
      </c>
    </row>
    <row r="19" ht="28" customHeight="1">
      <c r="A19" s="16" t="inlineStr">
        <is>
          <t>adidas (ADS)</t>
        </is>
      </c>
      <c r="B19" s="17" t="inlineStr">
        <is>
          <t>PitchBook Comps Set 04-Sep-2026. Multiple = daily EV / TTM EBITDA. UAA excluded from the mean (negative EBITDA).</t>
        </is>
      </c>
      <c r="C19" s="24" t="inlineStr">
        <is>
          <t>PitchBook Comps Set 04-Sep-2026</t>
        </is>
      </c>
      <c r="D19" s="115">
        <f>IF(I21&lt;=0,"n.m.",H21/I21)</f>
        <v/>
      </c>
      <c r="H19" s="116" t="n">
        <v>35661944</v>
      </c>
      <c r="I19" s="116" t="n">
        <v>3857684</v>
      </c>
    </row>
    <row r="20" ht="28" customHeight="1">
      <c r="A20" s="16" t="inlineStr">
        <is>
          <t>Nike (NKE)</t>
        </is>
      </c>
      <c r="B20" s="17" t="inlineStr">
        <is>
          <t>PitchBook Comps Set 04-Sep-2026. Multiple = daily EV / TTM EBITDA. UAA excluded from the mean (negative EBITDA).</t>
        </is>
      </c>
      <c r="C20" s="24" t="inlineStr">
        <is>
          <t>PitchBook Comps Set 04-Sep-2026</t>
        </is>
      </c>
      <c r="D20" s="115">
        <f>IF(I22&lt;=0,"n.m.",H22/I22)</f>
        <v/>
      </c>
      <c r="H20" s="116" t="n">
        <v>58972350</v>
      </c>
      <c r="I20" s="116" t="n">
        <v>4647000</v>
      </c>
    </row>
    <row r="21" ht="28" customHeight="1">
      <c r="A21" s="16" t="inlineStr">
        <is>
          <t>Deckers (DECK)</t>
        </is>
      </c>
      <c r="B21" s="17" t="inlineStr">
        <is>
          <t>PitchBook Comps Set 04-Sep-2026. Multiple = daily EV / TTM EBITDA. UAA excluded from the mean (negative EBITDA).</t>
        </is>
      </c>
      <c r="C21" s="24" t="inlineStr">
        <is>
          <t>PitchBook Comps Set 04-Sep-2026</t>
        </is>
      </c>
      <c r="D21" s="115">
        <f>IF(I23&lt;=0,"n.m.",H23/I23)</f>
        <v/>
      </c>
      <c r="H21" s="116" t="n">
        <v>10555510</v>
      </c>
      <c r="I21" s="116" t="n">
        <v>1329439</v>
      </c>
    </row>
    <row r="22" ht="28" customHeight="1">
      <c r="A22" s="16" t="inlineStr">
        <is>
          <t>Williams-Sonoma (WSM)</t>
        </is>
      </c>
      <c r="B22" s="17" t="inlineStr">
        <is>
          <t>PitchBook Comps Set 04-Sep-2026. Multiple = daily EV / TTM EBITDA. UAA excluded from the mean (negative EBITDA).</t>
        </is>
      </c>
      <c r="C22" s="24" t="inlineStr">
        <is>
          <t>PitchBook Comps Set 04-Sep-2026</t>
        </is>
      </c>
      <c r="D22" s="115">
        <f>IF(I24&lt;=0,"n.m.",H24/I24)</f>
        <v/>
      </c>
      <c r="H22" s="116" t="n">
        <v>27284350</v>
      </c>
      <c r="I22" s="116" t="n">
        <v>1768400</v>
      </c>
    </row>
    <row r="23" ht="28" customHeight="1">
      <c r="A23" s="16" t="inlineStr">
        <is>
          <t>Crocs (CROX)</t>
        </is>
      </c>
      <c r="B23" s="17" t="inlineStr">
        <is>
          <t>PitchBook Comps Set 04-Sep-2026. Multiple = daily EV / TTM EBITDA. UAA excluded from the mean (negative EBITDA).</t>
        </is>
      </c>
      <c r="C23" s="24" t="inlineStr">
        <is>
          <t>PitchBook Comps Set 04-Sep-2026</t>
        </is>
      </c>
      <c r="D23" s="115">
        <f>IF(I25&lt;=0,"n.m.",H25/I25)</f>
        <v/>
      </c>
      <c r="H23" s="116" t="n">
        <v>7153911</v>
      </c>
      <c r="I23" s="116" t="n">
        <v>922278</v>
      </c>
    </row>
    <row r="24" ht="28" customHeight="1">
      <c r="A24" s="16" t="inlineStr">
        <is>
          <t>Movado (MOV)</t>
        </is>
      </c>
      <c r="B24" s="17" t="inlineStr">
        <is>
          <t>PitchBook Comps Set 04-Sep-2026. Multiple = daily EV / TTM EBITDA. UAA excluded from the mean (negative EBITDA).</t>
        </is>
      </c>
      <c r="C24" s="24" t="inlineStr">
        <is>
          <t>PitchBook Comps Set 04-Sep-2026</t>
        </is>
      </c>
      <c r="D24" s="115">
        <f>IF(I26&lt;=0,"n.m.",H26/I26)</f>
        <v/>
      </c>
      <c r="H24" s="116" t="n">
        <v>616045</v>
      </c>
      <c r="I24" s="116" t="n">
        <v>62010</v>
      </c>
    </row>
    <row r="25" ht="28" customHeight="1">
      <c r="A25" s="16" t="inlineStr">
        <is>
          <t>Levi Strauss (LEVI)</t>
        </is>
      </c>
      <c r="B25" s="17" t="inlineStr">
        <is>
          <t>PitchBook Comps Set 04-Sep-2026. Multiple = daily EV / TTM EBITDA. UAA excluded from the mean (negative EBITDA).</t>
        </is>
      </c>
      <c r="C25" s="24" t="inlineStr">
        <is>
          <t>PitchBook Comps Set 04-Sep-2026</t>
        </is>
      </c>
      <c r="D25" s="115">
        <f>IF(I27&lt;=0,"n.m.",H27/I27)</f>
        <v/>
      </c>
      <c r="H25" s="116" t="n">
        <v>9422753</v>
      </c>
      <c r="I25" s="116" t="n">
        <v>976700</v>
      </c>
    </row>
    <row r="26" ht="28" customHeight="1">
      <c r="A26" s="16" t="inlineStr">
        <is>
          <t>La-Z-Boy (LZB)</t>
        </is>
      </c>
      <c r="B26" s="17" t="inlineStr">
        <is>
          <t>PitchBook Comps Set 04-Sep-2026. Multiple = daily EV / TTM EBITDA. UAA excluded from the mean (negative EBITDA).</t>
        </is>
      </c>
      <c r="C26" s="24" t="inlineStr">
        <is>
          <t>PitchBook Comps Set 04-Sep-2026</t>
        </is>
      </c>
      <c r="D26" s="115">
        <f>IF(I28&lt;=0,"n.m.",H28/I28)</f>
        <v/>
      </c>
      <c r="H26" s="116" t="n">
        <v>1598873</v>
      </c>
      <c r="I26" s="116" t="n">
        <v>235723</v>
      </c>
    </row>
    <row r="27" ht="28" customHeight="1">
      <c r="A27" s="16" t="inlineStr">
        <is>
          <t>Kontoor (KTB)</t>
        </is>
      </c>
      <c r="B27" s="17" t="inlineStr">
        <is>
          <t>PitchBook Comps Set 04-Sep-2026. Multiple = daily EV / TTM EBITDA. UAA excluded from the mean (negative EBITDA).</t>
        </is>
      </c>
      <c r="C27" s="24" t="inlineStr">
        <is>
          <t>PitchBook Comps Set 04-Sep-2026</t>
        </is>
      </c>
      <c r="D27" s="115">
        <f>IF(I29&lt;=0,"n.m.",H29/I29)</f>
        <v/>
      </c>
      <c r="H27" s="116" t="n">
        <v>5236269</v>
      </c>
      <c r="I27" s="116" t="n">
        <v>407521</v>
      </c>
    </row>
    <row r="28" ht="28" customHeight="1"/>
    <row r="29" ht="28" customHeight="1"/>
    <row r="30">
      <c r="A30" s="14" t="inlineStr">
        <is>
          <t>Averages (live Excel AVERAGE — shown so TV is not a blended print)</t>
        </is>
      </c>
    </row>
    <row r="31">
      <c r="A31" s="16" t="inlineStr">
        <is>
          <t>Core athletic / apparel mean (LULU / NKE / ADS / DECK / CROX / LEVI / KTB)</t>
        </is>
      </c>
      <c r="B31" s="26" t="inlineStr">
        <is>
          <t>PitchBook core set, UAA out. Current tape — not a 2.25% g FY30 exit.</t>
        </is>
      </c>
      <c r="C31" s="26" t="inlineStr">
        <is>
          <t>Derived: Excel AVERAGE of the seven core prints</t>
        </is>
      </c>
      <c r="D31" s="115">
        <f>AVERAGE(D19,D22,D21,D23,D25,D27,D29)</f>
        <v/>
      </c>
    </row>
    <row r="32">
      <c r="A32" s="16" t="inlineStr">
        <is>
          <t>All positive-EBITDA mean (ex-UAA; includes WSM / MOV / LZB)</t>
        </is>
      </c>
      <c r="B32" s="26" t="inlineStr">
        <is>
          <t>Wider PitchBook tape. WSM/MOV/LZB are adjacent retail, not athletic. Not the TV.</t>
        </is>
      </c>
      <c r="C32" s="26" t="inlineStr">
        <is>
          <t>Derived: Excel AVERAGE of every positive-EBITDA row</t>
        </is>
      </c>
      <c r="D32" s="115">
        <f>AVERAGE(D19,D21,D22,D23,D24,D25,D26,D27,D28,D29)</f>
        <v/>
      </c>
    </row>
    <row r="33" ht="42" customHeight="1">
      <c r="A33" s="107" t="inlineStr">
        <is>
          <t>We do not average peers for terminal value, and we do not use Alo 5.0x EV/Sales as EV/EBITDA.</t>
        </is>
      </c>
    </row>
    <row r="34" ht="28" customHeight="1"/>
    <row r="35" ht="28" customHeight="1">
      <c r="A35" s="14" t="inlineStr">
        <is>
          <t>Terminal multiple selection (DCF exit method)</t>
        </is>
      </c>
    </row>
    <row r="36" ht="28" customHeight="1">
      <c r="A36" s="16" t="inlineStr">
        <is>
          <t>Gordon Growth implied exit EV/EBITDA</t>
        </is>
      </c>
      <c r="D36" s="94">
        <f>DCF!E46</f>
        <v/>
      </c>
    </row>
    <row r="37">
      <c r="A37" s="68" t="inlineStr">
        <is>
          <t>Selected exit multiple (base case)</t>
        </is>
      </c>
      <c r="D37" s="104">
        <f>DCF!E82</f>
        <v/>
      </c>
    </row>
    <row r="38">
      <c r="A38" s="16" t="inlineStr">
        <is>
          <t>Spread (selected − Gordon implied)</t>
        </is>
      </c>
      <c r="D38" s="94">
        <f>D45-D44</f>
        <v/>
      </c>
    </row>
    <row r="39">
      <c r="A39" s="41" t="inlineStr">
        <is>
          <t>•  Selected exit = Gordon TV / FY30 EBITDA. Identity: (UFCF/EBITDA)×(1+g)/(WACC−g). Live formula, not a typed 8.0x</t>
        </is>
      </c>
    </row>
    <row r="40">
      <c r="A40" s="41" t="inlineStr">
        <is>
          <t>•  At base WACC ~9.0% and g 2.25% that identity is ~7.4x FY30 EBITDA — not a peer average</t>
        </is>
      </c>
    </row>
    <row r="41">
      <c r="A41" s="41" t="inlineStr">
        <is>
          <t>•  PitchBook pubcomps (04-Sep-2026) are the current tape: each multiple is daily EV / TTM EBITDA</t>
        </is>
      </c>
    </row>
    <row r="42">
      <c r="A42" s="41" t="inlineStr">
        <is>
          <t>•  That tape is a check, not the exit. A 2.25% g / 15.5% OM year is not today’s NKE/WSM multiple</t>
        </is>
      </c>
    </row>
    <row r="43">
      <c r="A43" s="41" t="inlineStr">
        <is>
          <t>•  Alo has no EV/EBITDA print. Implied 5.0x is EV/Sales (unclosed $10bn ask / ~$2bn parent sales) — not the FY30 exit</t>
        </is>
      </c>
    </row>
    <row r="44">
      <c r="A44" s="41" t="inlineStr">
        <is>
          <t>•  PitchBook LULU is ~4.7x TTM. Gordon ~7.4x is a partial recovery, not a re-rate to WSM ~15x</t>
        </is>
      </c>
    </row>
    <row r="46">
      <c r="A46" s="14" t="inlineStr">
        <is>
          <t>Methodology / multiple ranges (FY2030E terminal EBITDA — football field)</t>
        </is>
      </c>
    </row>
    <row r="47">
      <c r="A47" s="113" t="inlineStr">
        <is>
          <t>Method</t>
        </is>
      </c>
      <c r="B47" s="113" t="inlineStr">
        <is>
          <t>Justification</t>
        </is>
      </c>
      <c r="C47" s="113" t="inlineStr">
        <is>
          <t>Source</t>
        </is>
      </c>
      <c r="D47" s="114" t="inlineStr">
        <is>
          <t>Low mult.</t>
        </is>
      </c>
      <c r="E47" s="114" t="inlineStr">
        <is>
          <t>High mult.</t>
        </is>
      </c>
      <c r="F47" s="114" t="inlineStr">
        <is>
          <t>Implied px (low)</t>
        </is>
      </c>
      <c r="G47" s="114" t="inlineStr">
        <is>
          <t>Implied px (high)</t>
        </is>
      </c>
    </row>
    <row r="48">
      <c r="A48" s="16" t="inlineStr">
        <is>
          <t>EV / EBITDA (FY2030E terminal)</t>
        </is>
      </c>
      <c r="B48" s="19" t="inlineStr">
        <is>
          <t>Lo: 5.0x on FY2030E EBITDA ≈ LULU current trough print. Floor of the range, not the selected exit.
Hi: 8.0x = Deckers print as the high end of the range only. Selected exit is Gordon implied, not this cap.</t>
        </is>
      </c>
      <c r="C48" s="85" t="inlineStr">
        <is>
          <t>Lo: StockAnalysis: LULU EV/EBITDA
Hi: StockAnalysis: DECK EV/EBITDA</t>
        </is>
      </c>
      <c r="D48" s="120" t="n">
        <v>5</v>
      </c>
      <c r="E48" s="120" t="n">
        <v>8</v>
      </c>
      <c r="F48" s="121">
        <f>(D6*D57+D8)/D9</f>
        <v/>
      </c>
      <c r="G48" s="121">
        <f>(D6*E57+D8)/D9</f>
        <v/>
      </c>
    </row>
    <row r="49">
      <c r="A49" s="68" t="inlineStr">
        <is>
          <t>DCF exit method (Gordon-implied on FY2030E EBITDA)</t>
        </is>
      </c>
      <c r="B49" s="17" t="inlineStr">
        <is>
          <t>Selected exit is Gordon TV / FY30 EBITDA. Identity: (UFCF/EBITDA)×(1+g)/(WACC−g). Not Deckers and not a peer average.</t>
        </is>
      </c>
      <c r="C49" s="18" t="inlineStr">
        <is>
          <t>DCF: Gordon implied exit (TV / FY30 EBITDA)</t>
        </is>
      </c>
      <c r="D49" s="118">
        <f>DCF!E82</f>
        <v/>
      </c>
      <c r="F49" s="122">
        <f>(D6*D58+D8)/D9</f>
        <v/>
      </c>
    </row>
    <row r="50">
      <c r="A50" s="16" t="inlineStr">
        <is>
          <t>P / E (FY2026E EPS)</t>
        </is>
      </c>
      <c r="B50" s="19" t="inlineStr">
        <is>
          <t>Lo: 10x P/E low on FY2026E EPS; trough earnings multiple after guidance reset and sentiment de-rating.
Hi: 18x P/E high on FY2026E EPS; modest recovery case still below historical premium LULU multiples.</t>
        </is>
      </c>
      <c r="C50" s="85" t="inlineStr">
        <is>
          <t>Lo: StockAnalysis: LULU Forward P/E
Hi: StockAnalysis: NKE Forward P/E</t>
        </is>
      </c>
      <c r="D50" s="120" t="n">
        <v>10</v>
      </c>
      <c r="E50" s="120" t="n">
        <v>18</v>
      </c>
      <c r="F50" s="121">
        <f>D7*D59</f>
        <v/>
      </c>
      <c r="G50" s="121">
        <f>D7*E59</f>
        <v/>
      </c>
    </row>
    <row r="51">
      <c r="A51" s="16" t="inlineStr">
        <is>
          <t>DCF (bear – bull)</t>
        </is>
      </c>
      <c r="D51" s="123" t="inlineStr">
        <is>
          <t>—</t>
        </is>
      </c>
      <c r="E51" s="123" t="inlineStr">
        <is>
          <t>—</t>
        </is>
      </c>
      <c r="F51" s="121">
        <f>Scenarios!E132</f>
        <v/>
      </c>
      <c r="G51" s="121">
        <f>Scenarios!G132</f>
        <v/>
      </c>
    </row>
    <row r="53">
      <c r="A53" s="124" t="inlineStr">
        <is>
          <t>Current price</t>
        </is>
      </c>
      <c r="C53" s="95" t="inlineStr">
        <is>
          <t>NASDAQ</t>
        </is>
      </c>
      <c r="D53" s="125" t="n">
        <v>100</v>
      </c>
    </row>
    <row r="57" ht="42" customHeight="1">
      <c r="C57" t="inlineStr">
        <is>
          <t>https://stockanalysis.com/stocks/lulu/statistics/</t>
        </is>
      </c>
    </row>
    <row r="58" ht="28" customHeight="1">
      <c r="C58" t="inlineStr">
        <is>
          <t>'DCF'!E82</t>
        </is>
      </c>
    </row>
    <row r="59" ht="42" customHeight="1">
      <c r="C59" t="inlineStr">
        <is>
          <t>https://stockanalysis.com/stocks/lulu/statistics/</t>
        </is>
      </c>
    </row>
    <row r="62" ht="28" customHeight="1">
      <c r="C62" t="inlineStr">
        <is>
          <t>https://www.nasdaq.com/market-activity/stocks/lulu</t>
        </is>
      </c>
      <c r="E62" t="inlineStr">
        <is>
          <t>https://www.nasdaq.com/market-activity/stocks/lulu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E4" r:id="rId2"/>
    <hyperlink ref="C6" location="'DCF'!E44"/>
    <hyperlink xmlns:r="http://schemas.openxmlformats.org/officeDocument/2006/relationships" ref="C7" r:id="rId3"/>
    <hyperlink xmlns:r="http://schemas.openxmlformats.org/officeDocument/2006/relationships" ref="E7" r:id="rId4"/>
    <hyperlink xmlns:r="http://schemas.openxmlformats.org/officeDocument/2006/relationships" ref="C8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E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C57" r:id="rId11"/>
    <hyperlink ref="C58" location="'DCF'!E82"/>
    <hyperlink xmlns:r="http://schemas.openxmlformats.org/officeDocument/2006/relationships" ref="C59" r:id="rId12"/>
    <hyperlink xmlns:r="http://schemas.openxmlformats.org/officeDocument/2006/relationships" ref="C62" r:id="rId13"/>
    <hyperlink xmlns:r="http://schemas.openxmlformats.org/officeDocument/2006/relationships" ref="E62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2026-09-09T15:52:21Z</dcterms:created>
  <dcterms:modified xsi:type="dcterms:W3CDTF">2026-09-10T16:35:57Z</dcterms:modified>
</cp:coreProperties>
</file>
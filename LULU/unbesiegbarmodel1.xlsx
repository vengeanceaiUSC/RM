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Relationship Type="http://schemas.openxmlformats.org/officeDocument/2006/relationships/hyperlink" Target="https://fred.stlouisfed.org/series/GDPC1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|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inlineStr">
        <is>
          <t>Black font = calculations / formulas</t>
        </is>
      </c>
    </row>
    <row r="12">
      <c r="B12" s="8" t="inlineStr">
        <is>
          <t>Red font = analyst assumptions — cols B/C/D on every tab: Justification | Source | Ctrl+F</t>
        </is>
      </c>
    </row>
    <row r="13"/>
    <row r="14">
      <c r="B14" s="5" t="inlineStr">
        <is>
          <t>TABS</t>
        </is>
      </c>
    </row>
    <row r="15">
      <c r="B15" s="9" t="inlineStr">
        <is>
          <t>WACC • Revenue Drivers • NOPAT Bridge • Scenarios • DCF •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 Ctrl+F: Open for justification, clickable source links, and Ctrl+F proof for every assumption.</t>
        </is>
      </c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 Ctrl+F: Ctrl+F "10-K" → FY2025 accession 0001397187-26-000020</t>
        </is>
      </c>
    </row>
    <row r="21" ht="36" customHeight="1">
      <c r="B21" s="10" t="inlineStr">
        <is>
          <t>FY2025 Form 10-K (ended Feb 1, 2026) 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 Ctrl+F: Ctrl+F "decline of 5% to 7%" | "$10.350 billion to $10.500 billion" | "$9.48 to $9.73"</t>
        </is>
      </c>
    </row>
    <row r="23" ht="36" customHeight="1">
      <c r="B23" s="10" t="inlineStr">
        <is>
          <t>Current share price (NASDAQ: LULU) Ctrl+F: Ctrl+F "closed at $100.61" → Last Sale on NASDAQ quote page</t>
        </is>
      </c>
    </row>
    <row r="24"/>
    <row r="25">
      <c r="B25" s="11" t="inlineStr">
        <is>
          <t>Built from scratch for the GIS IR selection assignment.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6"/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>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5"/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 (No vendor publishes the D/E embedded inside the regression.) Observed levered βL Ctrl+F "Beta (5Y Monthly)" → 0.86 ~60 monthly returns vs S&amp;P 500 (Yahoo label) Paired inputs on same page (mrq = most recent quarter) Ctrl+F "Total Debt (mrq)" → 2.14B Ctrl+F "Market Cap" → 11.14B Ctrl+F "Total Debt/Equity (mrq)" → 44.69% (book; reference only) STEP 1 — UNLEVER (market D/E from Yahoo page) D/E = Total Debt (mrq) ÷ Market Cap = 2.14 ÷ 11.14 ≈ 0.19 βu = 0.86 ÷ [1 + 0.70 × 0.19] = 0.86 ÷ 1.134 ≈ 0.76 (1−T) = 0.70 at 30% tax on this tab STEP 2 — RELEVER (WACC: FY25 10-K lease debt / our market cap) Ctrl+F "Current lease liabilities" → 298,724 Ctrl+F "Non-current lease liabilities" → 1,499,717 D/E ≈ 0.16. β used = 0.76 × 1.113 ≈ 0.84 Benchmark (not used): Damodaran Retail βu 0.95</t>
        </is>
      </c>
      <c r="E25" s="29">
        <f>E22*(1+(1-E5)*E23)</f>
        <v/>
      </c>
    </row>
    <row r="26">
      <c r="A26" s="26" t="inlineStr">
        <is>
          <t>β walkthrough (Hamada; Yahoo Key Statistics source):</t>
        </is>
      </c>
    </row>
    <row r="27">
      <c r="A27" s="26" t="inlineStr">
        <is>
          <t>(0) Yahoo βL = 0.86 (Beta 5Y Monthly). No vendor publishes D/E inside the regression.</t>
        </is>
      </c>
    </row>
    <row r="28">
      <c r="A28" s="26" t="inlineStr">
        <is>
          <t>(1) Unlever at Yahoo market D/E = $2.14B debt (mrq) ÷ $11.14B mkt cap ≈ 0.19 → βu ≈ 0.76.</t>
        </is>
      </c>
    </row>
    <row r="29">
      <c r="A29" s="26" t="inlineStr">
        <is>
          <t>(2) Relever at WACC D/E = FY25 10-K leases ÷ our market cap ≈ 0.16 → β used ≈ 0.84.</t>
        </is>
      </c>
    </row>
    <row r="30">
      <c r="A30" s="26" t="inlineStr">
        <is>
          <t>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3"/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7"/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 Also: FY26 sales are $10.35–$10.50B (earnings). Use that $10.4B year as the 7% denominator, not FY25 $11.1B.</t>
        </is>
      </c>
      <c r="C13" s="38" t="inlineStr">
        <is>
          <t>LULU 10-K: 2026 capex guide $725–745M Also: Q2 FY2026 outlook: $10.350B–$10.500B sales</t>
        </is>
      </c>
      <c r="D13" s="19" t="inlineStr">
        <is>
          <t>FY25 actual (10-K) Ctrl+F "680,802" → capex $680.8M Ctrl+F "11,102,600" → sales $11.1B 680.8 / 11,102.6 = 6.1% FY26 capex (10-K) Ctrl+F "$725.0 million and $745.0 million" → mid $735M FY26 sales (earnings) Ctrl+F "$10.350 billion to $10.500 billion" → $10.35–$10.50B (mid $10.425B) 7.0% = $735M / $10.425B ($10B year, not FY25 $11.1B) DCF blend Fade 7.0 / 6.0 / 5.5 / 5.0 / 4.0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 Ctrl+F "Gross profit" → 6,284,132 ($000) Ctrl+F "Net revenue" → 11,102,600 ($000) Ctrl+F "Cost of goods sold" 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 Why flat: ~90%+ revenue is company-operated stores + e-commerce (cash/card at sale); AR is a small, stable wholesale/license residual; predictable collection, not trade credit. Ctrl+F "Accounts receivable, net" → 190,657 ($000) Ctrl+F "Net revenue" → 11,102,600 ($000) DSO = (190,657 ÷ 11,102,600) × 365 ≈ 6.3 days (~6.0–6.3 FY22–25). Ctrl+F "company-operated stores" 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 FY25 anchor: DIO = (Inventories ÷ COGS) × 365 = (1,700,753 ÷ 4,818,468) × 365 ≈ 129 days (FY24 inv: 1,442,081). 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 FY25 anchor formula: DIO = (Inventories ÷ COGS) × 365 Ctrl+F "Inventories" → 1,700,753 ($000) | FY24: 1,442,081 Ctrl+F "Cost of goods sold" → 4,818,468 ($000) = (1,700,753 ÷ 4,818,468) × 365 ≈ 129 days 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 Feeds Inventories = (DIO_t ÷ 365) × COGS_t. Ctrl+F "reduce the percentage of markdowns" 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 Feeds Inventories_t = (DIO_t ÷ 365) × COGS_t. Ctrl+F "reduce the percentage of markdowns" 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 → 331,421 ($000) Ctrl+F "Cost of goods sold" → 4,818,468 ($000) 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 → 211,620 ($000) Ctrl+F "Prepaid and receivable income taxes" → 352,469 ($000) 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 → 662,982 ($000) Ctrl+F "Net revenue" → 11,102,600 ($000) 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3"/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>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>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>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>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>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>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>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>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>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>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>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>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>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>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>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>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>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>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>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>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>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>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>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>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>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>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>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>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>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>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>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>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>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>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>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>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>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>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>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>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>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>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>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>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>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>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>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>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>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>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>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>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>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>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>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>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>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>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>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>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>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>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>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>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>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>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>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>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>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>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>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>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>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>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>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>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>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>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>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>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>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>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>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>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>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>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>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>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>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>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>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>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>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>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>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>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>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>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>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>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>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>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>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>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0"/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4"/>
    <row r="135">
      <c r="A135" s="26" t="inlineStr">
        <is>
          <t>Current price $100.00; cash $1,807,202 k; lease debt $1,798,441 k; funded debt $0; net cash $8,761 k.</t>
        </is>
      </c>
    </row>
    <row r="136"/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>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>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>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>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>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>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>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>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>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>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>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>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>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>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>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>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>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>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>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>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>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>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>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>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>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>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>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>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>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>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>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>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>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>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>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>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>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>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>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>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>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>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>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>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>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>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>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>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>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>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>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>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>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>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>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-ingested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1"/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>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>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>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5"/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2"/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 Total rev = store channel + e-comm + other. Keeps FY25 geo mix; scales with consolidated growth. 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 Total rev = store channel + e-comm + other. Keeps FY25 geo mix; scales with consolidated growth. 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 Total rev = store channel + e-comm + other. Keeps FY25 geo mix; scales with consolidated growth. 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2"/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hidden="1" outlineLevel="1"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workflow summary below.</t>
        </is>
      </c>
    </row>
    <row r="5"/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 SBC stays inside Scenarios EBIT/NOPAT as a real economic cost; DCF uses basic shares (111.4M). 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 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 18.6% margin assumption. EBIT_store = Rev_store × Margin_store FY25 check: 5,049,744 × 18.6% ≈ 939,252 ($000). 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 Ctrl+F "Company-operated stores" → 5,049,744 ($000) net revenue 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 23.6% margin assumption. EBIT_e-comm = Rev_e-comm × Margin_e-comm FY25 check: 4,918,697 × 23.6% ≈ 1,160,812 ($000). 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 Ctrl+F "E-commerce" → 4,918,697 ($000) net revenue 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 9.1% margin assumption. EBIT_other = Rev_other × Margin_other FY25 check: 1,134,159 × 9.1% ≈ 103,209 ($000). 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 Ctrl+F "Net revenue" → 11,102,600 Minus stores + e-comm → other channels ≈ 1,134,159 ($000) 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4"/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 SBC stays inside Scenarios EBIT/NOPAT as a real economic cost; DCF uses basic shares (111.4M). 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 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 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>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>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>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>Store-channel EBIT (= Rev × store margin)</t>
        </is>
      </c>
      <c r="B31" s="17" t="inlineStr">
        <is>
          <t>Not % of consolidated revenue; store EBIT ÷ store revenue only (not Scenarios consolidated EBIT margin). EBIT_store,t = Rev_store,t × 18.6% FY25: 5,049,744 × 18.6% ≈ 939,252 ($000). 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 Ctrl+F "Company-operated stores" → 5,049,744 ($000) EBIT = Rev × 18.6% → ≈ 939,252 ($000)</t>
        </is>
      </c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>E-commerce EBIT (= Rev × e-comm margin)</t>
        </is>
      </c>
      <c r="B32" s="17" t="inlineStr">
        <is>
          <t>Not % of consolidated revenue; e-commerce EBIT ÷ e-commerce revenue only (not Scenarios consolidated EBIT margin). EBIT_e-comm,t = Rev_e-comm,t × 23.6% FY25: 4,918,697 × 23.6% ≈ 1,160,812 ($000). 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 Ctrl+F "E-commerce" → 4,918,697 ($000) EBIT = Rev × 23.6% → ≈ 1,160,812 ($000)</t>
        </is>
      </c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>Other-channels EBIT (= Rev × other margin)</t>
        </is>
      </c>
      <c r="B33" s="17" t="inlineStr">
        <is>
          <t>Not % of consolidated revenue; other-channel EBIT ÷ other revenue only (not Scenarios consolidated EBIT margin). EBIT_other,t = Rev_other,t × 9.1% FY25: 1,134,159 × 9.1% ≈ 103,209 ($000). 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 Other rev = 11,102,600 − 5,049,744 − 4,918,697 ≈ 1,134,159 ($000) EBIT = Rev × 9.1% → ≈ 103,209 ($000)</t>
        </is>
      </c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>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>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 Ctrl+F "Income tax expense" → 659,784 Ctrl+F "Income before income tax expense" → 2,238,967 Ctrl+F "Interest paid on lease liabilities" → 1,028</t>
        </is>
      </c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idden="1" outlineLevel="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2"/>
    <row r="43">
      <c r="A43" s="73" t="inlineStr">
        <is>
          <t>Phase 5 —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104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 Ctrl+F: Every red assumption on every tab — justification, source link, Ctrl+F proof.</t>
        </is>
      </c>
      <c r="C4" s="85" t="inlineStr">
        <is>
          <t>NOPAT Bridge tab Ctrl+F: 5-phase EBIT normalization → normalized NOPAT (base case).</t>
        </is>
      </c>
      <c r="D4" s="85" t="inlineStr">
        <is>
          <t>Revenue Drivers tab Ctrl+F: Bottom-up store / DTC / category schedule (FY26–30).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 Also: 2.3% FY27–30 growth matches StockAnalysis Revenue Growth Forecast (3Y) of 2.26%; next-year consensus is +2.64%.</t>
        </is>
      </c>
      <c r="C6" s="38" t="inlineStr">
        <is>
          <t>LULU Q2 FY2026 earnings release Also: StockAnalysis: LULU 3Y revenue forecast</t>
        </is>
      </c>
      <c r="D6" s="19" t="inlineStr">
        <is>
          <t>Ctrl+F "decline of 5% to 7%" → FY2026 revenue guide; model −6.1% midpoint 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 Ctrl+F "Gross profit" → 6,284,132 ($000) Ctrl+F "Net revenue" → 11,102,600 ($000) Ctrl+F "Cost of goods sold" → 4,818,468 ($000)</t>
        </is>
      </c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 Also: FY30 15.5% is a partial recovery vs the FY25 10-K OM of 19.9% (unique Ctrl+F). Still well below the FY24 23.7% peak.</t>
        </is>
      </c>
      <c r="C9" s="38" t="inlineStr">
        <is>
          <t>Q2 FY2026 release: 18.8% OM minus 560bps tariffs Also: FY2025 10-K: Operating margin 19.9% (one hit)</t>
        </is>
      </c>
      <c r="D9" s="19" t="inlineStr">
        <is>
          <t>Ctrl+F "18.8%" (Q2 OM) and "560 basis points" (tariff boost). Real run-rate = 18.8% − 5.6% = 13.2%. Do not use "decreased 13%". 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>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>Capex % of revenue</t>
        </is>
      </c>
      <c r="B17" s="19" t="inlineStr">
        <is>
          <t>FY26 7.0% is $735M on $10.4B sales, not FY25 $11.1B. Since 7.0% steps toward FY25 6.1%, we assume a fade: DCF 5.5% = (7.0+6.0+5.5+5.0+4.0)/5. Also: FY26 sales are $10.35–$10.50B (earnings). Use that $10.4B year as the 7% denominator, not FY25 $11.1B.</t>
        </is>
      </c>
      <c r="C17" s="38" t="inlineStr">
        <is>
          <t>LULU 10-K: 2026 capex guide $725–745M Also: Q2 FY2026 outlook: $10.350B–$10.500B sales</t>
        </is>
      </c>
      <c r="D17" s="19" t="inlineStr">
        <is>
          <t>FY25 actual (10-K) Ctrl+F "680,802" → capex $680.8M Ctrl+F "11,102,600" → sales $11.1B 680.8 / 11,102.6 = 6.1% FY26 capex (10-K) Ctrl+F "$725.0 million and $745.0 million" → mid $735M FY26 sales (earnings) Ctrl+F "$10.350 billion to $10.500 billion" → $10.35–$10.50B (mid $10.425B) 7.0% = $735M / $10.425B ($10B year, not FY25 $11.1B) DCF blend Fade 7.0 / 6.0 / 5.5 / 5.0 / 4.0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[click − to collapse detail]</t>
        </is>
      </c>
    </row>
    <row r="20" hidden="1" outlineLevel="1" ht="150" customHeight="1">
      <c r="A20" s="16" t="inlineStr">
        <is>
          <t>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 Why flat: ~90%+ revenue is company-operated stores + e-commerce (cash/card at sale); AR is a small, stable wholesale/license residual; predictable collection, not trade credit. Ctrl+F "Accounts receivable, net" → 190,657 ($000) Ctrl+F "Net revenue" → 11,102,600 ($000) DSO = (190,657 ÷ 11,102,600) × 365 ≈ 6.3 days (~6.0–6.3 FY22–25). Ctrl+F "company-operated stores" Ctrl+F "E-commerce"</t>
        </is>
      </c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>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 AR_t = (DSO ÷ 365) × Revenue_t. DSO flat because own-store/DTC dominates; AR scales predictably with sales. Ctrl+F "Accounts receivable, net" → 190,657 ($000) Ctrl+F "Net revenue" → 11,102,600 ($000)</t>
        </is>
      </c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>DIO (days) — FY25 anchor, −1 day/yr</t>
        </is>
      </c>
      <c r="B22" s="19" t="inlineStr">
        <is>
          <t>Not % of revenue; DIO (days). FY25 anchor: DIO = (Inventories ÷ COGS) × 365 = (1,700,753 ÷ 4,818,468) × 365 ≈ 129 days (FY24 inv: 1,442,081). Forecast path: DIO_t = FY25 DIO − (1 day × year t); flat across scenarios. Also: Not % of revenue; subtract 1 DIO day per forecast year (−5 days FY26–30). Feeds Inventories = (DIO_t ÷ 365) × COGS_t. Ctrl+F "reduce the percentage of markdowns" Ctrl+F "On a unit basis, we expect inventories to slightly decrease"</t>
        </is>
      </c>
      <c r="C22" s="38" t="inlineStr">
        <is>
          <t>LULU FY2025 10-K: Inventories &amp; COGS Also: LULU FY2025 10-K: inventory &amp; markdown outlook</t>
        </is>
      </c>
      <c r="D22" s="19" t="inlineStr">
        <is>
          <t>Not % of revenue; DIO (days). FY25 anchor formula: DIO = (Inventories ÷ COGS) × 365 Ctrl+F "Inventories" → 1,700,753 ($000) | FY24: 1,442,081 Ctrl+F "Cost of goods sold" → 4,818,468 ($000) = (1,700,753 ÷ 4,818,468) × 365 ≈ 129 days Forecast: DIO_t = FY25 DIO − (1 × year t) Also: Not % of revenue; DIO −1 day/yr (−5 days FY26–30). Feeds Inventories_t = (DIO_t ÷ 365) × COGS_t. Ctrl+F "reduce the percentage of markdowns" Ctrl+F "On a unit basis, we expect inventories to slightly decrease"</t>
        </is>
      </c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>Inventories</t>
        </is>
      </c>
      <c r="B23" s="17" t="inlineStr">
        <is>
          <t>Not % of revenue; $ balance (not a direct % plug). Inventories_t = (DIO_t ÷ 365) × COGS_t COGS_t = Revenue_t × (1 − GM%). FY25 check: (129 ÷ 365) × 4,818,468 ≈ 1,700,753. Ctrl+F "Inventories" → 1,700,753 ($000) Ctrl+F "Cost of goods sold" 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 COGS_t = Revenue_t × (1 − GM%). Ctrl+F "Inventories" → 1,700,753 ($000) Ctrl+F "Cost of goods sold" → 4,818,468 ($000) FY25 proof: (129 ÷ 365) × 4,818,468 ≈ 1,700,753</t>
        </is>
      </c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>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 → 331,421 ($000) Ctrl+F "Cost of goods sold" → 4,818,468 ($000) Not % of revenue; DPO ≈ 25.1 days. Implied AP ≈ 3.0% of sales / 6.9% of COGS.</t>
        </is>
      </c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>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 → 331,421 ($000) Ctrl+F "Net revenue" → 11,102,600 ($000) Implied ~3.0% of revenue (= 331,421 ÷ 11,102,600); forecast via DPO×COGS.</t>
        </is>
      </c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>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 → 211,620 ($000) Ctrl+F "Prepaid and receivable income taxes" → 352,469 ($000) 5.1% of revenue (flat). OCA residual = 564,089 ÷ 11,102,600.</t>
        </is>
      </c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>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 → 211,620 ($000) Ctrl+F "Prepaid and receivable income taxes" → 352,469 ($000) 5.1% of revenue (flat). OCA residual = 564,089 ÷ 11,102,600.</t>
        </is>
      </c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>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 → 662,982 ($000) Ctrl+F "Net revenue" → 11,102,600 ($000) 6.0% of revenue (flat). 662,982 ÷ 11,102,600.</t>
        </is>
      </c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>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 → 662,982 ($000) Ctrl+F "Net revenue" → 11,102,600 ($000) 6.0% of revenue (flat). 662,982 ÷ 11,102,600.</t>
        </is>
      </c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 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 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 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 FY26: revenue −6.1% + DIO −1 day → NWC falls → ΔNWC positive (WC release). 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>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39"/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>Implied exit EV/EBITDA = Gordon TV / FY30 EBITDA</t>
        </is>
      </c>
      <c r="E46" s="94">
        <f>E45/E44</f>
        <v/>
      </c>
    </row>
    <row r="47">
      <c r="A47" s="16" t="inlineStr">
        <is>
          <t>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>memo: funded term debt $0. Operating leases $298,724k current + $1,499,717k non-current = $1,798,441k (ASC 842 debt equivalent).</t>
        </is>
      </c>
    </row>
    <row r="53">
      <c r="A53" s="26" t="inlineStr">
        <is>
          <t>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>memo: % of EV from terminal value</t>
        </is>
      </c>
      <c r="E59" s="32">
        <f>E48/E49</f>
        <v/>
      </c>
    </row>
    <row r="60"/>
    <row r="61"/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4"/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7"/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1"/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6"/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79"/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7"/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5"/>
    <row r="96"/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"Net revenue" → 11,102,600 ($000) in FY2025 column</t>
        </is>
      </c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"$9.48 to $9.73" → FY2026 diluted EPS guidance; model midpoint $9.61</t>
        </is>
      </c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>memo: current EV / EBITDA</t>
        </is>
      </c>
      <c r="E11" s="112">
        <f>(E10*E9-E8)/E5</f>
        <v/>
      </c>
    </row>
    <row r="12">
      <c r="A12" s="107" t="inlineStr">
        <is>
          <t>memo: current P / E (FY2026E)</t>
        </is>
      </c>
      <c r="E12" s="112">
        <f>E10/E7</f>
        <v/>
      </c>
    </row>
    <row r="13"/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0"/>
    <row r="31">
      <c r="A31" s="14" t="inlineStr">
        <is>
          <t>ALO YOGA BUILD — no source prints EV/EBITDA (: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 Also: Reuters June 2026: no deal was announced on the 2023 process. The $10bn is still an ask.</t>
        </is>
      </c>
      <c r="C33" s="38" t="inlineStr">
        <is>
          <t>Reuters: Alo parent $10bn Moelis ask Also: Reuters: Alo 2023 process; no deal</t>
        </is>
      </c>
      <c r="D33" s="19" t="inlineStr">
        <is>
          <t>Ctrl+F "at about $10 billion" and "hired investment bank Moelis". That is the 2023 ask, not a closed EV. 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found none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7"/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2"/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Selected exit = Gordon TV / FY30 EBITDA. Identity: (UFCF/EBITDA)×(1+g)/(WACC−g). Live formula, not a typed 8.0x</t>
        </is>
      </c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4"/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 Hi: 8.0x = Deckers print as the high end of the range only. Selected exit is Gordon implied, not this cap.</t>
        </is>
      </c>
      <c r="C57" s="85" t="inlineStr">
        <is>
          <t>Lo: StockAnalysis: LULU EV/EBITDA Hi: StockAnalysis: DECK EV/EBITDA</t>
        </is>
      </c>
      <c r="D57" s="19" t="inlineStr">
        <is>
          <t>Lo: Ctrl+F "EV / EBITDA" → LULU trough ~5x; football-field floor 5.0x 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 Hi: 18x P/E high on FY2026E EPS; modest recovery case still below historical premium LULU multiples.</t>
        </is>
      </c>
      <c r="C59" s="85" t="inlineStr">
        <is>
          <t>Lo: StockAnalysis: LULU Forward P/E Hi: StockAnalysis: NKE Forward P/E</t>
        </is>
      </c>
      <c r="D59" s="19" t="inlineStr">
        <is>
          <t>Lo: Ctrl+F "Forward PE" → LULU ~12.3x; low-case multiple assumption 10.0x 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1"/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2026-09-10T01:16:58Z</dcterms:modified>
</cp:coreProperties>
</file>
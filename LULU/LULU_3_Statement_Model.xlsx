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36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36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36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36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36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36" customHeight="1">
      <c r="A14" s="19" t="inlineStr">
        <is>
          <t>Capex % of revenue</t>
        </is>
      </c>
      <c r="B14" s="20" t="inlineStr">
        <is>
          <t>FY26 7.0% = $735M guide mid / $10.425B sales. Then 6.0 / 5.5 / 5.0 / 5.0 (step off FY25 actual 6.1% toward D&amp;A 4.5%).</t>
        </is>
      </c>
      <c r="C14" s="21" t="inlineStr">
        <is>
          <t>LULU CF statement (10-K)</t>
        </is>
      </c>
      <c r="D14" s="22" t="inlineStr">
        <is>
          <t>Ctrl+F "$725.0 million and $745.0 million" → 2026 guide. Mid $735M ÷ $10,425M sales = 7.0% (FY26). Ctrl+F "680,802" → FY25 actual 6.1%. Path 7.0 / 6.0 / 5.5 / 5.0 / 5.0 steps off that 6.1% toward D&amp;A 4.5% (Ctrl+F "496,228").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36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36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36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36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36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36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36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36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36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36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36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36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36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7" t="n">
        <v>100</v>
      </c>
      <c r="J29" s="27" t="n">
        <v>108</v>
      </c>
      <c r="K29" s="27" t="n">
        <v>115</v>
      </c>
      <c r="L29" s="27" t="n">
        <v>122</v>
      </c>
      <c r="M29" s="27" t="n">
        <v>130</v>
      </c>
    </row>
    <row r="31">
      <c r="A31" s="28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1" t="n">
        <v>8110518</v>
      </c>
      <c r="F4" s="31" t="n">
        <v>9619278</v>
      </c>
      <c r="G4" s="31" t="n">
        <v>10588126</v>
      </c>
      <c r="H4" s="31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1" t="n">
        <v>3618178</v>
      </c>
      <c r="F5" s="31" t="n">
        <v>4009873</v>
      </c>
      <c r="G5" s="31" t="n">
        <v>4317315</v>
      </c>
      <c r="H5" s="31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36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1" t="n">
        <v>0</v>
      </c>
      <c r="F6" s="31" t="n">
        <v>0</v>
      </c>
      <c r="G6" s="31" t="n">
        <v>0</v>
      </c>
      <c r="H6" s="31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2" t="inlineStr">
        <is>
          <t>Gross profit</t>
        </is>
      </c>
      <c r="E7" s="33">
        <f>E4-E5-E6</f>
        <v/>
      </c>
      <c r="F7" s="33">
        <f>F4-F5-F6</f>
        <v/>
      </c>
      <c r="G7" s="33">
        <f>G4-G5-G6</f>
        <v/>
      </c>
      <c r="H7" s="33">
        <f>H4-H5-H6</f>
        <v/>
      </c>
      <c r="I7" s="33">
        <f>I4-I5-I6</f>
        <v/>
      </c>
      <c r="J7" s="33">
        <f>J4-J5-J6</f>
        <v/>
      </c>
      <c r="K7" s="33">
        <f>K4-K5-K6</f>
        <v/>
      </c>
      <c r="L7" s="33">
        <f>L4-L5-L6</f>
        <v/>
      </c>
      <c r="M7" s="33">
        <f>M4-M5-M6</f>
        <v/>
      </c>
    </row>
    <row r="8" ht="36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1" t="n">
        <v>2757447</v>
      </c>
      <c r="F8" s="31" t="n">
        <v>3397218</v>
      </c>
      <c r="G8" s="31" t="n">
        <v>3762379</v>
      </c>
      <c r="H8" s="31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36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1" t="n">
        <v>406485</v>
      </c>
      <c r="F9" s="31" t="n">
        <v>79511</v>
      </c>
      <c r="G9" s="31" t="n">
        <v>2735</v>
      </c>
      <c r="H9" s="31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2" t="inlineStr">
        <is>
          <t>Operating income (EBIT)</t>
        </is>
      </c>
      <c r="E10" s="33">
        <f>E7-E8-E9</f>
        <v/>
      </c>
      <c r="F10" s="33">
        <f>F7-F8-F9</f>
        <v/>
      </c>
      <c r="G10" s="33">
        <f>G7-G8-G9</f>
        <v/>
      </c>
      <c r="H10" s="33">
        <f>H7-H8-H9</f>
        <v/>
      </c>
      <c r="I10" s="33">
        <f>I7-I8-I9</f>
        <v/>
      </c>
      <c r="J10" s="33">
        <f>J7-J8-J9</f>
        <v/>
      </c>
      <c r="K10" s="33">
        <f>K7-K8-K9</f>
        <v/>
      </c>
      <c r="L10" s="33">
        <f>L7-L8-L9</f>
        <v/>
      </c>
      <c r="M10" s="33">
        <f>M7-M8-M9</f>
        <v/>
      </c>
    </row>
    <row r="11" ht="36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1" t="n">
        <v>4163</v>
      </c>
      <c r="F11" s="31" t="n">
        <v>43059</v>
      </c>
      <c r="G11" s="31" t="n">
        <v>70380</v>
      </c>
      <c r="H11" s="31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2" t="inlineStr">
        <is>
          <t>Pre-tax income</t>
        </is>
      </c>
      <c r="E12" s="33">
        <f>E10+E11</f>
        <v/>
      </c>
      <c r="F12" s="33">
        <f>F10+F11</f>
        <v/>
      </c>
      <c r="G12" s="33">
        <f>G10+G11</f>
        <v/>
      </c>
      <c r="H12" s="33">
        <f>H10+H11</f>
        <v/>
      </c>
      <c r="I12" s="33">
        <f>I10+I11</f>
        <v/>
      </c>
      <c r="J12" s="33">
        <f>J10+J11</f>
        <v/>
      </c>
      <c r="K12" s="33">
        <f>K10+K11</f>
        <v/>
      </c>
      <c r="L12" s="33">
        <f>L10+L11</f>
        <v/>
      </c>
      <c r="M12" s="33">
        <f>M10+M11</f>
        <v/>
      </c>
    </row>
    <row r="13" ht="36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1" t="n">
        <v>477771</v>
      </c>
      <c r="F13" s="31" t="n">
        <v>625545</v>
      </c>
      <c r="G13" s="31" t="n">
        <v>761461</v>
      </c>
      <c r="H13" s="31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2" t="inlineStr">
        <is>
          <t>Net income</t>
        </is>
      </c>
      <c r="E14" s="34">
        <f>E12-E13</f>
        <v/>
      </c>
      <c r="F14" s="34">
        <f>F12-F13</f>
        <v/>
      </c>
      <c r="G14" s="34">
        <f>G12-G13</f>
        <v/>
      </c>
      <c r="H14" s="34">
        <f>H12-H13</f>
        <v/>
      </c>
      <c r="I14" s="34">
        <f>I12-I13</f>
        <v/>
      </c>
      <c r="J14" s="34">
        <f>J12-J13</f>
        <v/>
      </c>
      <c r="K14" s="34">
        <f>K12-K13</f>
        <v/>
      </c>
      <c r="L14" s="34">
        <f>L12-L13</f>
        <v/>
      </c>
      <c r="M14" s="34">
        <f>M12-M13</f>
        <v/>
      </c>
    </row>
    <row r="16" ht="54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35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1" t="n">
        <v>128017</v>
      </c>
      <c r="F16" s="31" t="n">
        <v>127060</v>
      </c>
      <c r="G16" s="31" t="n">
        <v>123935</v>
      </c>
      <c r="H16" s="31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2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1" t="n">
        <v>1154867</v>
      </c>
      <c r="F6" s="31" t="n">
        <v>2243971</v>
      </c>
      <c r="G6" s="31" t="n">
        <v>1984336</v>
      </c>
      <c r="H6" s="31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1" t="n">
        <v>1447367</v>
      </c>
      <c r="F7" s="31" t="n">
        <v>1323602</v>
      </c>
      <c r="G7" s="31" t="n">
        <v>1442081</v>
      </c>
      <c r="H7" s="31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2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3">
        <f>I6+I7+I8</f>
        <v/>
      </c>
      <c r="J9" s="33">
        <f>J6+J7+J8</f>
        <v/>
      </c>
      <c r="K9" s="33">
        <f>K6+K7+K8</f>
        <v/>
      </c>
      <c r="L9" s="33">
        <f>L6+L7+L8</f>
        <v/>
      </c>
      <c r="M9" s="33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7.0% = $735M guide mid / $10.425B sales. Then 6.0 / 5.5 / 5.0 / 5.0 (step off FY25 actual 6.1% toward D&amp;A 4.5%).</t>
        </is>
      </c>
      <c r="C11" s="21" t="inlineStr">
        <is>
          <t>LULU CF statement (10-K)</t>
        </is>
      </c>
      <c r="D11" s="22" t="inlineStr">
        <is>
          <t>Ctrl+F "$725.0 million and $745.0 million" → 2026 guide. Mid $735M ÷ $10,425M sales = 7.0% (FY26). Ctrl+F "680,802" → FY25 actual 6.1%. Path 7.0 / 6.0 / 5.5 / 5.0 / 5.0 steps off that 6.1% toward D&amp;A 4.5% (Ctrl+F "496,228").</t>
        </is>
      </c>
      <c r="E11" s="31" t="n">
        <v>1269614</v>
      </c>
      <c r="F11" s="31" t="n">
        <v>1545811</v>
      </c>
      <c r="G11" s="31" t="n">
        <v>1780617</v>
      </c>
      <c r="H11" s="31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1" t="n">
        <v>969419</v>
      </c>
      <c r="F12" s="31" t="n">
        <v>1265610</v>
      </c>
      <c r="G12" s="31" t="n">
        <v>1416256</v>
      </c>
      <c r="H12" s="31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1" t="n">
        <v>46105</v>
      </c>
      <c r="F13" s="31" t="n">
        <v>24083</v>
      </c>
      <c r="G13" s="31" t="n">
        <v>171191</v>
      </c>
      <c r="H13" s="31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2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4">
        <f>I9+I11+I12+I13+I14</f>
        <v/>
      </c>
      <c r="J15" s="34">
        <f>J9+J11+J12+J13+J14</f>
        <v/>
      </c>
      <c r="K15" s="34">
        <f>K9+K11+K12+K13+K14</f>
        <v/>
      </c>
      <c r="L15" s="34">
        <f>L9+L11+L12+L13+L14</f>
        <v/>
      </c>
      <c r="M15" s="34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1" t="n">
        <v>172732</v>
      </c>
      <c r="F19" s="31" t="n">
        <v>348441</v>
      </c>
      <c r="G19" s="31" t="n">
        <v>271406</v>
      </c>
      <c r="H19" s="31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1" t="n">
        <v>399223</v>
      </c>
      <c r="F20" s="31" t="n">
        <v>348555</v>
      </c>
      <c r="G20" s="31" t="n">
        <v>559463</v>
      </c>
      <c r="H20" s="31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1" t="n">
        <v>207972</v>
      </c>
      <c r="F21" s="31" t="n">
        <v>249270</v>
      </c>
      <c r="G21" s="31" t="n">
        <v>275154</v>
      </c>
      <c r="H21" s="31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2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3">
        <f>I19+I20+I21+I22</f>
        <v/>
      </c>
      <c r="J23" s="33">
        <f>J19+J20+J21+J22</f>
        <v/>
      </c>
      <c r="K23" s="33">
        <f>K19+K20+K21+K22</f>
        <v/>
      </c>
      <c r="L23" s="33">
        <f>L19+L20+L21+L22</f>
        <v/>
      </c>
      <c r="M23" s="33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1" t="n">
        <v>862362</v>
      </c>
      <c r="F25" s="31" t="n">
        <v>1154012</v>
      </c>
      <c r="G25" s="31" t="n">
        <v>1300637</v>
      </c>
      <c r="H25" s="31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1" t="n">
        <v>55084</v>
      </c>
      <c r="F26" s="31" t="n">
        <v>29522</v>
      </c>
      <c r="G26" s="31" t="n">
        <v>98188</v>
      </c>
      <c r="H26" s="31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2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3">
        <f>I23+I25+I26+I27</f>
        <v/>
      </c>
      <c r="J28" s="33">
        <f>J23+J25+J26+J27</f>
        <v/>
      </c>
      <c r="K28" s="33">
        <f>K23+K25+K26+K27</f>
        <v/>
      </c>
      <c r="L28" s="33">
        <f>L23+L25+L26+L27</f>
        <v/>
      </c>
      <c r="M28" s="33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1" t="n">
        <v>475256</v>
      </c>
      <c r="F31" s="31" t="n">
        <v>575975</v>
      </c>
      <c r="G31" s="31" t="n">
        <v>638771</v>
      </c>
      <c r="H31" s="31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1" t="n">
        <v>2926127</v>
      </c>
      <c r="F32" s="31" t="n">
        <v>3920362</v>
      </c>
      <c r="G32" s="31" t="n">
        <v>4109717</v>
      </c>
      <c r="H32" s="31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1" t="n">
        <v>-252584</v>
      </c>
      <c r="F33" s="31" t="n">
        <v>-264256</v>
      </c>
      <c r="G33" s="31" t="n">
        <v>-424441</v>
      </c>
      <c r="H33" s="31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2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3">
        <f>I31+I32+I33</f>
        <v/>
      </c>
      <c r="J34" s="33">
        <f>J31+J32+J33</f>
        <v/>
      </c>
      <c r="K34" s="33">
        <f>K31+K32+K33</f>
        <v/>
      </c>
      <c r="L34" s="33">
        <f>L31+L32+L33</f>
        <v/>
      </c>
      <c r="M34" s="33">
        <f>M31+M32+M33</f>
        <v/>
      </c>
    </row>
    <row r="35">
      <c r="A35" s="32" t="inlineStr">
        <is>
          <t>TOTAL LIABILITIES &amp; EQUITY</t>
        </is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  <c r="L35" s="34">
        <f>L28+L34</f>
        <v/>
      </c>
      <c r="M35" s="34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29" t="inlineStr">
        <is>
          <t>10-K</t>
        </is>
      </c>
      <c r="F2" s="29" t="inlineStr">
        <is>
          <t>10-K</t>
        </is>
      </c>
      <c r="G2" s="29" t="inlineStr">
        <is>
          <t>10-K</t>
        </is>
      </c>
      <c r="H2" s="29" t="inlineStr">
        <is>
          <t>10-K</t>
        </is>
      </c>
      <c r="I2" s="30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1" t="n">
        <v>854800</v>
      </c>
      <c r="F5" s="31" t="n">
        <v>1550190</v>
      </c>
      <c r="G5" s="31" t="n">
        <v>1814616</v>
      </c>
      <c r="H5" s="31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1" t="n">
        <v>291791</v>
      </c>
      <c r="F6" s="31" t="n">
        <v>379384</v>
      </c>
      <c r="G6" s="31" t="n">
        <v>446524</v>
      </c>
      <c r="H6" s="31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1" t="n">
        <v>78075</v>
      </c>
      <c r="F7" s="31" t="n">
        <v>93560</v>
      </c>
      <c r="G7" s="31" t="n">
        <v>90011</v>
      </c>
      <c r="H7" s="31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2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3">
        <f>I5+I6+I7+SUM(I8:I17)</f>
        <v/>
      </c>
      <c r="J19" s="33">
        <f>J5+J6+J7+SUM(J8:J17)</f>
        <v/>
      </c>
      <c r="K19" s="33">
        <f>K5+K6+K7+SUM(K8:K17)</f>
        <v/>
      </c>
      <c r="L19" s="33">
        <f>L5+L6+L7+SUM(L8:L17)</f>
        <v/>
      </c>
      <c r="M19" s="33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7.0% = $735M guide mid / $10.425B sales. Then 6.0 / 5.5 / 5.0 / 5.0 (step off FY25 actual 6.1% toward D&amp;A 4.5%).</t>
        </is>
      </c>
      <c r="C22" s="21" t="inlineStr">
        <is>
          <t>LULU CF statement (10-K)</t>
        </is>
      </c>
      <c r="D22" s="22" t="inlineStr">
        <is>
          <t>Ctrl+F "$725.0 million and $745.0 million" → 2026 guide. Mid $735M ÷ $10,425M sales = 7.0% (FY26). Ctrl+F "680,802" → FY25 actual 6.1%. Path 7.0 / 6.0 / 5.5 / 5.0 / 5.0 steps off that 6.1% toward D&amp;A 4.5% (Ctrl+F "496,228").</t>
        </is>
      </c>
      <c r="E22" s="31" t="n">
        <v>-638657</v>
      </c>
      <c r="F22" s="31" t="n">
        <v>-651865</v>
      </c>
      <c r="G22" s="31" t="n">
        <v>-689232</v>
      </c>
      <c r="H22" s="31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2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3">
        <f>I22</f>
        <v/>
      </c>
      <c r="J23" s="33">
        <f>J22</f>
        <v/>
      </c>
      <c r="K23" s="33">
        <f>K22</f>
        <v/>
      </c>
      <c r="L23" s="33">
        <f>L22</f>
        <v/>
      </c>
      <c r="M23" s="33">
        <f>M22</f>
        <v/>
      </c>
    </row>
    <row r="24">
      <c r="A24" s="28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1" t="n">
        <v>-444001</v>
      </c>
      <c r="F27" s="31" t="n">
        <v>-558652</v>
      </c>
      <c r="G27" s="31" t="n">
        <v>-1636879</v>
      </c>
      <c r="H27" s="31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2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3">
        <f>I27</f>
        <v/>
      </c>
      <c r="J28" s="33">
        <f>J27</f>
        <v/>
      </c>
      <c r="K28" s="33">
        <f>K27</f>
        <v/>
      </c>
      <c r="L28" s="33">
        <f>L27</f>
        <v/>
      </c>
      <c r="M28" s="33">
        <f>M27</f>
        <v/>
      </c>
    </row>
    <row r="29">
      <c r="A29" s="28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  <c r="L31" s="33">
        <f>L19+L23+L28</f>
        <v/>
      </c>
      <c r="M31" s="33">
        <f>M19+M23+M28</f>
        <v/>
      </c>
    </row>
    <row r="32">
      <c r="A32" s="19" t="inlineStr">
        <is>
          <t>Cash, beginning of year</t>
        </is>
      </c>
      <c r="E32" s="31" t="n">
        <v>1150517</v>
      </c>
      <c r="F32" s="31" t="n">
        <v>1154867</v>
      </c>
      <c r="G32" s="31" t="n">
        <v>2243971</v>
      </c>
      <c r="H32" s="31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2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4">
        <f>I32+I31</f>
        <v/>
      </c>
      <c r="J33" s="34">
        <f>J32+J31</f>
        <v/>
      </c>
      <c r="K33" s="34">
        <f>K32+K31</f>
        <v/>
      </c>
      <c r="L33" s="34">
        <f>L32+L31</f>
        <v/>
      </c>
      <c r="M33" s="34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2026-09-06T21:20:37Z</dcterms:created>
  <dcterms:modified xmlns:dcterms="http://purl.org/dc/terms/" xmlns:xsi="http://www.w3.org/2001/XMLSchema-instance" xsi:type="dcterms:W3CDTF">2026-09-06T21:20:37Z</dcterms:modified>
</cp:coreProperties>
</file>
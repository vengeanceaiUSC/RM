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;(#,##0)"/>
    <numFmt numFmtId="166" formatCode="$#,##0.00"/>
  </numFmts>
  <fonts count="30">
    <font>
      <name val="Calibri"/>
      <family val="2"/>
      <color theme="1"/>
      <sz val="11"/>
      <scheme val="minor"/>
    </font>
    <font>
      <name val="Garamond"/>
      <b val="1"/>
      <color rgb="00FFFFFF"/>
      <sz val="13"/>
    </font>
    <font>
      <name val="Garamond"/>
      <b val="1"/>
      <color rgb="001F2A44"/>
      <sz val="20"/>
    </font>
    <font>
      <name val="Garamond"/>
      <b val="1"/>
      <color rgb="00C8102E"/>
      <sz val="13"/>
    </font>
    <font>
      <name val="Garamond"/>
      <color rgb="00000000"/>
      <sz val="11"/>
    </font>
    <font>
      <name val="Garamond"/>
      <b val="1"/>
      <color rgb="001F2A44"/>
      <sz val="12"/>
    </font>
    <font>
      <name val="Garamond"/>
      <b val="1"/>
      <color rgb="000000CC"/>
      <sz val="11"/>
    </font>
    <font>
      <name val="Garamond"/>
      <b val="1"/>
      <color rgb="00000000"/>
      <sz val="11"/>
    </font>
    <font>
      <name val="Garamond"/>
      <b val="1"/>
      <color rgb="00C00000"/>
      <sz val="11"/>
    </font>
    <font>
      <name val="Garamond"/>
      <color rgb="000000CC"/>
      <sz val="10"/>
    </font>
    <font>
      <name val="Garamond"/>
      <color rgb="000000CC"/>
      <sz val="10"/>
      <u val="single"/>
    </font>
    <font>
      <name val="Garamond"/>
      <color rgb="00000000"/>
      <sz val="10"/>
    </font>
    <font>
      <name val="Garamond"/>
      <i val="1"/>
      <color rgb="00000000"/>
      <sz val="9"/>
    </font>
    <font>
      <name val="Garamond"/>
      <b val="1"/>
      <color rgb="00FFFFFF"/>
      <sz val="12"/>
    </font>
    <font>
      <name val="Garamond"/>
      <b val="1"/>
      <color rgb="00FFFFFF"/>
      <sz val="10"/>
    </font>
    <font>
      <name val="Garamond"/>
      <b val="1"/>
      <color rgb="00C8102E"/>
      <sz val="9"/>
    </font>
    <font>
      <name val="Garamond"/>
      <color rgb="000000CC"/>
      <sz val="8"/>
    </font>
    <font>
      <name val="Garamond"/>
      <color rgb="000000CC"/>
      <sz val="8"/>
      <u val="single"/>
    </font>
    <font>
      <name val="Garamond"/>
      <i val="1"/>
      <color rgb="00C8102E"/>
      <sz val="8"/>
    </font>
    <font>
      <name val="Garamond"/>
      <i val="1"/>
      <color rgb="00000000"/>
      <sz val="7"/>
    </font>
    <font>
      <name val="Garamond"/>
      <b val="1"/>
      <color rgb="001F2A44"/>
      <sz val="10"/>
    </font>
    <font>
      <name val="Garamond"/>
      <color rgb="00C00000"/>
      <sz val="10"/>
    </font>
    <font>
      <name val="Garamond"/>
      <i val="1"/>
      <color rgb="00000000"/>
      <sz val="8"/>
    </font>
    <font>
      <name val="Garamond"/>
      <i val="1"/>
      <color rgb="000000CC"/>
      <sz val="9"/>
    </font>
    <font>
      <name val="Garamond"/>
      <i val="1"/>
      <color rgb="000000CC"/>
      <sz val="9"/>
      <u val="single"/>
    </font>
    <font>
      <name val="Garamond"/>
      <b val="1"/>
      <color rgb="00000000"/>
      <sz val="10"/>
    </font>
    <font>
      <name val="Garamond"/>
      <b val="1"/>
      <color rgb="000000CC"/>
      <sz val="10"/>
    </font>
    <font>
      <name val="Garamond"/>
      <b val="1"/>
      <color rgb="000000CC"/>
      <sz val="10"/>
      <u val="single"/>
    </font>
    <font>
      <name val="Garamond"/>
      <b val="1"/>
      <color rgb="001F2A44"/>
      <sz val="9"/>
    </font>
    <font>
      <name val="Garamond"/>
      <b val="1"/>
      <i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C8102E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top style="thin">
        <color rgb="00BFBFBF"/>
      </top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10" fillId="0" borderId="0" applyAlignment="1" pivotButton="0" quotePrefix="0" xfId="0">
      <alignment horizontal="left" vertical="top" wrapText="1"/>
    </xf>
    <xf numFmtId="0" fontId="11" fillId="0" borderId="0" pivotButton="0" quotePrefix="0" xfId="0"/>
    <xf numFmtId="0" fontId="12" fillId="0" borderId="0" pivotButton="0" quotePrefix="0" xfId="0"/>
    <xf numFmtId="0" fontId="13" fillId="2" borderId="0" applyAlignment="1" pivotButton="0" quotePrefix="0" xfId="0">
      <alignment horizontal="left" vertical="center" indent="1"/>
    </xf>
    <xf numFmtId="0" fontId="14" fillId="2" borderId="0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left" vertical="center" indent="1"/>
    </xf>
    <xf numFmtId="0" fontId="19" fillId="0" borderId="0" applyAlignment="1" pivotButton="0" quotePrefix="0" xfId="0">
      <alignment horizontal="center" vertical="center" wrapText="1"/>
    </xf>
    <xf numFmtId="0" fontId="20" fillId="4" borderId="0" pivotButton="0" quotePrefix="0" xfId="0"/>
    <xf numFmtId="0" fontId="0" fillId="4" borderId="0" pivotButton="0" quotePrefix="0" xfId="0"/>
    <xf numFmtId="0" fontId="11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top" wrapText="1"/>
    </xf>
    <xf numFmtId="164" fontId="11" fillId="0" borderId="0" applyAlignment="1" pivotButton="0" quotePrefix="0" xfId="0">
      <alignment horizontal="right" vertical="center"/>
    </xf>
    <xf numFmtId="164" fontId="21" fillId="0" borderId="0" applyAlignment="1" pivotButton="0" quotePrefix="0" xfId="0">
      <alignment horizontal="right" vertical="center"/>
    </xf>
    <xf numFmtId="165" fontId="11" fillId="0" borderId="0" applyAlignment="1" pivotButton="0" quotePrefix="0" xfId="0">
      <alignment horizontal="right" vertical="center"/>
    </xf>
    <xf numFmtId="165" fontId="21" fillId="0" borderId="0" applyAlignment="1" pivotButton="0" quotePrefix="0" xfId="0">
      <alignment horizontal="right" vertical="center"/>
    </xf>
    <xf numFmtId="0" fontId="24" fillId="0" borderId="0" applyAlignment="1" pivotButton="0" quotePrefix="0" xfId="0">
      <alignment horizontal="left" vertical="top" wrapText="1"/>
    </xf>
    <xf numFmtId="166" fontId="21" fillId="0" borderId="0" applyAlignment="1" pivotButton="0" quotePrefix="0" xfId="0">
      <alignment horizontal="right" vertical="center"/>
    </xf>
    <xf numFmtId="0" fontId="22" fillId="0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 vertical="center" wrapText="1"/>
    </xf>
    <xf numFmtId="165" fontId="10" fillId="0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vertical="center" indent="1"/>
    </xf>
    <xf numFmtId="165" fontId="25" fillId="0" borderId="1" applyAlignment="1" pivotButton="0" quotePrefix="0" xfId="0">
      <alignment horizontal="right" vertical="center"/>
    </xf>
    <xf numFmtId="165" fontId="25" fillId="0" borderId="2" applyAlignment="1" pivotButton="0" quotePrefix="0" xfId="0">
      <alignment horizontal="right" vertical="center"/>
    </xf>
    <xf numFmtId="166" fontId="27" fillId="0" borderId="0" applyAlignment="1" pivotButton="0" quotePrefix="0" xfId="0">
      <alignment horizontal="right" vertical="center"/>
    </xf>
    <xf numFmtId="166" fontId="25" fillId="0" borderId="0" applyAlignment="1" pivotButton="0" quotePrefix="0" xfId="0">
      <alignment horizontal="right" vertical="center"/>
    </xf>
    <xf numFmtId="0" fontId="28" fillId="4" borderId="0" pivotButton="0" quotePrefix="0" xfId="0"/>
    <xf numFmtId="0" fontId="12" fillId="0" borderId="0" applyAlignment="1" pivotButton="0" quotePrefix="0" xfId="0">
      <alignment horizontal="left" vertical="center" indent="1"/>
    </xf>
    <xf numFmtId="164" fontId="12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right" vertical="center"/>
    </xf>
    <xf numFmtId="0" fontId="29" fillId="0" borderId="0" applyAlignment="1" pivotButton="0" quotePrefix="0" xfId="0">
      <alignment horizontal="left" vertical="center" indent="1"/>
    </xf>
    <xf numFmtId="165" fontId="27" fillId="0" borderId="1" applyAlignment="1" pivotButton="0" quotePrefix="0" xfId="0">
      <alignment horizontal="right" vertical="center"/>
    </xf>
    <xf numFmtId="165" fontId="27" fillId="0" borderId="2" applyAlignment="1" pivotButton="0" quotePrefix="0" xfId="0">
      <alignment horizontal="right" vertical="center"/>
    </xf>
    <xf numFmtId="165" fontId="12" fillId="0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c.gov/edgar/browse/?CIK=1397187&amp;owner=exclude" TargetMode="External" Id="rId1"/><Relationship Type="http://schemas.openxmlformats.org/officeDocument/2006/relationships/hyperlink" Target="https://www.sec.gov/Archives/edgar/data/1397187/000139718726000020/lulu-20260201.htm" TargetMode="External" Id="rId2"/><Relationship Type="http://schemas.openxmlformats.org/officeDocument/2006/relationships/hyperlink" Target="https://corporate.lululemon.com/newsroom/press-releases/2026/09-03-2026-210528733" TargetMode="External" Id="rId3"/><Relationship Type="http://schemas.openxmlformats.org/officeDocument/2006/relationships/hyperlink" Target="LULU_Assumptions_Memo.pdf" TargetMode="External" Id="rId4"/></Relationships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397187/000139718723000012/lulu-20230129.htm" TargetMode="External" Id="rId1"/><Relationship Type="http://schemas.openxmlformats.org/officeDocument/2006/relationships/hyperlink" Target="https://www.sec.gov/Archives/edgar/data/1397187/000139718724000010/lulu-20240128.htm" TargetMode="External" Id="rId2"/><Relationship Type="http://schemas.openxmlformats.org/officeDocument/2006/relationships/hyperlink" Target="https://www.sec.gov/Archives/edgar/data/1397187/000139718725000013/lulu-20250202.htm" TargetMode="External" Id="rId3"/><Relationship Type="http://schemas.openxmlformats.org/officeDocument/2006/relationships/hyperlink" Target="https://www.sec.gov/Archives/edgar/data/1397187/000139718726000020/lulu-20260201.htm" TargetMode="External" Id="rId4"/><Relationship Type="http://schemas.openxmlformats.org/officeDocument/2006/relationships/hyperlink" Target="https://stockanalysis.com/stocks/lulu/statistics/" TargetMode="External" Id="rId5"/><Relationship Type="http://schemas.openxmlformats.org/officeDocument/2006/relationships/hyperlink" Target="https://www.sec.gov/Archives/edgar/data/1397187/000139718726000020/lulu-20260201.htm" TargetMode="External" Id="rId6"/><Relationship Type="http://schemas.openxmlformats.org/officeDocument/2006/relationships/hyperlink" Target="https://corporate.lululemon.com/newsroom/press-releases/2026/09-03-2026-210528733" TargetMode="External" Id="rId7"/><Relationship Type="http://schemas.openxmlformats.org/officeDocument/2006/relationships/hyperlink" Target="https://corporate.lululemon.com/newsroom/press-releases/2026/09-03-2026-210528733" TargetMode="External" Id="rId8"/><Relationship Type="http://schemas.openxmlformats.org/officeDocument/2006/relationships/hyperlink" Target="https://www.sec.gov/Archives/edgar/data/1397187/000139718726000020/lulu-20260201.htm" TargetMode="External" Id="rId9"/><Relationship Type="http://schemas.openxmlformats.org/officeDocument/2006/relationships/hyperlink" Target="https://corporate.lululemon.com/newsroom/press-releases/2026/09-03-2026-210528733" TargetMode="External" Id="rId10"/><Relationship Type="http://schemas.openxmlformats.org/officeDocument/2006/relationships/hyperlink" Target="https://corporate.lululemon.com/newsroom/press-releases/2026/09-03-2026-210528733" TargetMode="External" Id="rId11"/><Relationship Type="http://schemas.openxmlformats.org/officeDocument/2006/relationships/hyperlink" Target="https://www.sec.gov/Archives/edgar/data/1397187/000139718726000020/lulu-20260201.htm" TargetMode="External" Id="rId12"/><Relationship Type="http://schemas.openxmlformats.org/officeDocument/2006/relationships/hyperlink" Target="https://www.sec.gov/Archives/edgar/data/1397187/000139718726000020/lulu-20260201.htm" TargetMode="External" Id="rId13"/><Relationship Type="http://schemas.openxmlformats.org/officeDocument/2006/relationships/hyperlink" Target="https://www.sec.gov/Archives/edgar/data/1397187/000139718726000020/lulu-20260201.htm" TargetMode="External" Id="rId14"/><Relationship Type="http://schemas.openxmlformats.org/officeDocument/2006/relationships/hyperlink" Target="https://www.sec.gov/Archives/edgar/data/1397187/000139718726000020/lulu-20260201.htm" TargetMode="External" Id="rId15"/><Relationship Type="http://schemas.openxmlformats.org/officeDocument/2006/relationships/hyperlink" Target="https://www.sec.gov/Archives/edgar/data/1397187/000139718726000020/lulu-20260201.htm" TargetMode="External" Id="rId16"/><Relationship Type="http://schemas.openxmlformats.org/officeDocument/2006/relationships/hyperlink" Target="https://www.sec.gov/Archives/edgar/data/1397187/000139718726000020/lulu-20260201.htm" TargetMode="External" Id="rId17"/><Relationship Type="http://schemas.openxmlformats.org/officeDocument/2006/relationships/hyperlink" Target="https://www.sec.gov/Archives/edgar/data/1397187/000139718726000020/lulu-20260201.htm" TargetMode="External" Id="rId18"/><Relationship Type="http://schemas.openxmlformats.org/officeDocument/2006/relationships/hyperlink" Target="https://www.sec.gov/Archives/edgar/data/1397187/000139718726000020/lulu-20260201.htm" TargetMode="External" Id="rId19"/><Relationship Type="http://schemas.openxmlformats.org/officeDocument/2006/relationships/hyperlink" Target="https://www.sec.gov/Archives/edgar/data/1397187/000139718726000020/lulu-20260201.htm" TargetMode="External" Id="rId20"/><Relationship Type="http://schemas.openxmlformats.org/officeDocument/2006/relationships/hyperlink" Target="https://www.sec.gov/Archives/edgar/data/1397187/000139718726000020/lulu-20260201.htm" TargetMode="External" Id="rId21"/><Relationship Type="http://schemas.openxmlformats.org/officeDocument/2006/relationships/hyperlink" Target="https://www.sec.gov/Archives/edgar/data/1397187/000139718726000020/lulu-20260201.htm" TargetMode="External" Id="rId22"/><Relationship Type="http://schemas.openxmlformats.org/officeDocument/2006/relationships/hyperlink" Target="https://www.sec.gov/Archives/edgar/data/1397187/000139718726000020/lulu-20260201.htm" TargetMode="External" Id="rId23"/><Relationship Type="http://schemas.openxmlformats.org/officeDocument/2006/relationships/hyperlink" Target="https://www.sec.gov/Archives/edgar/data/1397187/000139718726000020/lulu-20260201.htm" TargetMode="External" Id="rId24"/><Relationship Type="http://schemas.openxmlformats.org/officeDocument/2006/relationships/hyperlink" Target="https://www.sec.gov/Archives/edgar/data/1397187/000139718726000020/lulu-20260201.htm" TargetMode="External" Id="rId25"/><Relationship Type="http://schemas.openxmlformats.org/officeDocument/2006/relationships/hyperlink" Target="https://www.sec.gov/Archives/edgar/data/1397187/000139718726000020/lulu-20260201.htm" TargetMode="External" Id="rId26"/><Relationship Type="http://schemas.openxmlformats.org/officeDocument/2006/relationships/hyperlink" Target="https://www.nasdaq.com/market-activity/stocks/lulu" TargetMode="External" Id="rId27"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c.gov/Archives/edgar/data/1397187/000139718723000012/lulu-20230129.htm" TargetMode="External" Id="rId1"/><Relationship Type="http://schemas.openxmlformats.org/officeDocument/2006/relationships/hyperlink" Target="https://www.sec.gov/Archives/edgar/data/1397187/000139718724000010/lulu-20240128.htm" TargetMode="External" Id="rId2"/><Relationship Type="http://schemas.openxmlformats.org/officeDocument/2006/relationships/hyperlink" Target="https://www.sec.gov/Archives/edgar/data/1397187/000139718725000013/lulu-20250202.htm" TargetMode="External" Id="rId3"/><Relationship Type="http://schemas.openxmlformats.org/officeDocument/2006/relationships/hyperlink" Target="https://www.sec.gov/Archives/edgar/data/1397187/000139718726000020/lulu-20260201.htm" TargetMode="External" Id="rId4"/><Relationship Type="http://schemas.openxmlformats.org/officeDocument/2006/relationships/hyperlink" Target="https://stockanalysis.com/stocks/lulu/statistics/" TargetMode="External" Id="rId5"/><Relationship Type="http://schemas.openxmlformats.org/officeDocument/2006/relationships/hyperlink" Target="https://www.sec.gov/Archives/edgar/data/1397187/000139718723000012/lulu-20230129.htm" TargetMode="External" Id="rId6"/><Relationship Type="http://schemas.openxmlformats.org/officeDocument/2006/relationships/hyperlink" Target="https://www.sec.gov/Archives/edgar/data/1397187/000139718724000010/lulu-20240128.htm" TargetMode="External" Id="rId7"/><Relationship Type="http://schemas.openxmlformats.org/officeDocument/2006/relationships/hyperlink" Target="https://www.sec.gov/Archives/edgar/data/1397187/000139718725000013/lulu-20250202.htm" TargetMode="External" Id="rId8"/><Relationship Type="http://schemas.openxmlformats.org/officeDocument/2006/relationships/hyperlink" Target="https://www.sec.gov/Archives/edgar/data/1397187/000139718726000020/lulu-20260201.htm" TargetMode="External" Id="rId9"/><Relationship Type="http://schemas.openxmlformats.org/officeDocument/2006/relationships/hyperlink" Target="https://www.sec.gov/Archives/edgar/data/1397187/000139718726000020/lulu-20260201.htm" TargetMode="External" Id="rId10"/><Relationship Type="http://schemas.openxmlformats.org/officeDocument/2006/relationships/hyperlink" Target="https://www.sec.gov/Archives/edgar/data/1397187/000139718723000012/lulu-20230129.htm" TargetMode="External" Id="rId11"/><Relationship Type="http://schemas.openxmlformats.org/officeDocument/2006/relationships/hyperlink" Target="https://www.sec.gov/Archives/edgar/data/1397187/000139718724000010/lulu-20240128.htm" TargetMode="External" Id="rId12"/><Relationship Type="http://schemas.openxmlformats.org/officeDocument/2006/relationships/hyperlink" Target="https://www.sec.gov/Archives/edgar/data/1397187/000139718725000013/lulu-20250202.htm" TargetMode="External" Id="rId13"/><Relationship Type="http://schemas.openxmlformats.org/officeDocument/2006/relationships/hyperlink" Target="https://www.sec.gov/Archives/edgar/data/1397187/000139718726000020/lulu-20260201.htm" TargetMode="External" Id="rId14"/><Relationship Type="http://schemas.openxmlformats.org/officeDocument/2006/relationships/hyperlink" Target="https://corporate.lululemon.com/newsroom/press-releases/2026/09-03-2026-210528733" TargetMode="External" Id="rId15"/><Relationship Type="http://schemas.openxmlformats.org/officeDocument/2006/relationships/hyperlink" Target="https://www.sec.gov/Archives/edgar/data/1397187/000139718723000012/lulu-20230129.htm" TargetMode="External" Id="rId16"/><Relationship Type="http://schemas.openxmlformats.org/officeDocument/2006/relationships/hyperlink" Target="https://www.sec.gov/Archives/edgar/data/1397187/000139718724000010/lulu-20240128.htm" TargetMode="External" Id="rId17"/><Relationship Type="http://schemas.openxmlformats.org/officeDocument/2006/relationships/hyperlink" Target="https://www.sec.gov/Archives/edgar/data/1397187/000139718725000013/lulu-20250202.htm" TargetMode="External" Id="rId18"/><Relationship Type="http://schemas.openxmlformats.org/officeDocument/2006/relationships/hyperlink" Target="https://www.sec.gov/Archives/edgar/data/1397187/000139718726000020/lulu-20260201.htm" TargetMode="External" Id="rId19"/><Relationship Type="http://schemas.openxmlformats.org/officeDocument/2006/relationships/hyperlink" Target="https://corporate.lululemon.com/newsroom/press-releases/2026/09-03-2026-210528733" TargetMode="External" Id="rId20"/><Relationship Type="http://schemas.openxmlformats.org/officeDocument/2006/relationships/hyperlink" Target="https://www.sec.gov/Archives/edgar/data/1397187/000139718723000012/lulu-20230129.htm" TargetMode="External" Id="rId21"/><Relationship Type="http://schemas.openxmlformats.org/officeDocument/2006/relationships/hyperlink" Target="https://www.sec.gov/Archives/edgar/data/1397187/000139718724000010/lulu-20240128.htm" TargetMode="External" Id="rId22"/><Relationship Type="http://schemas.openxmlformats.org/officeDocument/2006/relationships/hyperlink" Target="https://www.sec.gov/Archives/edgar/data/1397187/000139718725000013/lulu-20250202.htm" TargetMode="External" Id="rId23"/><Relationship Type="http://schemas.openxmlformats.org/officeDocument/2006/relationships/hyperlink" Target="https://www.sec.gov/Archives/edgar/data/1397187/000139718726000020/lulu-20260201.htm" TargetMode="External" Id="rId24"/><Relationship Type="http://schemas.openxmlformats.org/officeDocument/2006/relationships/hyperlink" Target="https://www.sec.gov/Archives/edgar/data/1397187/000139718726000020/lulu-20260201.htm" TargetMode="External" Id="rId25"/><Relationship Type="http://schemas.openxmlformats.org/officeDocument/2006/relationships/hyperlink" Target="https://www.sec.gov/Archives/edgar/data/1397187/000139718723000012/lulu-20230129.htm" TargetMode="External" Id="rId26"/><Relationship Type="http://schemas.openxmlformats.org/officeDocument/2006/relationships/hyperlink" Target="https://www.sec.gov/Archives/edgar/data/1397187/000139718724000010/lulu-20240128.htm" TargetMode="External" Id="rId27"/><Relationship Type="http://schemas.openxmlformats.org/officeDocument/2006/relationships/hyperlink" Target="https://www.sec.gov/Archives/edgar/data/1397187/000139718725000013/lulu-20250202.htm" TargetMode="External" Id="rId28"/><Relationship Type="http://schemas.openxmlformats.org/officeDocument/2006/relationships/hyperlink" Target="https://www.sec.gov/Archives/edgar/data/1397187/000139718726000020/lulu-20260201.htm" TargetMode="External" Id="rId29"/><Relationship Type="http://schemas.openxmlformats.org/officeDocument/2006/relationships/hyperlink" Target="https://corporate.lululemon.com/newsroom/press-releases/2026/09-03-2026-210528733" TargetMode="External" Id="rId30"/><Relationship Type="http://schemas.openxmlformats.org/officeDocument/2006/relationships/hyperlink" Target="https://www.sec.gov/Archives/edgar/data/1397187/000139718723000012/lulu-20230129.htm" TargetMode="External" Id="rId31"/><Relationship Type="http://schemas.openxmlformats.org/officeDocument/2006/relationships/hyperlink" Target="https://www.sec.gov/Archives/edgar/data/1397187/000139718724000010/lulu-20240128.htm" TargetMode="External" Id="rId32"/><Relationship Type="http://schemas.openxmlformats.org/officeDocument/2006/relationships/hyperlink" Target="https://www.sec.gov/Archives/edgar/data/1397187/000139718725000013/lulu-20250202.htm" TargetMode="External" Id="rId33"/><Relationship Type="http://schemas.openxmlformats.org/officeDocument/2006/relationships/hyperlink" Target="https://www.sec.gov/Archives/edgar/data/1397187/000139718726000020/lulu-20260201.htm" TargetMode="External" Id="rId34"/><Relationship Type="http://schemas.openxmlformats.org/officeDocument/2006/relationships/hyperlink" Target="https://corporate.lululemon.com/newsroom/press-releases/2026/09-03-2026-210528733" TargetMode="External" Id="rId35"/><Relationship Type="http://schemas.openxmlformats.org/officeDocument/2006/relationships/hyperlink" Target="https://www.sec.gov/Archives/edgar/data/1397187/000139718723000012/lulu-20230129.htm" TargetMode="External" Id="rId36"/><Relationship Type="http://schemas.openxmlformats.org/officeDocument/2006/relationships/hyperlink" Target="https://www.sec.gov/Archives/edgar/data/1397187/000139718724000010/lulu-20240128.htm" TargetMode="External" Id="rId37"/><Relationship Type="http://schemas.openxmlformats.org/officeDocument/2006/relationships/hyperlink" Target="https://www.sec.gov/Archives/edgar/data/1397187/000139718725000013/lulu-20250202.htm" TargetMode="External" Id="rId38"/><Relationship Type="http://schemas.openxmlformats.org/officeDocument/2006/relationships/hyperlink" Target="https://www.sec.gov/Archives/edgar/data/1397187/000139718726000020/lulu-20260201.htm" TargetMode="External" Id="rId39"/><Relationship Type="http://schemas.openxmlformats.org/officeDocument/2006/relationships/hyperlink" Target="https://www.sec.gov/Archives/edgar/data/1397187/000139718726000020/lulu-20260201.htm" TargetMode="External" Id="rId40"/><Relationship Type="http://schemas.openxmlformats.org/officeDocument/2006/relationships/hyperlink" Target="https://www.sec.gov/Archives/edgar/data/1397187/000139718723000012/lulu-20230129.htm" TargetMode="External" Id="rId41"/><Relationship Type="http://schemas.openxmlformats.org/officeDocument/2006/relationships/hyperlink" Target="https://www.sec.gov/Archives/edgar/data/1397187/000139718724000010/lulu-20240128.htm" TargetMode="External" Id="rId42"/><Relationship Type="http://schemas.openxmlformats.org/officeDocument/2006/relationships/hyperlink" Target="https://www.sec.gov/Archives/edgar/data/1397187/000139718725000013/lulu-20250202.htm" TargetMode="External" Id="rId43"/><Relationship Type="http://schemas.openxmlformats.org/officeDocument/2006/relationships/hyperlink" Target="https://www.sec.gov/Archives/edgar/data/1397187/000139718726000020/lulu-20260201.htm" TargetMode="External" Id="rId44"/><Relationship Type="http://schemas.openxmlformats.org/officeDocument/2006/relationships/hyperlink" Target="https://www.sec.gov/Archives/edgar/data/1397187/000139718723000012/lulu-20230129.htm" TargetMode="External" Id="rId45"/><Relationship Type="http://schemas.openxmlformats.org/officeDocument/2006/relationships/hyperlink" Target="https://www.sec.gov/Archives/edgar/data/1397187/000139718724000010/lulu-20240128.htm" TargetMode="External" Id="rId46"/><Relationship Type="http://schemas.openxmlformats.org/officeDocument/2006/relationships/hyperlink" Target="https://www.sec.gov/Archives/edgar/data/1397187/000139718725000013/lulu-20250202.htm" TargetMode="External" Id="rId47"/><Relationship Type="http://schemas.openxmlformats.org/officeDocument/2006/relationships/hyperlink" Target="https://www.sec.gov/Archives/edgar/data/1397187/000139718726000020/lulu-20260201.htm" TargetMode="External" Id="rId48"/></Relationships>
</file>

<file path=xl/worksheets/_rels/sheet4.xml.rels><Relationships xmlns="http://schemas.openxmlformats.org/package/2006/relationships"><Relationship Type="http://schemas.openxmlformats.org/officeDocument/2006/relationships/hyperlink" Target="https://www.sec.gov/Archives/edgar/data/1397187/000139718723000012/lulu-20230129.htm" TargetMode="External" Id="rId1"/><Relationship Type="http://schemas.openxmlformats.org/officeDocument/2006/relationships/hyperlink" Target="https://www.sec.gov/Archives/edgar/data/1397187/000139718724000010/lulu-20240128.htm" TargetMode="External" Id="rId2"/><Relationship Type="http://schemas.openxmlformats.org/officeDocument/2006/relationships/hyperlink" Target="https://www.sec.gov/Archives/edgar/data/1397187/000139718725000013/lulu-20250202.htm" TargetMode="External" Id="rId3"/><Relationship Type="http://schemas.openxmlformats.org/officeDocument/2006/relationships/hyperlink" Target="https://www.sec.gov/Archives/edgar/data/1397187/000139718726000020/lulu-20260201.htm" TargetMode="External" Id="rId4"/><Relationship Type="http://schemas.openxmlformats.org/officeDocument/2006/relationships/hyperlink" Target="https://www.sec.gov/Archives/edgar/data/1397187/000139718723000012/lulu-20230129.htm" TargetMode="External" Id="rId5"/><Relationship Type="http://schemas.openxmlformats.org/officeDocument/2006/relationships/hyperlink" Target="https://www.sec.gov/Archives/edgar/data/1397187/000139718724000010/lulu-20240128.htm" TargetMode="External" Id="rId6"/><Relationship Type="http://schemas.openxmlformats.org/officeDocument/2006/relationships/hyperlink" Target="https://www.sec.gov/Archives/edgar/data/1397187/000139718725000013/lulu-20250202.htm" TargetMode="External" Id="rId7"/><Relationship Type="http://schemas.openxmlformats.org/officeDocument/2006/relationships/hyperlink" Target="https://www.sec.gov/Archives/edgar/data/1397187/000139718726000020/lulu-20260201.htm" TargetMode="External" Id="rId8"/><Relationship Type="http://schemas.openxmlformats.org/officeDocument/2006/relationships/hyperlink" Target="https://www.sec.gov/Archives/edgar/data/1397187/000139718726000020/lulu-20260201.htm" TargetMode="External" Id="rId9"/><Relationship Type="http://schemas.openxmlformats.org/officeDocument/2006/relationships/hyperlink" Target="https://www.sec.gov/Archives/edgar/data/1397187/000139718723000012/lulu-20230129.htm" TargetMode="External" Id="rId10"/><Relationship Type="http://schemas.openxmlformats.org/officeDocument/2006/relationships/hyperlink" Target="https://www.sec.gov/Archives/edgar/data/1397187/000139718724000010/lulu-20240128.htm" TargetMode="External" Id="rId11"/><Relationship Type="http://schemas.openxmlformats.org/officeDocument/2006/relationships/hyperlink" Target="https://www.sec.gov/Archives/edgar/data/1397187/000139718725000013/lulu-20250202.htm" TargetMode="External" Id="rId12"/><Relationship Type="http://schemas.openxmlformats.org/officeDocument/2006/relationships/hyperlink" Target="https://www.sec.gov/Archives/edgar/data/1397187/000139718726000020/lulu-20260201.htm" TargetMode="External" Id="rId13"/><Relationship Type="http://schemas.openxmlformats.org/officeDocument/2006/relationships/hyperlink" Target="https://www.sec.gov/Archives/edgar/data/1397187/000139718726000020/lulu-20260201.htm" TargetMode="External" Id="rId14"/><Relationship Type="http://schemas.openxmlformats.org/officeDocument/2006/relationships/hyperlink" Target="https://www.sec.gov/Archives/edgar/data/1397187/000139718723000012/lulu-20230129.htm" TargetMode="External" Id="rId15"/><Relationship Type="http://schemas.openxmlformats.org/officeDocument/2006/relationships/hyperlink" Target="https://www.sec.gov/Archives/edgar/data/1397187/000139718724000010/lulu-20240128.htm" TargetMode="External" Id="rId16"/><Relationship Type="http://schemas.openxmlformats.org/officeDocument/2006/relationships/hyperlink" Target="https://www.sec.gov/Archives/edgar/data/1397187/000139718725000013/lulu-20250202.htm" TargetMode="External" Id="rId17"/><Relationship Type="http://schemas.openxmlformats.org/officeDocument/2006/relationships/hyperlink" Target="https://www.sec.gov/Archives/edgar/data/1397187/000139718726000020/lulu-20260201.htm" TargetMode="External" Id="rId18"/><Relationship Type="http://schemas.openxmlformats.org/officeDocument/2006/relationships/hyperlink" Target="https://www.sec.gov/Archives/edgar/data/1397187/000139718726000020/lulu-20260201.htm" TargetMode="External" Id="rId19"/><Relationship Type="http://schemas.openxmlformats.org/officeDocument/2006/relationships/hyperlink" Target="https://www.sec.gov/Archives/edgar/data/1397187/000139718723000012/lulu-20230129.htm" TargetMode="External" Id="rId20"/><Relationship Type="http://schemas.openxmlformats.org/officeDocument/2006/relationships/hyperlink" Target="https://www.sec.gov/Archives/edgar/data/1397187/000139718724000010/lulu-20240128.htm" TargetMode="External" Id="rId21"/><Relationship Type="http://schemas.openxmlformats.org/officeDocument/2006/relationships/hyperlink" Target="https://www.sec.gov/Archives/edgar/data/1397187/000139718725000013/lulu-20250202.htm" TargetMode="External" Id="rId22"/><Relationship Type="http://schemas.openxmlformats.org/officeDocument/2006/relationships/hyperlink" Target="https://www.sec.gov/Archives/edgar/data/1397187/000139718726000020/lulu-20260201.htm" TargetMode="External" Id="rId23"/><Relationship Type="http://schemas.openxmlformats.org/officeDocument/2006/relationships/hyperlink" Target="https://www.sec.gov/Archives/edgar/data/1397187/000139718726000020/lulu-20260201.htm" TargetMode="External" Id="rId24"/><Relationship Type="http://schemas.openxmlformats.org/officeDocument/2006/relationships/hyperlink" Target="https://www.sec.gov/Archives/edgar/data/1397187/000139718723000012/lulu-20230129.htm" TargetMode="External" Id="rId25"/><Relationship Type="http://schemas.openxmlformats.org/officeDocument/2006/relationships/hyperlink" Target="https://www.sec.gov/Archives/edgar/data/1397187/000139718724000010/lulu-20240128.htm" TargetMode="External" Id="rId26"/><Relationship Type="http://schemas.openxmlformats.org/officeDocument/2006/relationships/hyperlink" Target="https://www.sec.gov/Archives/edgar/data/1397187/000139718725000013/lulu-20250202.htm" TargetMode="External" Id="rId27"/><Relationship Type="http://schemas.openxmlformats.org/officeDocument/2006/relationships/hyperlink" Target="https://www.sec.gov/Archives/edgar/data/1397187/000139718726000020/lulu-20260201.htm" TargetMode="External" Id="rId28"/><Relationship Type="http://schemas.openxmlformats.org/officeDocument/2006/relationships/hyperlink" Target="https://www.sec.gov/Archives/edgar/data/1397187/000139718726000020/lulu-20260201.htm" TargetMode="External" Id="rId29"/><Relationship Type="http://schemas.openxmlformats.org/officeDocument/2006/relationships/hyperlink" Target="https://www.sec.gov/Archives/edgar/data/1397187/000139718723000012/lulu-20230129.htm" TargetMode="External" Id="rId30"/><Relationship Type="http://schemas.openxmlformats.org/officeDocument/2006/relationships/hyperlink" Target="https://www.sec.gov/Archives/edgar/data/1397187/000139718724000010/lulu-20240128.htm" TargetMode="External" Id="rId31"/><Relationship Type="http://schemas.openxmlformats.org/officeDocument/2006/relationships/hyperlink" Target="https://www.sec.gov/Archives/edgar/data/1397187/000139718725000013/lulu-20250202.htm" TargetMode="External" Id="rId32"/><Relationship Type="http://schemas.openxmlformats.org/officeDocument/2006/relationships/hyperlink" Target="https://www.sec.gov/Archives/edgar/data/1397187/000139718726000020/lulu-20260201.htm" TargetMode="External" Id="rId33"/><Relationship Type="http://schemas.openxmlformats.org/officeDocument/2006/relationships/hyperlink" Target="https://www.sec.gov/Archives/edgar/data/1397187/000139718723000012/lulu-20230129.htm" TargetMode="External" Id="rId34"/><Relationship Type="http://schemas.openxmlformats.org/officeDocument/2006/relationships/hyperlink" Target="https://www.sec.gov/Archives/edgar/data/1397187/000139718724000010/lulu-20240128.htm" TargetMode="External" Id="rId35"/><Relationship Type="http://schemas.openxmlformats.org/officeDocument/2006/relationships/hyperlink" Target="https://www.sec.gov/Archives/edgar/data/1397187/000139718725000013/lulu-20250202.htm" TargetMode="External" Id="rId36"/><Relationship Type="http://schemas.openxmlformats.org/officeDocument/2006/relationships/hyperlink" Target="https://www.sec.gov/Archives/edgar/data/1397187/000139718726000020/lulu-20260201.htm" TargetMode="External" Id="rId37"/><Relationship Type="http://schemas.openxmlformats.org/officeDocument/2006/relationships/hyperlink" Target="https://www.sec.gov/Archives/edgar/data/1397187/000139718726000020/lulu-20260201.htm" TargetMode="External" Id="rId38"/><Relationship Type="http://schemas.openxmlformats.org/officeDocument/2006/relationships/hyperlink" Target="https://www.sec.gov/Archives/edgar/data/1397187/000139718723000012/lulu-20230129.htm" TargetMode="External" Id="rId39"/><Relationship Type="http://schemas.openxmlformats.org/officeDocument/2006/relationships/hyperlink" Target="https://www.sec.gov/Archives/edgar/data/1397187/000139718724000010/lulu-20240128.htm" TargetMode="External" Id="rId40"/><Relationship Type="http://schemas.openxmlformats.org/officeDocument/2006/relationships/hyperlink" Target="https://www.sec.gov/Archives/edgar/data/1397187/000139718725000013/lulu-20250202.htm" TargetMode="External" Id="rId41"/><Relationship Type="http://schemas.openxmlformats.org/officeDocument/2006/relationships/hyperlink" Target="https://www.sec.gov/Archives/edgar/data/1397187/000139718726000020/lulu-20260201.htm" TargetMode="External" Id="rId42"/><Relationship Type="http://schemas.openxmlformats.org/officeDocument/2006/relationships/hyperlink" Target="https://www.sec.gov/Archives/edgar/data/1397187/000139718726000020/lulu-20260201.htm" TargetMode="External" Id="rId43"/><Relationship Type="http://schemas.openxmlformats.org/officeDocument/2006/relationships/hyperlink" Target="https://www.sec.gov/Archives/edgar/data/1397187/000139718723000012/lulu-20230129.htm" TargetMode="External" Id="rId44"/><Relationship Type="http://schemas.openxmlformats.org/officeDocument/2006/relationships/hyperlink" Target="https://www.sec.gov/Archives/edgar/data/1397187/000139718724000010/lulu-20240128.htm" TargetMode="External" Id="rId45"/><Relationship Type="http://schemas.openxmlformats.org/officeDocument/2006/relationships/hyperlink" Target="https://www.sec.gov/Archives/edgar/data/1397187/000139718725000013/lulu-20250202.htm" TargetMode="External" Id="rId46"/><Relationship Type="http://schemas.openxmlformats.org/officeDocument/2006/relationships/hyperlink" Target="https://www.sec.gov/Archives/edgar/data/1397187/000139718726000020/lulu-20260201.htm" TargetMode="External" Id="rId47"/><Relationship Type="http://schemas.openxmlformats.org/officeDocument/2006/relationships/hyperlink" Target="https://www.sec.gov/Archives/edgar/data/1397187/000139718726000020/lulu-20260201.htm" TargetMode="External" Id="rId48"/><Relationship Type="http://schemas.openxmlformats.org/officeDocument/2006/relationships/hyperlink" Target="https://www.sec.gov/Archives/edgar/data/1397187/000139718723000012/lulu-20230129.htm" TargetMode="External" Id="rId49"/><Relationship Type="http://schemas.openxmlformats.org/officeDocument/2006/relationships/hyperlink" Target="https://www.sec.gov/Archives/edgar/data/1397187/000139718724000010/lulu-20240128.htm" TargetMode="External" Id="rId50"/><Relationship Type="http://schemas.openxmlformats.org/officeDocument/2006/relationships/hyperlink" Target="https://www.sec.gov/Archives/edgar/data/1397187/000139718725000013/lulu-20250202.htm" TargetMode="External" Id="rId51"/><Relationship Type="http://schemas.openxmlformats.org/officeDocument/2006/relationships/hyperlink" Target="https://www.sec.gov/Archives/edgar/data/1397187/000139718726000020/lulu-20260201.htm" TargetMode="External" Id="rId52"/><Relationship Type="http://schemas.openxmlformats.org/officeDocument/2006/relationships/hyperlink" Target="https://www.sec.gov/Archives/edgar/data/1397187/000139718726000020/lulu-20260201.htm" TargetMode="External" Id="rId53"/><Relationship Type="http://schemas.openxmlformats.org/officeDocument/2006/relationships/hyperlink" Target="https://www.sec.gov/Archives/edgar/data/1397187/000139718723000012/lulu-20230129.htm" TargetMode="External" Id="rId54"/><Relationship Type="http://schemas.openxmlformats.org/officeDocument/2006/relationships/hyperlink" Target="https://www.sec.gov/Archives/edgar/data/1397187/000139718724000010/lulu-20240128.htm" TargetMode="External" Id="rId55"/><Relationship Type="http://schemas.openxmlformats.org/officeDocument/2006/relationships/hyperlink" Target="https://www.sec.gov/Archives/edgar/data/1397187/000139718725000013/lulu-20250202.htm" TargetMode="External" Id="rId56"/><Relationship Type="http://schemas.openxmlformats.org/officeDocument/2006/relationships/hyperlink" Target="https://www.sec.gov/Archives/edgar/data/1397187/000139718726000020/lulu-20260201.htm" TargetMode="External" Id="rId57"/><Relationship Type="http://schemas.openxmlformats.org/officeDocument/2006/relationships/hyperlink" Target="https://www.sec.gov/Archives/edgar/data/1397187/000139718726000020/lulu-20260201.htm" TargetMode="External" Id="rId58"/><Relationship Type="http://schemas.openxmlformats.org/officeDocument/2006/relationships/hyperlink" Target="https://www.sec.gov/Archives/edgar/data/1397187/000139718723000012/lulu-20230129.htm" TargetMode="External" Id="rId59"/><Relationship Type="http://schemas.openxmlformats.org/officeDocument/2006/relationships/hyperlink" Target="https://www.sec.gov/Archives/edgar/data/1397187/000139718724000010/lulu-20240128.htm" TargetMode="External" Id="rId60"/><Relationship Type="http://schemas.openxmlformats.org/officeDocument/2006/relationships/hyperlink" Target="https://www.sec.gov/Archives/edgar/data/1397187/000139718725000013/lulu-20250202.htm" TargetMode="External" Id="rId61"/><Relationship Type="http://schemas.openxmlformats.org/officeDocument/2006/relationships/hyperlink" Target="https://www.sec.gov/Archives/edgar/data/1397187/000139718726000020/lulu-20260201.htm" TargetMode="External" Id="rId62"/><Relationship Type="http://schemas.openxmlformats.org/officeDocument/2006/relationships/hyperlink" Target="https://www.sec.gov/Archives/edgar/data/1397187/000139718726000020/lulu-20260201.htm" TargetMode="External" Id="rId63"/><Relationship Type="http://schemas.openxmlformats.org/officeDocument/2006/relationships/hyperlink" Target="https://www.sec.gov/Archives/edgar/data/1397187/000139718723000012/lulu-20230129.htm" TargetMode="External" Id="rId64"/><Relationship Type="http://schemas.openxmlformats.org/officeDocument/2006/relationships/hyperlink" Target="https://www.sec.gov/Archives/edgar/data/1397187/000139718724000010/lulu-20240128.htm" TargetMode="External" Id="rId65"/><Relationship Type="http://schemas.openxmlformats.org/officeDocument/2006/relationships/hyperlink" Target="https://www.sec.gov/Archives/edgar/data/1397187/000139718725000013/lulu-20250202.htm" TargetMode="External" Id="rId66"/><Relationship Type="http://schemas.openxmlformats.org/officeDocument/2006/relationships/hyperlink" Target="https://www.sec.gov/Archives/edgar/data/1397187/000139718726000020/lulu-20260201.htm" TargetMode="External" Id="rId67"/><Relationship Type="http://schemas.openxmlformats.org/officeDocument/2006/relationships/hyperlink" Target="https://www.sec.gov/Archives/edgar/data/1397187/000139718723000012/lulu-20230129.htm" TargetMode="External" Id="rId68"/><Relationship Type="http://schemas.openxmlformats.org/officeDocument/2006/relationships/hyperlink" Target="https://www.sec.gov/Archives/edgar/data/1397187/000139718724000010/lulu-20240128.htm" TargetMode="External" Id="rId69"/><Relationship Type="http://schemas.openxmlformats.org/officeDocument/2006/relationships/hyperlink" Target="https://www.sec.gov/Archives/edgar/data/1397187/000139718725000013/lulu-20250202.htm" TargetMode="External" Id="rId70"/><Relationship Type="http://schemas.openxmlformats.org/officeDocument/2006/relationships/hyperlink" Target="https://www.sec.gov/Archives/edgar/data/1397187/000139718726000020/lulu-20260201.htm" TargetMode="External" Id="rId71"/><Relationship Type="http://schemas.openxmlformats.org/officeDocument/2006/relationships/hyperlink" Target="https://www.sec.gov/Archives/edgar/data/1397187/000139718726000020/lulu-20260201.htm" TargetMode="External" Id="rId72"/><Relationship Type="http://schemas.openxmlformats.org/officeDocument/2006/relationships/hyperlink" Target="https://www.sec.gov/Archives/edgar/data/1397187/000139718723000012/lulu-20230129.htm" TargetMode="External" Id="rId73"/><Relationship Type="http://schemas.openxmlformats.org/officeDocument/2006/relationships/hyperlink" Target="https://www.sec.gov/Archives/edgar/data/1397187/000139718724000010/lulu-20240128.htm" TargetMode="External" Id="rId74"/><Relationship Type="http://schemas.openxmlformats.org/officeDocument/2006/relationships/hyperlink" Target="https://www.sec.gov/Archives/edgar/data/1397187/000139718725000013/lulu-20250202.htm" TargetMode="External" Id="rId75"/><Relationship Type="http://schemas.openxmlformats.org/officeDocument/2006/relationships/hyperlink" Target="https://www.sec.gov/Archives/edgar/data/1397187/000139718726000020/lulu-20260201.htm" TargetMode="External" Id="rId76"/><Relationship Type="http://schemas.openxmlformats.org/officeDocument/2006/relationships/hyperlink" Target="https://www.sec.gov/Archives/edgar/data/1397187/000139718726000020/lulu-20260201.htm" TargetMode="External" Id="rId77"/><Relationship Type="http://schemas.openxmlformats.org/officeDocument/2006/relationships/hyperlink" Target="https://www.sec.gov/Archives/edgar/data/1397187/000139718723000012/lulu-20230129.htm" TargetMode="External" Id="rId78"/><Relationship Type="http://schemas.openxmlformats.org/officeDocument/2006/relationships/hyperlink" Target="https://www.sec.gov/Archives/edgar/data/1397187/000139718724000010/lulu-20240128.htm" TargetMode="External" Id="rId79"/><Relationship Type="http://schemas.openxmlformats.org/officeDocument/2006/relationships/hyperlink" Target="https://www.sec.gov/Archives/edgar/data/1397187/000139718725000013/lulu-20250202.htm" TargetMode="External" Id="rId80"/><Relationship Type="http://schemas.openxmlformats.org/officeDocument/2006/relationships/hyperlink" Target="https://www.sec.gov/Archives/edgar/data/1397187/000139718726000020/lulu-20260201.htm" TargetMode="External" Id="rId81"/><Relationship Type="http://schemas.openxmlformats.org/officeDocument/2006/relationships/hyperlink" Target="https://www.sec.gov/Archives/edgar/data/1397187/000139718726000020/lulu-20260201.htm" TargetMode="External" Id="rId82"/><Relationship Type="http://schemas.openxmlformats.org/officeDocument/2006/relationships/hyperlink" Target="https://www.sec.gov/Archives/edgar/data/1397187/000139718723000012/lulu-20230129.htm" TargetMode="External" Id="rId83"/><Relationship Type="http://schemas.openxmlformats.org/officeDocument/2006/relationships/hyperlink" Target="https://www.sec.gov/Archives/edgar/data/1397187/000139718724000010/lulu-20240128.htm" TargetMode="External" Id="rId84"/><Relationship Type="http://schemas.openxmlformats.org/officeDocument/2006/relationships/hyperlink" Target="https://www.sec.gov/Archives/edgar/data/1397187/000139718725000013/lulu-20250202.htm" TargetMode="External" Id="rId85"/><Relationship Type="http://schemas.openxmlformats.org/officeDocument/2006/relationships/hyperlink" Target="https://www.sec.gov/Archives/edgar/data/1397187/000139718726000020/lulu-20260201.htm" TargetMode="External" Id="rId86"/><Relationship Type="http://schemas.openxmlformats.org/officeDocument/2006/relationships/hyperlink" Target="https://www.sec.gov/Archives/edgar/data/1397187/000139718723000012/lulu-20230129.htm" TargetMode="External" Id="rId87"/><Relationship Type="http://schemas.openxmlformats.org/officeDocument/2006/relationships/hyperlink" Target="https://www.sec.gov/Archives/edgar/data/1397187/000139718724000010/lulu-20240128.htm" TargetMode="External" Id="rId88"/><Relationship Type="http://schemas.openxmlformats.org/officeDocument/2006/relationships/hyperlink" Target="https://www.sec.gov/Archives/edgar/data/1397187/000139718725000013/lulu-20250202.htm" TargetMode="External" Id="rId89"/><Relationship Type="http://schemas.openxmlformats.org/officeDocument/2006/relationships/hyperlink" Target="https://www.sec.gov/Archives/edgar/data/1397187/000139718726000020/lulu-20260201.htm" TargetMode="External" Id="rId90"/><Relationship Type="http://schemas.openxmlformats.org/officeDocument/2006/relationships/hyperlink" Target="https://www.sec.gov/Archives/edgar/data/1397187/000139718723000012/lulu-20230129.htm" TargetMode="External" Id="rId91"/><Relationship Type="http://schemas.openxmlformats.org/officeDocument/2006/relationships/hyperlink" Target="https://www.sec.gov/Archives/edgar/data/1397187/000139718724000010/lulu-20240128.htm" TargetMode="External" Id="rId92"/><Relationship Type="http://schemas.openxmlformats.org/officeDocument/2006/relationships/hyperlink" Target="https://www.sec.gov/Archives/edgar/data/1397187/000139718725000013/lulu-20250202.htm" TargetMode="External" Id="rId93"/><Relationship Type="http://schemas.openxmlformats.org/officeDocument/2006/relationships/hyperlink" Target="https://www.sec.gov/Archives/edgar/data/1397187/000139718726000020/lulu-20260201.htm" TargetMode="External" Id="rId94"/></Relationships>
</file>

<file path=xl/worksheets/_rels/sheet5.xml.rels><Relationships xmlns="http://schemas.openxmlformats.org/package/2006/relationships"><Relationship Type="http://schemas.openxmlformats.org/officeDocument/2006/relationships/hyperlink" Target="https://www.sec.gov/Archives/edgar/data/1397187/000139718723000012/lulu-20230129.htm" TargetMode="External" Id="rId1"/><Relationship Type="http://schemas.openxmlformats.org/officeDocument/2006/relationships/hyperlink" Target="https://www.sec.gov/Archives/edgar/data/1397187/000139718724000010/lulu-20240128.htm" TargetMode="External" Id="rId2"/><Relationship Type="http://schemas.openxmlformats.org/officeDocument/2006/relationships/hyperlink" Target="https://www.sec.gov/Archives/edgar/data/1397187/000139718725000013/lulu-20250202.htm" TargetMode="External" Id="rId3"/><Relationship Type="http://schemas.openxmlformats.org/officeDocument/2006/relationships/hyperlink" Target="https://www.sec.gov/Archives/edgar/data/1397187/000139718726000020/lulu-20260201.htm" TargetMode="External" Id="rId4"/><Relationship Type="http://schemas.openxmlformats.org/officeDocument/2006/relationships/hyperlink" Target="https://www.sec.gov/Archives/edgar/data/1397187/000139718723000012/lulu-20230129.htm" TargetMode="External" Id="rId5"/><Relationship Type="http://schemas.openxmlformats.org/officeDocument/2006/relationships/hyperlink" Target="https://www.sec.gov/Archives/edgar/data/1397187/000139718724000010/lulu-20240128.htm" TargetMode="External" Id="rId6"/><Relationship Type="http://schemas.openxmlformats.org/officeDocument/2006/relationships/hyperlink" Target="https://www.sec.gov/Archives/edgar/data/1397187/000139718725000013/lulu-20250202.htm" TargetMode="External" Id="rId7"/><Relationship Type="http://schemas.openxmlformats.org/officeDocument/2006/relationships/hyperlink" Target="https://www.sec.gov/Archives/edgar/data/1397187/000139718726000020/lulu-20260201.htm" TargetMode="External" Id="rId8"/><Relationship Type="http://schemas.openxmlformats.org/officeDocument/2006/relationships/hyperlink" Target="https://www.sec.gov/Archives/edgar/data/1397187/000139718726000020/lulu-20260201.htm" TargetMode="External" Id="rId9"/><Relationship Type="http://schemas.openxmlformats.org/officeDocument/2006/relationships/hyperlink" Target="https://www.sec.gov/Archives/edgar/data/1397187/000139718723000012/lulu-20230129.htm" TargetMode="External" Id="rId10"/><Relationship Type="http://schemas.openxmlformats.org/officeDocument/2006/relationships/hyperlink" Target="https://www.sec.gov/Archives/edgar/data/1397187/000139718724000010/lulu-20240128.htm" TargetMode="External" Id="rId11"/><Relationship Type="http://schemas.openxmlformats.org/officeDocument/2006/relationships/hyperlink" Target="https://www.sec.gov/Archives/edgar/data/1397187/000139718725000013/lulu-20250202.htm" TargetMode="External" Id="rId12"/><Relationship Type="http://schemas.openxmlformats.org/officeDocument/2006/relationships/hyperlink" Target="https://www.sec.gov/Archives/edgar/data/1397187/000139718726000020/lulu-20260201.htm" TargetMode="External" Id="rId13"/><Relationship Type="http://schemas.openxmlformats.org/officeDocument/2006/relationships/hyperlink" Target="https://www.sec.gov/Archives/edgar/data/1397187/000139718726000020/lulu-20260201.htm" TargetMode="External" Id="rId14"/><Relationship Type="http://schemas.openxmlformats.org/officeDocument/2006/relationships/hyperlink" Target="https://www.sec.gov/Archives/edgar/data/1397187/000139718723000012/lulu-20230129.htm" TargetMode="External" Id="rId15"/><Relationship Type="http://schemas.openxmlformats.org/officeDocument/2006/relationships/hyperlink" Target="https://www.sec.gov/Archives/edgar/data/1397187/000139718724000010/lulu-20240128.htm" TargetMode="External" Id="rId16"/><Relationship Type="http://schemas.openxmlformats.org/officeDocument/2006/relationships/hyperlink" Target="https://www.sec.gov/Archives/edgar/data/1397187/000139718725000013/lulu-20250202.htm" TargetMode="External" Id="rId17"/><Relationship Type="http://schemas.openxmlformats.org/officeDocument/2006/relationships/hyperlink" Target="https://www.sec.gov/Archives/edgar/data/1397187/000139718726000020/lulu-20260201.htm" TargetMode="External" Id="rId18"/><Relationship Type="http://schemas.openxmlformats.org/officeDocument/2006/relationships/hyperlink" Target="https://www.sec.gov/Archives/edgar/data/1397187/000139718726000020/lulu-20260201.htm" TargetMode="External" Id="rId19"/><Relationship Type="http://schemas.openxmlformats.org/officeDocument/2006/relationships/hyperlink" Target="https://www.sec.gov/Archives/edgar/data/1397187/000139718726000020/lulu-20260201.htm" TargetMode="External" Id="rId20"/><Relationship Type="http://schemas.openxmlformats.org/officeDocument/2006/relationships/hyperlink" Target="https://www.sec.gov/Archives/edgar/data/1397187/000139718726000020/lulu-20260201.htm" TargetMode="External" Id="rId21"/><Relationship Type="http://schemas.openxmlformats.org/officeDocument/2006/relationships/hyperlink" Target="https://www.sec.gov/Archives/edgar/data/1397187/000139718726000020/lulu-20260201.htm" TargetMode="External" Id="rId22"/><Relationship Type="http://schemas.openxmlformats.org/officeDocument/2006/relationships/hyperlink" Target="https://www.sec.gov/Archives/edgar/data/1397187/000139718726000020/lulu-20260201.htm" TargetMode="External" Id="rId23"/><Relationship Type="http://schemas.openxmlformats.org/officeDocument/2006/relationships/hyperlink" Target="https://www.sec.gov/Archives/edgar/data/1397187/000139718726000020/lulu-20260201.htm" TargetMode="External" Id="rId24"/><Relationship Type="http://schemas.openxmlformats.org/officeDocument/2006/relationships/hyperlink" Target="https://www.sec.gov/Archives/edgar/data/1397187/000139718726000020/lulu-20260201.htm" TargetMode="External" Id="rId25"/><Relationship Type="http://schemas.openxmlformats.org/officeDocument/2006/relationships/hyperlink" Target="https://www.sec.gov/Archives/edgar/data/1397187/000139718726000020/lulu-20260201.htm" TargetMode="External" Id="rId26"/><Relationship Type="http://schemas.openxmlformats.org/officeDocument/2006/relationships/hyperlink" Target="https://www.sec.gov/Archives/edgar/data/1397187/000139718726000020/lulu-20260201.htm" TargetMode="External" Id="rId27"/><Relationship Type="http://schemas.openxmlformats.org/officeDocument/2006/relationships/hyperlink" Target="https://www.sec.gov/Archives/edgar/data/1397187/000139718723000012/lulu-20230129.htm" TargetMode="External" Id="rId28"/><Relationship Type="http://schemas.openxmlformats.org/officeDocument/2006/relationships/hyperlink" Target="https://www.sec.gov/Archives/edgar/data/1397187/000139718724000010/lulu-20240128.htm" TargetMode="External" Id="rId29"/><Relationship Type="http://schemas.openxmlformats.org/officeDocument/2006/relationships/hyperlink" Target="https://www.sec.gov/Archives/edgar/data/1397187/000139718725000013/lulu-20250202.htm" TargetMode="External" Id="rId30"/><Relationship Type="http://schemas.openxmlformats.org/officeDocument/2006/relationships/hyperlink" Target="https://www.sec.gov/Archives/edgar/data/1397187/000139718726000020/lulu-20260201.htm" TargetMode="External" Id="rId31"/><Relationship Type="http://schemas.openxmlformats.org/officeDocument/2006/relationships/hyperlink" Target="https://www.sec.gov/Archives/edgar/data/1397187/000139718726000020/lulu-20260201.htm" TargetMode="External" Id="rId32"/><Relationship Type="http://schemas.openxmlformats.org/officeDocument/2006/relationships/hyperlink" Target="https://www.sec.gov/Archives/edgar/data/1397187/000139718723000012/lulu-20230129.htm" TargetMode="External" Id="rId33"/><Relationship Type="http://schemas.openxmlformats.org/officeDocument/2006/relationships/hyperlink" Target="https://www.sec.gov/Archives/edgar/data/1397187/000139718724000010/lulu-20240128.htm" TargetMode="External" Id="rId34"/><Relationship Type="http://schemas.openxmlformats.org/officeDocument/2006/relationships/hyperlink" Target="https://www.sec.gov/Archives/edgar/data/1397187/000139718725000013/lulu-20250202.htm" TargetMode="External" Id="rId35"/><Relationship Type="http://schemas.openxmlformats.org/officeDocument/2006/relationships/hyperlink" Target="https://www.sec.gov/Archives/edgar/data/1397187/000139718726000020/lulu-20260201.htm" TargetMode="External" Id="rId36"/><Relationship Type="http://schemas.openxmlformats.org/officeDocument/2006/relationships/hyperlink" Target="https://www.sec.gov/Archives/edgar/data/1397187/000139718723000012/lulu-20230129.htm" TargetMode="External" Id="rId37"/><Relationship Type="http://schemas.openxmlformats.org/officeDocument/2006/relationships/hyperlink" Target="https://www.sec.gov/Archives/edgar/data/1397187/000139718724000010/lulu-20240128.htm" TargetMode="External" Id="rId38"/><Relationship Type="http://schemas.openxmlformats.org/officeDocument/2006/relationships/hyperlink" Target="https://www.sec.gov/Archives/edgar/data/1397187/000139718725000013/lulu-20250202.htm" TargetMode="External" Id="rId39"/><Relationship Type="http://schemas.openxmlformats.org/officeDocument/2006/relationships/hyperlink" Target="https://www.sec.gov/Archives/edgar/data/1397187/000139718726000020/lulu-20260201.htm" TargetMode="External" Id="rId40"/><Relationship Type="http://schemas.openxmlformats.org/officeDocument/2006/relationships/hyperlink" Target="https://www.sec.gov/Archives/edgar/data/1397187/000139718726000020/lulu-20260201.htm" TargetMode="External" Id="rId41"/><Relationship Type="http://schemas.openxmlformats.org/officeDocument/2006/relationships/hyperlink" Target="https://www.sec.gov/Archives/edgar/data/1397187/000139718723000012/lulu-20230129.htm" TargetMode="External" Id="rId42"/><Relationship Type="http://schemas.openxmlformats.org/officeDocument/2006/relationships/hyperlink" Target="https://www.sec.gov/Archives/edgar/data/1397187/000139718724000010/lulu-20240128.htm" TargetMode="External" Id="rId43"/><Relationship Type="http://schemas.openxmlformats.org/officeDocument/2006/relationships/hyperlink" Target="https://www.sec.gov/Archives/edgar/data/1397187/000139718725000013/lulu-20250202.htm" TargetMode="External" Id="rId44"/><Relationship Type="http://schemas.openxmlformats.org/officeDocument/2006/relationships/hyperlink" Target="https://www.sec.gov/Archives/edgar/data/1397187/000139718726000020/lulu-20260201.htm" TargetMode="External" Id="rId45"/><Relationship Type="http://schemas.openxmlformats.org/officeDocument/2006/relationships/hyperlink" Target="https://www.sec.gov/Archives/edgar/data/1397187/000139718723000012/lulu-20230129.htm" TargetMode="External" Id="rId46"/><Relationship Type="http://schemas.openxmlformats.org/officeDocument/2006/relationships/hyperlink" Target="https://www.sec.gov/Archives/edgar/data/1397187/000139718724000010/lulu-20240128.htm" TargetMode="External" Id="rId47"/><Relationship Type="http://schemas.openxmlformats.org/officeDocument/2006/relationships/hyperlink" Target="https://www.sec.gov/Archives/edgar/data/1397187/000139718725000013/lulu-20250202.htm" TargetMode="External" Id="rId48"/><Relationship Type="http://schemas.openxmlformats.org/officeDocument/2006/relationships/hyperlink" Target="https://www.sec.gov/Archives/edgar/data/1397187/000139718726000020/lulu-20260201.htm" TargetMode="External" Id="rId49"/><Relationship Type="http://schemas.openxmlformats.org/officeDocument/2006/relationships/hyperlink" Target="https://www.sec.gov/Archives/edgar/data/1397187/000139718723000012/lulu-20230129.htm" TargetMode="External" Id="rId50"/><Relationship Type="http://schemas.openxmlformats.org/officeDocument/2006/relationships/hyperlink" Target="https://www.sec.gov/Archives/edgar/data/1397187/000139718724000010/lulu-20240128.htm" TargetMode="External" Id="rId51"/><Relationship Type="http://schemas.openxmlformats.org/officeDocument/2006/relationships/hyperlink" Target="https://www.sec.gov/Archives/edgar/data/1397187/000139718725000013/lulu-20250202.htm" TargetMode="External" Id="rId52"/><Relationship Type="http://schemas.openxmlformats.org/officeDocument/2006/relationships/hyperlink" Target="https://www.sec.gov/Archives/edgar/data/1397187/000139718726000020/lulu-20260201.htm" TargetMode="External" Id="rId53"/><Relationship Type="http://schemas.openxmlformats.org/officeDocument/2006/relationships/hyperlink" Target="https://www.sec.gov/Archives/edgar/data/1397187/000139718723000012/lulu-20230129.htm" TargetMode="External" Id="rId54"/><Relationship Type="http://schemas.openxmlformats.org/officeDocument/2006/relationships/hyperlink" Target="https://www.sec.gov/Archives/edgar/data/1397187/000139718724000010/lulu-20240128.htm" TargetMode="External" Id="rId55"/><Relationship Type="http://schemas.openxmlformats.org/officeDocument/2006/relationships/hyperlink" Target="https://www.sec.gov/Archives/edgar/data/1397187/000139718725000013/lulu-20250202.htm" TargetMode="External" Id="rId56"/><Relationship Type="http://schemas.openxmlformats.org/officeDocument/2006/relationships/hyperlink" Target="https://www.sec.gov/Archives/edgar/data/1397187/000139718726000020/lulu-20260201.htm" TargetMode="External" Id="rId5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26" customHeight="1">
      <c r="B2" s="1" t="inlineStr">
        <is>
          <t>GLOBAL INVESTMENT SOCIETY  |  INVESTMENT RESEARCH DIVISION</t>
        </is>
      </c>
    </row>
    <row r="4">
      <c r="B4" s="2" t="inlineStr">
        <is>
          <t>lululemon athletica inc. (NASDAQ: LULU)</t>
        </is>
      </c>
    </row>
    <row r="5">
      <c r="B5" s="3" t="inlineStr">
        <is>
          <t>Integrated Three-Statement Operating Model</t>
        </is>
      </c>
    </row>
    <row r="7">
      <c r="B7" s="4" t="inlineStr">
        <is>
          <t>Historical figures (FY2022–FY2025) per company SEC filings (Form 10-K).</t>
        </is>
      </c>
    </row>
    <row r="8">
      <c r="B8" s="4" t="inlineStr">
        <is>
          <t>Fiscal year ends late January / early February; FY2025 ended February 1, 2026.</t>
        </is>
      </c>
    </row>
    <row r="10">
      <c r="B10" s="5" t="inlineStr">
        <is>
          <t>FONT / COLOR CONVENTION</t>
        </is>
      </c>
    </row>
    <row r="11">
      <c r="B11" s="6" t="inlineStr">
        <is>
          <t>Blue font  =  figures reported by the company (click value or 10-K link for source)</t>
        </is>
      </c>
    </row>
    <row r="12">
      <c r="B12" s="7" t="inlineStr">
        <is>
          <t>Black font  =  calculations / formulas</t>
        </is>
      </c>
    </row>
    <row r="13">
      <c r="B13" s="8" t="inlineStr">
        <is>
          <t>Red font  =  analyst assumptions — cols B/C/D on every tab: Justification | Source | Ctrl+F</t>
        </is>
      </c>
    </row>
    <row r="15">
      <c r="B15" s="5" t="inlineStr">
        <is>
          <t>SOURCES</t>
        </is>
      </c>
    </row>
    <row r="16" ht="36" customHeight="1">
      <c r="B16" s="9" t="inlineStr">
        <is>
          <t>SEC EDGAR filings, CIK 0001397187 (Forms 10-K)
Ctrl+F: Ctrl+F "10-K" → FY2025 accession 0001397187-26-000020</t>
        </is>
      </c>
    </row>
    <row r="17" ht="36" customHeight="1">
      <c r="B17" s="9" t="inlineStr">
        <is>
          <t>FY2025 Form 10-K (ended Feb 1, 2026)
Ctrl+F: Ctrl+F "Net revenue" → 11,102,600 or "Depreciation and amortization" → 496,228 on this 10-K HTML file</t>
        </is>
      </c>
    </row>
    <row r="18" ht="36" customHeight="1">
      <c r="B18" s="9" t="inlineStr">
        <is>
          <t>Q2 FY2026 results &amp; FY2026 guidance (Sep 3, 2026 earnings release)
Ctrl+F: Ctrl+F "decline of 5% to 7%" | "$10.350 billion to $10.500 billion" | "$9.48 to $9.73"</t>
        </is>
      </c>
    </row>
    <row r="19">
      <c r="B19" s="5" t="inlineStr">
        <is>
          <t>TABS</t>
        </is>
      </c>
    </row>
    <row r="20">
      <c r="B20" s="10" t="inlineStr">
        <is>
          <t>Assumptions  •  Revenue Drivers  •  Income Statement  •  Balance Sheet  •  Cash Flow</t>
        </is>
      </c>
    </row>
    <row r="22">
      <c r="B22" s="5" t="inlineStr">
        <is>
          <t>ASSUMPTIONS GUIDE (PDF — every tab)</t>
        </is>
      </c>
    </row>
    <row r="23" ht="36" customHeight="1">
      <c r="B23" s="9" t="inlineStr">
        <is>
          <t>LULU_Assumptions_Memo.pdf — full guide: every red assumption on WACC, Scenarios, Revenue Drivers, DCF, Comps &amp; 3-Statement
Ctrl+F: Open for justification, clickable source links, and Ctrl+F proof for every assumption.</t>
        </is>
      </c>
    </row>
    <row r="25">
      <c r="B25" s="11" t="inlineStr">
        <is>
          <t>Built from scratch for the GIS IR selection assignment. Units: US$ thousands unless noted.</t>
        </is>
      </c>
    </row>
  </sheetData>
  <hyperlinks>
    <hyperlink xmlns:r="http://schemas.openxmlformats.org/officeDocument/2006/relationships" ref="B16" r:id="rId1"/>
    <hyperlink xmlns:r="http://schemas.openxmlformats.org/officeDocument/2006/relationships" ref="B17" r:id="rId2"/>
    <hyperlink xmlns:r="http://schemas.openxmlformats.org/officeDocument/2006/relationships" ref="B18" r:id="rId3"/>
    <hyperlink xmlns:r="http://schemas.openxmlformats.org/officeDocument/2006/relationships" ref="B2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"/>
  <sheetViews>
    <sheetView showGridLines="0" workbookViewId="0">
      <pane xSplit="4" ySplit="3" topLeftCell="E4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4" customWidth="1" min="2" max="2"/>
    <col width="16" customWidth="1" min="3" max="3"/>
    <col width="3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16" customHeight="1">
      <c r="A1" s="12" t="inlineStr">
        <is>
          <t>OPERATING ASSUMPTIONS &amp; DRIVERS</t>
        </is>
      </c>
      <c r="E1" s="13" t="inlineStr">
        <is>
          <t>FY2022</t>
        </is>
      </c>
      <c r="F1" s="13" t="inlineStr">
        <is>
          <t>FY2023</t>
        </is>
      </c>
      <c r="G1" s="13" t="inlineStr">
        <is>
          <t>FY2024</t>
        </is>
      </c>
      <c r="H1" s="13" t="inlineStr">
        <is>
          <t>FY2025</t>
        </is>
      </c>
      <c r="I1" s="14" t="inlineStr">
        <is>
          <t>FY2026E</t>
        </is>
      </c>
      <c r="J1" s="14" t="inlineStr">
        <is>
          <t>FY2027E</t>
        </is>
      </c>
      <c r="K1" s="14" t="inlineStr">
        <is>
          <t>FY2028E</t>
        </is>
      </c>
      <c r="L1" s="14" t="inlineStr">
        <is>
          <t>FY2029E</t>
        </is>
      </c>
      <c r="M1" s="14" t="inlineStr">
        <is>
          <t>FY2030E</t>
        </is>
      </c>
    </row>
    <row r="2">
      <c r="B2" s="15" t="inlineStr">
        <is>
          <t>Justification (~20 words)</t>
        </is>
      </c>
      <c r="C2" s="15" t="inlineStr">
        <is>
          <t>Source (click)</t>
        </is>
      </c>
      <c r="D2" s="15" t="inlineStr">
        <is>
          <t>Ctrl+F (prove number)</t>
        </is>
      </c>
      <c r="E2" s="16" t="inlineStr">
        <is>
          <t>Jan 29, 2023</t>
        </is>
      </c>
      <c r="F2" s="16" t="inlineStr">
        <is>
          <t>Jan 28, 2024</t>
        </is>
      </c>
      <c r="G2" s="16" t="inlineStr">
        <is>
          <t>Feb 2, 2025</t>
        </is>
      </c>
      <c r="H2" s="16" t="inlineStr">
        <is>
          <t>Feb 1, 2026</t>
        </is>
      </c>
      <c r="I2" s="16" t="inlineStr">
        <is>
          <t>proj.</t>
        </is>
      </c>
      <c r="J2" s="16" t="inlineStr">
        <is>
          <t>proj.</t>
        </is>
      </c>
      <c r="K2" s="16" t="inlineStr">
        <is>
          <t>proj.</t>
        </is>
      </c>
      <c r="L2" s="16" t="inlineStr">
        <is>
          <t>proj.</t>
        </is>
      </c>
      <c r="M2" s="16" t="inlineStr">
        <is>
          <t>proj.</t>
        </is>
      </c>
    </row>
    <row r="4">
      <c r="A4" s="17" t="inlineStr">
        <is>
          <t>GROWTH &amp; MARGINS</t>
        </is>
      </c>
      <c r="E4" s="18" t="n"/>
      <c r="F4" s="18" t="n"/>
      <c r="G4" s="18" t="n"/>
      <c r="H4" s="18" t="n"/>
      <c r="I4" s="18" t="n"/>
      <c r="J4" s="18" t="n"/>
      <c r="K4" s="18" t="n"/>
      <c r="L4" s="18" t="n"/>
      <c r="M4" s="18" t="n"/>
    </row>
    <row r="5" ht="28" customHeight="1">
      <c r="A5" s="19" t="inlineStr">
        <is>
          <t>Revenue growth %</t>
        </is>
      </c>
      <c r="B5" s="20" t="inlineStr">
        <is>
          <t>FY26 −6.1% is guidance midpoint. FY27 +2.6% then +2.3% tracks StockAnalysis next-year +2.64% and 3Y forecast 2.26%.</t>
        </is>
      </c>
      <c r="C5" s="21" t="inlineStr">
        <is>
          <t>StockAnalysis: LULU revenue forecast (FY27–30)</t>
        </is>
      </c>
      <c r="D5" s="22" t="inlineStr">
        <is>
          <t>FY26: earnings release Ctrl+F "decline of 5% to 7%". FY27–30: this page Ctrl+F "Revenue Growth Forecast (3Y)" → 2.26%. Model 2.3%.</t>
        </is>
      </c>
      <c r="F5" s="23" t="n">
        <v>0.1860251096169196</v>
      </c>
      <c r="G5" s="23" t="n">
        <v>0.1007194095024595</v>
      </c>
      <c r="H5" s="23" t="n">
        <v>0.04858971266492285</v>
      </c>
      <c r="I5" s="24" t="n">
        <v>-0.061</v>
      </c>
      <c r="J5" s="24" t="n">
        <v>0.026</v>
      </c>
      <c r="K5" s="24" t="n">
        <v>0.023</v>
      </c>
      <c r="L5" s="24" t="n">
        <v>0.023</v>
      </c>
      <c r="M5" s="24" t="n">
        <v>0.023</v>
      </c>
    </row>
    <row r="6" ht="28" customHeight="1">
      <c r="A6" s="19" t="inlineStr">
        <is>
          <t>Gross margin % (clean, ex-refunds)</t>
        </is>
      </c>
      <c r="B6" s="20" t="inlineStr">
        <is>
          <t>Clean GM 56.5%→58.0% (ex-refunds), still below peak ~58–59%. FY26 COGS is then reduced by the $134.5M IEEPA refund.</t>
        </is>
      </c>
      <c r="C6" s="21" t="inlineStr">
        <is>
          <t>LULU historical gross margin (10-K)</t>
        </is>
      </c>
      <c r="D6" s="22" t="inlineStr">
        <is>
          <t>Ctrl+F "Gross profit" → 6,284,132 ÷ "Net revenue" 11,102,600 = 56.6% FY25 anchor</t>
        </is>
      </c>
      <c r="E6" s="23" t="n">
        <v>0.5538906392908567</v>
      </c>
      <c r="F6" s="23" t="n">
        <v>0.583141998806979</v>
      </c>
      <c r="G6" s="23" t="n">
        <v>0.5922493744407651</v>
      </c>
      <c r="H6" s="23" t="n">
        <v>0.566005440167168</v>
      </c>
      <c r="I6" s="24" t="n">
        <v>0.5649999999999999</v>
      </c>
      <c r="J6" s="24" t="n">
        <v>0.57</v>
      </c>
      <c r="K6" s="24" t="n">
        <v>0.575</v>
      </c>
      <c r="L6" s="24" t="n">
        <v>0.575</v>
      </c>
      <c r="M6" s="24" t="n">
        <v>0.58</v>
      </c>
    </row>
    <row r="7" ht="28" customHeight="1">
      <c r="A7" s="19" t="inlineStr">
        <is>
          <t>IEEPA tariff refunds ($k, FY26 only)</t>
        </is>
      </c>
      <c r="B7" s="20" t="inlineStr">
        <is>
          <t>Add back $134.5M in FY26 only — already recognized (reduced COGS). +130bps on FY26 sales, not +560bps (that was Q2-only).</t>
        </is>
      </c>
      <c r="C7" s="21" t="inlineStr">
        <is>
          <t>Q2 FY2026 release: $134.5M IEEPA tariff refunds</t>
        </is>
      </c>
      <c r="D7" s="22" t="inlineStr">
        <is>
          <t>Ctrl+F "134.5 million" → IEEPA tariff refunds reduced COGS. Add this dollar amount to FY26 EBIT only. Full-year boost = 134.5 / FY26 sales ≈ 1.3ppt, not 5.6ppt.</t>
        </is>
      </c>
      <c r="E7" s="25" t="n">
        <v>0</v>
      </c>
      <c r="F7" s="25" t="n">
        <v>0</v>
      </c>
      <c r="G7" s="25" t="n">
        <v>0</v>
      </c>
      <c r="H7" s="25" t="n">
        <v>0</v>
      </c>
      <c r="I7" s="26" t="n">
        <v>134500</v>
      </c>
      <c r="J7" s="26" t="n">
        <v>0</v>
      </c>
      <c r="K7" s="26" t="n">
        <v>0</v>
      </c>
      <c r="L7" s="26" t="n">
        <v>0</v>
      </c>
      <c r="M7" s="26" t="n">
        <v>0</v>
      </c>
    </row>
    <row r="8" ht="28" customHeight="1">
      <c r="A8" s="19" t="inlineStr">
        <is>
          <t>SG&amp;A % of revenue</t>
        </is>
      </c>
      <c r="B8" s="20" t="inlineStr">
        <is>
          <t>FY26 SG&amp;A 42.5% matches YTD 42.3% (earnings), vs FY25 36.7% 10-K; then fades to 39.5% as volume stabilizes.</t>
        </is>
      </c>
      <c r="C8" s="21" t="inlineStr">
        <is>
          <t>LULU Q2 FY2026 earnings release (YTD SG&amp;A %)</t>
        </is>
      </c>
      <c r="D8" s="22" t="inlineStr">
        <is>
          <t>Ctrl+F "41.7%" (Q2 SG&amp;A % of net revenue) and "42.3%" (first two quarters). FY25 10-K is 36.7%. Model FY26 42.5%</t>
        </is>
      </c>
      <c r="E8" s="23" t="n">
        <v>0.3399840799317627</v>
      </c>
      <c r="F8" s="23" t="n">
        <v>0.3531676701723352</v>
      </c>
      <c r="G8" s="23" t="n">
        <v>0.355339462337339</v>
      </c>
      <c r="H8" s="23" t="n">
        <v>0.3662706032821141</v>
      </c>
      <c r="I8" s="24" t="n">
        <v>0.425</v>
      </c>
      <c r="J8" s="24" t="n">
        <v>0.415</v>
      </c>
      <c r="K8" s="24" t="n">
        <v>0.405</v>
      </c>
      <c r="L8" s="24" t="n">
        <v>0.4</v>
      </c>
      <c r="M8" s="24" t="n">
        <v>0.395</v>
      </c>
    </row>
    <row r="9" ht="28" customHeight="1">
      <c r="A9" s="19" t="inlineStr">
        <is>
          <t>Amortization / other opex ($)</t>
        </is>
      </c>
      <c r="B9" s="20" t="inlineStr">
        <is>
          <t>$7M annual amortization run-rate; stable intangible amortization per recent 10-K disclosure levels.</t>
        </is>
      </c>
      <c r="C9" s="21" t="inlineStr">
        <is>
          <t>LULU FY2025 10-K</t>
        </is>
      </c>
      <c r="D9" s="22" t="inlineStr">
        <is>
          <t>Ctrl+F "Amortization of intangible assets" → 6,961 ($000); model $7,000/yr</t>
        </is>
      </c>
      <c r="E9" s="25" t="n">
        <v>406485</v>
      </c>
      <c r="F9" s="25" t="n">
        <v>79511</v>
      </c>
      <c r="G9" s="25" t="n">
        <v>2735</v>
      </c>
      <c r="H9" s="25" t="n">
        <v>6961</v>
      </c>
      <c r="I9" s="26" t="n">
        <v>7000</v>
      </c>
      <c r="J9" s="26" t="n">
        <v>7000</v>
      </c>
      <c r="K9" s="26" t="n">
        <v>7000</v>
      </c>
      <c r="L9" s="26" t="n">
        <v>7000</v>
      </c>
      <c r="M9" s="26" t="n">
        <v>7000</v>
      </c>
    </row>
    <row r="10" ht="28" customHeight="1">
      <c r="A10" s="19" t="inlineStr">
        <is>
          <t>Other income, net ($)</t>
        </is>
      </c>
      <c r="B10" s="20" t="inlineStr">
        <is>
          <t>FY26 $45M other income annualizes YTD $22,829; then steps down as cash is deployed (FY25 was only $28,352).</t>
        </is>
      </c>
      <c r="C10" s="21" t="inlineStr">
        <is>
          <t>Q2 FY2026 YTD other income (earnings)</t>
        </is>
      </c>
      <c r="D10" s="22" t="inlineStr">
        <is>
          <t>Ctrl+F "22,829" → YTD other income ($000) on the earnings P&amp;L. FY26 model $45,000 annualizes that run-rate.</t>
        </is>
      </c>
      <c r="E10" s="25" t="n">
        <v>4163</v>
      </c>
      <c r="F10" s="25" t="n">
        <v>43059</v>
      </c>
      <c r="G10" s="25" t="n">
        <v>70380</v>
      </c>
      <c r="H10" s="25" t="n">
        <v>28352</v>
      </c>
      <c r="I10" s="26" t="n">
        <v>45000</v>
      </c>
      <c r="J10" s="26" t="n">
        <v>40000</v>
      </c>
      <c r="K10" s="26" t="n">
        <v>35000</v>
      </c>
      <c r="L10" s="26" t="n">
        <v>30000</v>
      </c>
      <c r="M10" s="26" t="n">
        <v>25000</v>
      </c>
    </row>
    <row r="11" ht="28" customHeight="1">
      <c r="A11" s="19" t="inlineStr">
        <is>
          <t>Effective tax rate %</t>
        </is>
      </c>
      <c r="B11" s="20" t="inlineStr">
        <is>
          <t>30% effective tax rate on projections; conservative vs recent ~29% effective, allows for jurisdictional mix.</t>
        </is>
      </c>
      <c r="C11" s="21" t="inlineStr">
        <is>
          <t>LULU Q2 FY2026 outlook (≈30% tax)</t>
        </is>
      </c>
      <c r="D11" s="22" t="inlineStr">
        <is>
          <t>Ctrl+F "a tax rate of approximately 30%" on the earnings outlook; FY25 10-K 29.5%. 3-statement model 30%</t>
        </is>
      </c>
      <c r="E11" s="23" t="n">
        <v>0.3585332413807594</v>
      </c>
      <c r="F11" s="23" t="n">
        <v>0.287509738088508</v>
      </c>
      <c r="G11" s="23" t="n">
        <v>0.2955893787336326</v>
      </c>
      <c r="H11" s="23" t="n">
        <v>0.2946823244826744</v>
      </c>
      <c r="I11" s="24" t="n">
        <v>0.3</v>
      </c>
      <c r="J11" s="24" t="n">
        <v>0.3</v>
      </c>
      <c r="K11" s="24" t="n">
        <v>0.3</v>
      </c>
      <c r="L11" s="24" t="n">
        <v>0.3</v>
      </c>
      <c r="M11" s="24" t="n">
        <v>0.3</v>
      </c>
    </row>
    <row r="12">
      <c r="A12" s="17" t="inlineStr">
        <is>
          <t>CAPITAL &amp; NON-CASH ITEMS</t>
        </is>
      </c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</row>
    <row r="13" ht="28" customHeight="1">
      <c r="A13" s="19" t="inlineStr">
        <is>
          <t>D&amp;A % of revenue</t>
        </is>
      </c>
      <c r="B13" s="20" t="inlineStr">
        <is>
          <t>D&amp;A 4.5–4.6% of revenue; tracks recent depreciation intensity on PPE and lease-related amortization.</t>
        </is>
      </c>
      <c r="C13" s="21" t="inlineStr">
        <is>
          <t>LULU CF statement (10-K)</t>
        </is>
      </c>
      <c r="D13" s="22" t="inlineStr">
        <is>
          <t>Ctrl+F "Depreciation and amortization" → 496,228 ÷ "Net revenue" 11,102,600 = 4.5%</t>
        </is>
      </c>
      <c r="E13" s="23" t="n">
        <v>0.03597686362326056</v>
      </c>
      <c r="F13" s="23" t="n">
        <v>0.03943996628437186</v>
      </c>
      <c r="G13" s="23" t="n">
        <v>0.04217214642137806</v>
      </c>
      <c r="H13" s="23" t="n">
        <v>0.04469475618323636</v>
      </c>
      <c r="I13" s="24" t="n">
        <v>0.046</v>
      </c>
      <c r="J13" s="24" t="n">
        <v>0.046</v>
      </c>
      <c r="K13" s="24" t="n">
        <v>0.045</v>
      </c>
      <c r="L13" s="24" t="n">
        <v>0.045</v>
      </c>
      <c r="M13" s="24" t="n">
        <v>0.045</v>
      </c>
    </row>
    <row r="14" ht="150" customHeight="1">
      <c r="A14" s="19" t="inlineStr">
        <is>
          <t>Capex % of revenue</t>
        </is>
      </c>
      <c r="B14" s="22" t="inlineStr">
        <is>
          <t>FY26 7.0% is $735M / $10.4B, not / FY25 $11.1B. Since 7.0% steps toward FY25 6.1%, we assume a fade: 7.0 / 6.0 / 5.5 / 5.0 / 5.0.
Also: FY26 sales are $10.35–$10.50B (earnings). Use that $10.4B year as the 7% denominator, not FY25 $11.1B.</t>
        </is>
      </c>
      <c r="C14" s="27" t="inlineStr">
        <is>
          <t>LULU CF statement (10-K)
Also: Q2 FY2026 outlook: $10.350B–$10.500B sales</t>
        </is>
      </c>
      <c r="D14" s="22" t="inlineStr">
        <is>
          <t>FY25 actual (10-K)
  Ctrl+F "680,802"  →  capex $680.8M
  Ctrl+F "11,102,600"  →  sales $11.1B
  680.8 / 11,102.6 = 6.1%
FY26 capex (10-K)
  Ctrl+F "$725.0 million and $745.0 million"  →  mid $735M
FY26 sales (earnings)
  Ctrl+F "$10.350 billion to $10.500 billion"  →  $10.35–$10.50B (mid $10.425B)
  7.0% = $735M / $10.425B    ($10B year, not FY25 $11.1B)
DCF blend
  Fade  7.0 / 6.0 / 5.5 / 5.0 / 4.0
  5.5% = (7.0+6.0+5.5+5.0+4.0)/5</t>
        </is>
      </c>
      <c r="E14" s="23" t="n">
        <v>0.07874429228811279</v>
      </c>
      <c r="F14" s="23" t="n">
        <v>0.06776652052264213</v>
      </c>
      <c r="G14" s="23" t="n">
        <v>0.0650948052563787</v>
      </c>
      <c r="H14" s="23" t="n">
        <v>0.06131915046925945</v>
      </c>
      <c r="I14" s="24" t="n">
        <v>0.07000000000000001</v>
      </c>
      <c r="J14" s="24" t="n">
        <v>0.06</v>
      </c>
      <c r="K14" s="24" t="n">
        <v>0.055</v>
      </c>
      <c r="L14" s="24" t="n">
        <v>0.05</v>
      </c>
      <c r="M14" s="24" t="n">
        <v>0.05</v>
      </c>
    </row>
    <row r="15" ht="28" customHeight="1">
      <c r="A15" s="19" t="inlineStr">
        <is>
          <t>Stock-based compensation ($)</t>
        </is>
      </c>
      <c r="B15" s="20" t="inlineStr">
        <is>
          <t>$62M SBC holds the FY25 10-K run-rate (Stock-based compensation expense 62,203).</t>
        </is>
      </c>
      <c r="C15" s="21" t="inlineStr">
        <is>
          <t>LULU CF statement (10-K)</t>
        </is>
      </c>
      <c r="D15" s="22" t="inlineStr">
        <is>
          <t>Ctrl+F "Stock-based compensation expense" → 62,203 on this 10-K HTML. Model $62,000.</t>
        </is>
      </c>
      <c r="E15" s="25" t="n">
        <v>78075</v>
      </c>
      <c r="F15" s="25" t="n">
        <v>93560</v>
      </c>
      <c r="G15" s="25" t="n">
        <v>90011</v>
      </c>
      <c r="H15" s="25" t="n">
        <v>62203</v>
      </c>
      <c r="I15" s="26" t="n">
        <v>62000</v>
      </c>
      <c r="J15" s="26" t="n">
        <v>62000</v>
      </c>
      <c r="K15" s="26" t="n">
        <v>62000</v>
      </c>
      <c r="L15" s="26" t="n">
        <v>62000</v>
      </c>
      <c r="M15" s="26" t="n">
        <v>62000</v>
      </c>
    </row>
    <row r="16">
      <c r="A16" s="17" t="inlineStr">
        <is>
          <t>WORKING CAPITAL &amp; BALANCE SHEET DRIVERS</t>
        </is>
      </c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</row>
    <row r="17" ht="28" customHeight="1">
      <c r="A17" s="19" t="inlineStr">
        <is>
          <t>Inventories % of COGS</t>
        </is>
      </c>
      <c r="B17" s="20" t="inlineStr">
        <is>
          <t>Inventory 33–34% of COGS; slight normalization from FY25 build as Americas demand softens and clears.</t>
        </is>
      </c>
      <c r="C17" s="21" t="inlineStr">
        <is>
          <t>LULU balance sheet (10-K)</t>
        </is>
      </c>
      <c r="D17" s="22" t="inlineStr">
        <is>
          <t>Ctrl+F "Inventories" → 1,700,753 ÷ "Cost of goods sold" 4,818,468 = 35.3%</t>
        </is>
      </c>
      <c r="E17" s="23" t="n">
        <v>0.4000264774148757</v>
      </c>
      <c r="F17" s="23" t="n">
        <v>0.330085765808543</v>
      </c>
      <c r="G17" s="23" t="n">
        <v>0.3340226506520835</v>
      </c>
      <c r="H17" s="23" t="n">
        <v>0.3529655068789499</v>
      </c>
      <c r="I17" s="24" t="n">
        <v>0.34</v>
      </c>
      <c r="J17" s="24" t="n">
        <v>0.335</v>
      </c>
      <c r="K17" s="24" t="n">
        <v>0.33</v>
      </c>
      <c r="L17" s="24" t="n">
        <v>0.33</v>
      </c>
      <c r="M17" s="24" t="n">
        <v>0.33</v>
      </c>
    </row>
    <row r="18" ht="28" customHeight="1">
      <c r="A18" s="19" t="inlineStr">
        <is>
          <t>Accounts receivable % of revenue</t>
        </is>
      </c>
      <c r="B18" s="20" t="inlineStr">
        <is>
          <t>AR 1.7% of sales = FY25 Accounts receivable, net 190,657 / 11,102,600. Wholesale and marketplace receivables; hold the FY25 mix.</t>
        </is>
      </c>
      <c r="C18" s="21" t="inlineStr">
        <is>
          <t>LULU FY2025 10-K: Accounts receivable, net</t>
        </is>
      </c>
      <c r="D18" s="22" t="inlineStr">
        <is>
          <t>Ctrl+F "Accounts receivable, net" (one hit on the BS) → 190,657 ($000). 190,657 / 11,102,600 = 1.7% of sales. Model holds 1.7%.</t>
        </is>
      </c>
      <c r="E18" s="23" t="n">
        <v>0.0163868694946488</v>
      </c>
      <c r="F18" s="23" t="n">
        <v>0.01297072399820444</v>
      </c>
      <c r="G18" s="23" t="n">
        <v>0.01134978937727035</v>
      </c>
      <c r="H18" s="23" t="n">
        <v>0.01717228396952065</v>
      </c>
      <c r="I18" s="24" t="n">
        <v>0.017</v>
      </c>
      <c r="J18" s="24" t="n">
        <v>0.017</v>
      </c>
      <c r="K18" s="24" t="n">
        <v>0.017</v>
      </c>
      <c r="L18" s="24" t="n">
        <v>0.017</v>
      </c>
      <c r="M18" s="24" t="n">
        <v>0.017</v>
      </c>
    </row>
    <row r="19" ht="28" customHeight="1">
      <c r="A19" s="19" t="inlineStr">
        <is>
          <t>Accounts payable % of COGS</t>
        </is>
      </c>
      <c r="B19" s="20" t="inlineStr">
        <is>
          <t>AP 6.8% of COGS; holds near FY25 level reflecting vendor terms and production payment cadence.</t>
        </is>
      </c>
      <c r="C19" s="21" t="inlineStr">
        <is>
          <t>LULU balance sheet (10-K)</t>
        </is>
      </c>
      <c r="D19" s="22" t="inlineStr">
        <is>
          <t>Ctrl+F "Accounts payable" → 331,421 ÷ "Cost of goods sold" 4,818,468 = 6.9%</t>
        </is>
      </c>
      <c r="E19" s="23" t="n">
        <v>0.04774005037894764</v>
      </c>
      <c r="F19" s="23" t="n">
        <v>0.08689576951688993</v>
      </c>
      <c r="G19" s="23" t="n">
        <v>0.06286453501771355</v>
      </c>
      <c r="H19" s="23" t="n">
        <v>0.06878140521012073</v>
      </c>
      <c r="I19" s="24" t="n">
        <v>0.068</v>
      </c>
      <c r="J19" s="24" t="n">
        <v>0.068</v>
      </c>
      <c r="K19" s="24" t="n">
        <v>0.068</v>
      </c>
      <c r="L19" s="24" t="n">
        <v>0.068</v>
      </c>
      <c r="M19" s="24" t="n">
        <v>0.068</v>
      </c>
    </row>
    <row r="20" ht="28" customHeight="1">
      <c r="A20" s="19" t="inlineStr">
        <is>
          <t>Accrued liabilities % of revenue</t>
        </is>
      </c>
      <c r="B20" s="20" t="inlineStr">
        <is>
          <t>Accrued liabilities 5.8% of revenue; stable comp, marketing, and operating accrual ratio.</t>
        </is>
      </c>
      <c r="C20" s="21" t="inlineStr">
        <is>
          <t>LULU balance sheet (10-K)</t>
        </is>
      </c>
      <c r="D20" s="22" t="inlineStr">
        <is>
          <t>Ctrl+F "Accrued liabilities and other" → 662,982 ÷ "Net revenue" 11,102,600 = 6.0%</t>
        </is>
      </c>
      <c r="E20" s="23" t="n">
        <v>0.04922287331092786</v>
      </c>
      <c r="F20" s="23" t="n">
        <v>0.03623504799424655</v>
      </c>
      <c r="G20" s="23" t="n">
        <v>0.05283871763520759</v>
      </c>
      <c r="H20" s="23" t="n">
        <v>0.05971412101669879</v>
      </c>
      <c r="I20" s="24" t="n">
        <v>0.058</v>
      </c>
      <c r="J20" s="24" t="n">
        <v>0.058</v>
      </c>
      <c r="K20" s="24" t="n">
        <v>0.058</v>
      </c>
      <c r="L20" s="24" t="n">
        <v>0.058</v>
      </c>
      <c r="M20" s="24" t="n">
        <v>0.058</v>
      </c>
    </row>
    <row r="21" ht="28" customHeight="1">
      <c r="A21" s="19" t="inlineStr">
        <is>
          <t>Other current assets % of revenue</t>
        </is>
      </c>
      <c r="B21" s="20" t="inlineStr">
        <is>
          <t>OCA 5.1% is current assets minus cash, AR, and inventory (prepaids / tax receivables). AR is its own line, not inside OCA.</t>
        </is>
      </c>
      <c r="C21" s="21" t="inlineStr">
        <is>
          <t>LULU balance sheet (10-K)</t>
        </is>
      </c>
      <c r="D21" s="22" t="inlineStr">
        <is>
          <t>OCA = "Total current assets" 4,262,701 − cash 1,807,202 − "Accounts receivable, net" 190,657 − "Inventories" 1,700,753 = 564,089 (5.1% of sales). AR is not inside this residual.</t>
        </is>
      </c>
      <c r="E21" s="23" t="n">
        <v>0.05231638719006604</v>
      </c>
      <c r="F21" s="23" t="n">
        <v>0.03828093958818947</v>
      </c>
      <c r="G21" s="23" t="n">
        <v>0.04096211170890864</v>
      </c>
      <c r="H21" s="23" t="n">
        <v>0.05080692810692991</v>
      </c>
      <c r="I21" s="24" t="n">
        <v>0.051</v>
      </c>
      <c r="J21" s="24" t="n">
        <v>0.051</v>
      </c>
      <c r="K21" s="24" t="n">
        <v>0.051</v>
      </c>
      <c r="L21" s="24" t="n">
        <v>0.051</v>
      </c>
      <c r="M21" s="24" t="n">
        <v>0.051</v>
      </c>
    </row>
    <row r="22" ht="28" customHeight="1">
      <c r="A22" s="19" t="inlineStr">
        <is>
          <t>Operating lease ROU asset % of revenue</t>
        </is>
      </c>
      <c r="B22" s="20" t="inlineStr">
        <is>
          <t>ROU assets 14.7% of revenue; lease-intensive store model, stable vs FY25 operating lease footprint.</t>
        </is>
      </c>
      <c r="C22" s="21" t="inlineStr">
        <is>
          <t>LULU lease disclosures (10-K)</t>
        </is>
      </c>
      <c r="D22" s="22" t="inlineStr">
        <is>
          <t>Ctrl+F "Right-of-use lease assets" → 1,630,181 ÷ "Net revenue" 11,102,600 = 14.7%</t>
        </is>
      </c>
      <c r="E22" s="23" t="n">
        <v>0.1195261511040355</v>
      </c>
      <c r="F22" s="23" t="n">
        <v>0.1315701656610818</v>
      </c>
      <c r="G22" s="23" t="n">
        <v>0.1337588918001165</v>
      </c>
      <c r="H22" s="23" t="n">
        <v>0.1468287608307964</v>
      </c>
      <c r="I22" s="24" t="n">
        <v>0.147</v>
      </c>
      <c r="J22" s="24" t="n">
        <v>0.147</v>
      </c>
      <c r="K22" s="24" t="n">
        <v>0.147</v>
      </c>
      <c r="L22" s="24" t="n">
        <v>0.147</v>
      </c>
      <c r="M22" s="24" t="n">
        <v>0.147</v>
      </c>
    </row>
    <row r="23" ht="28" customHeight="1">
      <c r="A23" s="19" t="inlineStr">
        <is>
          <t>Other non-current assets % of revenue</t>
        </is>
      </c>
      <c r="B23" s="20" t="inlineStr">
        <is>
          <t>ONCA 3.0% = FY25 total assets − CA − PPE − ROU − GW (338,947); matches earnings 'deferred taxes and other NC assets'.</t>
        </is>
      </c>
      <c r="C23" s="21" t="inlineStr">
        <is>
          <t>LULU balance sheet (10-K)</t>
        </is>
      </c>
      <c r="D23" s="22" t="inlineStr">
        <is>
          <t>Ctrl+F "Total assets" 8,456,743 − current assets − "Property and equipment, net" − "Right-of-use lease assets" − goodwill/intangibles = 338,947 (3.0%)</t>
        </is>
      </c>
      <c r="E23" s="23" t="n">
        <v>0.02002917692803345</v>
      </c>
      <c r="F23" s="23" t="n">
        <v>0.02036119550760462</v>
      </c>
      <c r="G23" s="23" t="n">
        <v>0.02407659296838742</v>
      </c>
      <c r="H23" s="23" t="n">
        <v>0.03052861491902797</v>
      </c>
      <c r="I23" s="24" t="n">
        <v>0.03</v>
      </c>
      <c r="J23" s="24" t="n">
        <v>0.03</v>
      </c>
      <c r="K23" s="24" t="n">
        <v>0.03</v>
      </c>
      <c r="L23" s="24" t="n">
        <v>0.03</v>
      </c>
      <c r="M23" s="24" t="n">
        <v>0.03</v>
      </c>
    </row>
    <row r="24" ht="28" customHeight="1">
      <c r="A24" s="19" t="inlineStr">
        <is>
          <t>Op lease liab (current) % of revenue</t>
        </is>
      </c>
      <c r="B24" s="20" t="inlineStr">
        <is>
          <t>Current lease liabilities 2.7% of revenue; short-term portion of operating lease obligations.</t>
        </is>
      </c>
      <c r="C24" s="21" t="inlineStr">
        <is>
          <t>LULU lease disclosures (10-K)</t>
        </is>
      </c>
      <c r="D24" s="22" t="inlineStr">
        <is>
          <t>Ctrl+F "Current lease liabilities" → 298,724 ÷ "Net revenue" 11,102,600 = 2.7%</t>
        </is>
      </c>
      <c r="E24" s="23" t="n">
        <v>0.02564225860789656</v>
      </c>
      <c r="F24" s="23" t="n">
        <v>0.02591358727754827</v>
      </c>
      <c r="G24" s="23" t="n">
        <v>0.02598703491061591</v>
      </c>
      <c r="H24" s="23" t="n">
        <v>0.02690576981968188</v>
      </c>
      <c r="I24" s="24" t="n">
        <v>0.027</v>
      </c>
      <c r="J24" s="24" t="n">
        <v>0.027</v>
      </c>
      <c r="K24" s="24" t="n">
        <v>0.027</v>
      </c>
      <c r="L24" s="24" t="n">
        <v>0.027</v>
      </c>
      <c r="M24" s="24" t="n">
        <v>0.027</v>
      </c>
    </row>
    <row r="25" ht="28" customHeight="1">
      <c r="A25" s="19" t="inlineStr">
        <is>
          <t>Op lease liab (non-current) % of revenue</t>
        </is>
      </c>
      <c r="B25" s="20" t="inlineStr">
        <is>
          <t>Non-current lease liabilities 13.5% of revenue; long-term store lease commitments per 10-K.</t>
        </is>
      </c>
      <c r="C25" s="21" t="inlineStr">
        <is>
          <t>LULU lease disclosures (10-K)</t>
        </is>
      </c>
      <c r="D25" s="22" t="inlineStr">
        <is>
          <t>Ctrl+F "Non-current lease liabilities" → 1,499,717 ÷ "Net revenue" 11,102,600 = 13.5%</t>
        </is>
      </c>
      <c r="E25" s="23" t="n">
        <v>0.1063263776740277</v>
      </c>
      <c r="F25" s="23" t="n">
        <v>0.1199686712453887</v>
      </c>
      <c r="G25" s="23" t="n">
        <v>0.1228392068624797</v>
      </c>
      <c r="H25" s="23" t="n">
        <v>0.1350779997478068</v>
      </c>
      <c r="I25" s="24" t="n">
        <v>0.135</v>
      </c>
      <c r="J25" s="24" t="n">
        <v>0.135</v>
      </c>
      <c r="K25" s="24" t="n">
        <v>0.135</v>
      </c>
      <c r="L25" s="24" t="n">
        <v>0.135</v>
      </c>
      <c r="M25" s="24" t="n">
        <v>0.135</v>
      </c>
    </row>
    <row r="26" ht="28" customHeight="1">
      <c r="A26" s="19" t="inlineStr">
        <is>
          <t>Other current liabilities % of revenue</t>
        </is>
      </c>
      <c r="B26" s="20" t="inlineStr">
        <is>
          <t>OCL 5.5% = FY25 current liabilities minus AP, accrued, and current leases (residual ~594k); not the 45,954 'other' line alone.</t>
        </is>
      </c>
      <c r="C26" s="21" t="inlineStr">
        <is>
          <t>LULU balance sheet (10-K)</t>
        </is>
      </c>
      <c r="D26" s="22" t="inlineStr">
        <is>
          <t>Ctrl+F "Total current liabilities" 1,887,548 − "Accounts payable" 331,421 − "Accrued liabilities and other" 662,982 − "Current lease liabilities" 298,724 ≈ 594,421 (5.4%)</t>
        </is>
      </c>
      <c r="E26" s="23" t="n">
        <v>0.08782065461170298</v>
      </c>
      <c r="F26" s="23" t="n">
        <v>0.0712106459549251</v>
      </c>
      <c r="G26" s="23" t="n">
        <v>0.06928582073919408</v>
      </c>
      <c r="H26" s="23" t="n">
        <v>0.05353890079801128</v>
      </c>
      <c r="I26" s="24" t="n">
        <v>0.055</v>
      </c>
      <c r="J26" s="24" t="n">
        <v>0.055</v>
      </c>
      <c r="K26" s="24" t="n">
        <v>0.055</v>
      </c>
      <c r="L26" s="24" t="n">
        <v>0.055</v>
      </c>
      <c r="M26" s="24" t="n">
        <v>0.055</v>
      </c>
    </row>
    <row r="27" ht="28" customHeight="1">
      <c r="A27" s="19" t="inlineStr">
        <is>
          <t>Other non-current liab % of revenue</t>
        </is>
      </c>
      <c r="B27" s="20" t="inlineStr">
        <is>
          <t>Other non-current liabilities 0.5% of revenue; minor long-term accruals and provisions.</t>
        </is>
      </c>
      <c r="C27" s="21" t="inlineStr">
        <is>
          <t>LULU balance sheet (10-K)</t>
        </is>
      </c>
      <c r="D27" s="22" t="inlineStr">
        <is>
          <t>Ctrl+F "Other non-current liabilities" → 55,360 ÷ "Net revenue" 11,102,600 = 0.5%</t>
        </is>
      </c>
      <c r="E27" s="23" t="n">
        <v>0.005991602509235539</v>
      </c>
      <c r="F27" s="23" t="n">
        <v>0.00468486304273564</v>
      </c>
      <c r="G27" s="23" t="n">
        <v>0.003852428654513556</v>
      </c>
      <c r="H27" s="23" t="n">
        <v>0.004986219444094176</v>
      </c>
      <c r="I27" s="24" t="n">
        <v>0.005</v>
      </c>
      <c r="J27" s="24" t="n">
        <v>0.005</v>
      </c>
      <c r="K27" s="24" t="n">
        <v>0.005</v>
      </c>
      <c r="L27" s="24" t="n">
        <v>0.005</v>
      </c>
      <c r="M27" s="24" t="n">
        <v>0.005</v>
      </c>
    </row>
    <row r="28">
      <c r="A28" s="17" t="inlineStr">
        <is>
          <t>CAPITAL RETURN</t>
        </is>
      </c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</row>
    <row r="29" ht="28" customHeight="1">
      <c r="A29" s="19" t="inlineStr">
        <is>
          <t>Share repurchases ($)</t>
        </is>
      </c>
      <c r="B29" s="20" t="inlineStr">
        <is>
          <t>$500M annual repurchases; continued capital return at moderated pace vs FY24–25 peak buyback levels.</t>
        </is>
      </c>
      <c r="C29" s="21" t="inlineStr">
        <is>
          <t>LULU CF: share repurchases (10-K)</t>
        </is>
      </c>
      <c r="D29" s="22" t="inlineStr">
        <is>
          <t>Ctrl+F "Repurchase of common stock" → ( 1,178,349 ) ($000) FY25; model (500,000)/yr</t>
        </is>
      </c>
      <c r="E29" s="25" t="n">
        <v>444001</v>
      </c>
      <c r="F29" s="25" t="n">
        <v>558652</v>
      </c>
      <c r="G29" s="25" t="n">
        <v>1636879</v>
      </c>
      <c r="H29" s="25" t="n">
        <v>1178349</v>
      </c>
      <c r="I29" s="26" t="n">
        <v>500000</v>
      </c>
      <c r="J29" s="26" t="n">
        <v>500000</v>
      </c>
      <c r="K29" s="26" t="n">
        <v>500000</v>
      </c>
      <c r="L29" s="26" t="n">
        <v>500000</v>
      </c>
      <c r="M29" s="26" t="n">
        <v>500000</v>
      </c>
    </row>
    <row r="30" ht="28" customHeight="1">
      <c r="A30" s="19" t="inlineStr">
        <is>
          <t>Avg repurchase price ($/sh)</t>
        </is>
      </c>
      <c r="B30" s="20" t="inlineStr">
        <is>
          <t>FY26 repurchase price $100 matches the current quote; path $100→$130 is a recovery assumption (FY25 10-K paid $168–$199).</t>
        </is>
      </c>
      <c r="C30" s="21" t="inlineStr">
        <is>
          <t>NASDAQ LULU last sale (current price)</t>
        </is>
      </c>
      <c r="D30" s="22" t="inlineStr">
        <is>
          <t>Ctrl+F "LULU" → Last Sale / Previous Close (~$100). FY26 model repurchase price starts at $100.</t>
        </is>
      </c>
      <c r="I30" s="28" t="n">
        <v>100</v>
      </c>
      <c r="J30" s="28" t="n">
        <v>108</v>
      </c>
      <c r="K30" s="28" t="n">
        <v>115</v>
      </c>
      <c r="L30" s="28" t="n">
        <v>122</v>
      </c>
      <c r="M30" s="28" t="n">
        <v>130</v>
      </c>
    </row>
    <row r="32">
      <c r="A32" s="29" t="inlineStr">
        <is>
          <t>Historical columns = derived ratios (black); projection columns = analyst inputs (red).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G2" r:id="rId3"/>
    <hyperlink xmlns:r="http://schemas.openxmlformats.org/officeDocument/2006/relationships" ref="H2" r:id="rId4"/>
    <hyperlink xmlns:r="http://schemas.openxmlformats.org/officeDocument/2006/relationships" ref="C5" r:id="rId5"/>
    <hyperlink xmlns:r="http://schemas.openxmlformats.org/officeDocument/2006/relationships" ref="C6" r:id="rId6"/>
    <hyperlink xmlns:r="http://schemas.openxmlformats.org/officeDocument/2006/relationships" ref="C7" r:id="rId7"/>
    <hyperlink xmlns:r="http://schemas.openxmlformats.org/officeDocument/2006/relationships" ref="C8" r:id="rId8"/>
    <hyperlink xmlns:r="http://schemas.openxmlformats.org/officeDocument/2006/relationships" ref="C9" r:id="rId9"/>
    <hyperlink xmlns:r="http://schemas.openxmlformats.org/officeDocument/2006/relationships" ref="C10" r:id="rId10"/>
    <hyperlink xmlns:r="http://schemas.openxmlformats.org/officeDocument/2006/relationships" ref="C11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  <hyperlink xmlns:r="http://schemas.openxmlformats.org/officeDocument/2006/relationships" ref="C29" r:id="rId26"/>
    <hyperlink xmlns:r="http://schemas.openxmlformats.org/officeDocument/2006/relationships" ref="C30" r:id="rId2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4"/>
  <sheetViews>
    <sheetView showGridLines="0"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4" customWidth="1" min="2" max="2"/>
    <col width="16" customWidth="1" min="3" max="3"/>
    <col width="3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16" customHeight="1">
      <c r="A1" s="12" t="inlineStr">
        <is>
          <t>INCOME STATEMENT  (US$ thousands)</t>
        </is>
      </c>
      <c r="E1" s="13" t="inlineStr">
        <is>
          <t>FY2022</t>
        </is>
      </c>
      <c r="F1" s="13" t="inlineStr">
        <is>
          <t>FY2023</t>
        </is>
      </c>
      <c r="G1" s="13" t="inlineStr">
        <is>
          <t>FY2024</t>
        </is>
      </c>
      <c r="H1" s="13" t="inlineStr">
        <is>
          <t>FY2025</t>
        </is>
      </c>
      <c r="I1" s="14" t="inlineStr">
        <is>
          <t>FY2026E</t>
        </is>
      </c>
      <c r="J1" s="14" t="inlineStr">
        <is>
          <t>FY2027E</t>
        </is>
      </c>
      <c r="K1" s="14" t="inlineStr">
        <is>
          <t>FY2028E</t>
        </is>
      </c>
      <c r="L1" s="14" t="inlineStr">
        <is>
          <t>FY2029E</t>
        </is>
      </c>
      <c r="M1" s="14" t="inlineStr">
        <is>
          <t>FY2030E</t>
        </is>
      </c>
    </row>
    <row r="2">
      <c r="B2" s="15" t="inlineStr">
        <is>
          <t>Justification (~20 words)</t>
        </is>
      </c>
      <c r="C2" s="15" t="inlineStr">
        <is>
          <t>Source (click)</t>
        </is>
      </c>
      <c r="D2" s="15" t="inlineStr">
        <is>
          <t>Ctrl+F (prove number)</t>
        </is>
      </c>
      <c r="E2" s="30" t="inlineStr">
        <is>
          <t>10-K</t>
        </is>
      </c>
      <c r="F2" s="30" t="inlineStr">
        <is>
          <t>10-K</t>
        </is>
      </c>
      <c r="G2" s="30" t="inlineStr">
        <is>
          <t>10-K</t>
        </is>
      </c>
      <c r="H2" s="30" t="inlineStr">
        <is>
          <t>10-K</t>
        </is>
      </c>
      <c r="I2" s="31" t="inlineStr">
        <is>
          <t>Projected</t>
        </is>
      </c>
    </row>
    <row r="4" ht="28" customHeight="1">
      <c r="A4" s="19" t="inlineStr">
        <is>
          <t>Net revenue</t>
        </is>
      </c>
      <c r="B4" s="20" t="inlineStr">
        <is>
          <t>FY26 −6.1% is guidance midpoint. FY27 +2.6% then +2.3% tracks StockAnalysis next-year +2.64% and 3Y forecast 2.26%.</t>
        </is>
      </c>
      <c r="C4" s="21" t="inlineStr">
        <is>
          <t>StockAnalysis: LULU revenue forecast (FY27–30)</t>
        </is>
      </c>
      <c r="D4" s="22" t="inlineStr">
        <is>
          <t>FY26: earnings release Ctrl+F "decline of 5% to 7%". FY27–30: this page Ctrl+F "Revenue Growth Forecast (3Y)" → 2.26%. Model 2.3%.</t>
        </is>
      </c>
      <c r="E4" s="32" t="n">
        <v>8110518</v>
      </c>
      <c r="F4" s="32" t="n">
        <v>9619278</v>
      </c>
      <c r="G4" s="32" t="n">
        <v>10588126</v>
      </c>
      <c r="H4" s="32" t="n">
        <v>11102600</v>
      </c>
      <c r="I4" s="26">
        <f>H4*(1+'Assumptions'!I5)</f>
        <v/>
      </c>
      <c r="J4" s="26">
        <f>I4*(1+'Assumptions'!J5)</f>
        <v/>
      </c>
      <c r="K4" s="26">
        <f>J4*(1+'Assumptions'!K5)</f>
        <v/>
      </c>
      <c r="L4" s="26">
        <f>K4*(1+'Assumptions'!L5)</f>
        <v/>
      </c>
      <c r="M4" s="26">
        <f>L4*(1+'Assumptions'!M5)</f>
        <v/>
      </c>
    </row>
    <row r="5" ht="28" customHeight="1">
      <c r="A5" s="19" t="inlineStr">
        <is>
          <t>Cost of goods sold (ex-refunds)</t>
        </is>
      </c>
      <c r="B5" s="20" t="inlineStr">
        <is>
          <t>Clean GM 56.5%→58.0% (ex-refunds), still below peak ~58–59%. FY26 COGS is then reduced by the $134.5M IEEPA refund.</t>
        </is>
      </c>
      <c r="C5" s="21" t="inlineStr">
        <is>
          <t>LULU historical gross margin (10-K)</t>
        </is>
      </c>
      <c r="D5" s="22" t="inlineStr">
        <is>
          <t>Ctrl+F "Gross profit" → 6,284,132 ÷ "Net revenue" 11,102,600 = 56.6% FY25 anchor</t>
        </is>
      </c>
      <c r="E5" s="32" t="n">
        <v>3618178</v>
      </c>
      <c r="F5" s="32" t="n">
        <v>4009873</v>
      </c>
      <c r="G5" s="32" t="n">
        <v>4317315</v>
      </c>
      <c r="H5" s="32" t="n">
        <v>4818468</v>
      </c>
      <c r="I5" s="26">
        <f>I4*(1-'Assumptions'!I6)</f>
        <v/>
      </c>
      <c r="J5" s="26">
        <f>J4*(1-'Assumptions'!J6)</f>
        <v/>
      </c>
      <c r="K5" s="26">
        <f>K4*(1-'Assumptions'!K6)</f>
        <v/>
      </c>
      <c r="L5" s="26">
        <f>L4*(1-'Assumptions'!L6)</f>
        <v/>
      </c>
      <c r="M5" s="26">
        <f>M4*(1-'Assumptions'!M6)</f>
        <v/>
      </c>
    </row>
    <row r="6" ht="28" customHeight="1">
      <c r="A6" s="19" t="inlineStr">
        <is>
          <t xml:space="preserve">  Less: IEEPA tariff refunds (FY26 only)</t>
        </is>
      </c>
      <c r="B6" s="20" t="inlineStr">
        <is>
          <t>Add back $134.5M in FY26 only — already recognized (reduced COGS). +130bps on FY26 sales, not +560bps (that was Q2-only).</t>
        </is>
      </c>
      <c r="C6" s="21" t="inlineStr">
        <is>
          <t>Q2 FY2026 release: $134.5M IEEPA tariff refunds</t>
        </is>
      </c>
      <c r="D6" s="22" t="inlineStr">
        <is>
          <t>Ctrl+F "134.5 million" → IEEPA tariff refunds reduced COGS. Add this dollar amount to FY26 EBIT only. Full-year boost = 134.5 / FY26 sales ≈ 1.3ppt, not 5.6ppt.</t>
        </is>
      </c>
      <c r="E6" s="32" t="n">
        <v>0</v>
      </c>
      <c r="F6" s="32" t="n">
        <v>0</v>
      </c>
      <c r="G6" s="32" t="n">
        <v>0</v>
      </c>
      <c r="H6" s="32" t="n">
        <v>0</v>
      </c>
      <c r="I6" s="26">
        <f>-'Assumptions'!I7</f>
        <v/>
      </c>
      <c r="J6" s="26">
        <f>-'Assumptions'!J7</f>
        <v/>
      </c>
      <c r="K6" s="26">
        <f>-'Assumptions'!K7</f>
        <v/>
      </c>
      <c r="L6" s="26">
        <f>-'Assumptions'!L7</f>
        <v/>
      </c>
      <c r="M6" s="26">
        <f>-'Assumptions'!M7</f>
        <v/>
      </c>
    </row>
    <row r="7">
      <c r="A7" s="33" t="inlineStr">
        <is>
          <t>Gross profit</t>
        </is>
      </c>
      <c r="E7" s="34">
        <f>E4-E5-E6</f>
        <v/>
      </c>
      <c r="F7" s="34">
        <f>F4-F5-F6</f>
        <v/>
      </c>
      <c r="G7" s="34">
        <f>G4-G5-G6</f>
        <v/>
      </c>
      <c r="H7" s="34">
        <f>H4-H5-H6</f>
        <v/>
      </c>
      <c r="I7" s="34">
        <f>I4-I5-I6</f>
        <v/>
      </c>
      <c r="J7" s="34">
        <f>J4-J5-J6</f>
        <v/>
      </c>
      <c r="K7" s="34">
        <f>K4-K5-K6</f>
        <v/>
      </c>
      <c r="L7" s="34">
        <f>L4-L5-L6</f>
        <v/>
      </c>
      <c r="M7" s="34">
        <f>M4-M5-M6</f>
        <v/>
      </c>
    </row>
    <row r="8" ht="28" customHeight="1">
      <c r="A8" s="19" t="inlineStr">
        <is>
          <t>Selling, general &amp; administrative</t>
        </is>
      </c>
      <c r="B8" s="20" t="inlineStr">
        <is>
          <t>FY26 SG&amp;A 42.5% matches YTD 42.3% (earnings), vs FY25 36.7% 10-K; then fades to 39.5% as volume stabilizes.</t>
        </is>
      </c>
      <c r="C8" s="21" t="inlineStr">
        <is>
          <t>LULU Q2 FY2026 earnings release (YTD SG&amp;A %)</t>
        </is>
      </c>
      <c r="D8" s="22" t="inlineStr">
        <is>
          <t>Ctrl+F "41.7%" (Q2 SG&amp;A % of net revenue) and "42.3%" (first two quarters). FY25 10-K is 36.7%. Model FY26 42.5%</t>
        </is>
      </c>
      <c r="E8" s="32" t="n">
        <v>2757447</v>
      </c>
      <c r="F8" s="32" t="n">
        <v>3397218</v>
      </c>
      <c r="G8" s="32" t="n">
        <v>3762379</v>
      </c>
      <c r="H8" s="32" t="n">
        <v>4066556</v>
      </c>
      <c r="I8" s="26">
        <f>I4*'Assumptions'!I8</f>
        <v/>
      </c>
      <c r="J8" s="26">
        <f>J4*'Assumptions'!J8</f>
        <v/>
      </c>
      <c r="K8" s="26">
        <f>K4*'Assumptions'!K8</f>
        <v/>
      </c>
      <c r="L8" s="26">
        <f>L4*'Assumptions'!L8</f>
        <v/>
      </c>
      <c r="M8" s="26">
        <f>M4*'Assumptions'!M8</f>
        <v/>
      </c>
    </row>
    <row r="9" ht="28" customHeight="1">
      <c r="A9" s="19" t="inlineStr">
        <is>
          <t>Amortization of intangibles / other</t>
        </is>
      </c>
      <c r="B9" s="20" t="inlineStr">
        <is>
          <t>$7M annual amortization run-rate; stable intangible amortization per recent 10-K disclosure levels.</t>
        </is>
      </c>
      <c r="C9" s="21" t="inlineStr">
        <is>
          <t>LULU FY2025 10-K</t>
        </is>
      </c>
      <c r="D9" s="22" t="inlineStr">
        <is>
          <t>Ctrl+F "Amortization of intangible assets" → 6,961 ($000); model $7,000/yr</t>
        </is>
      </c>
      <c r="E9" s="32" t="n">
        <v>406485</v>
      </c>
      <c r="F9" s="32" t="n">
        <v>79511</v>
      </c>
      <c r="G9" s="32" t="n">
        <v>2735</v>
      </c>
      <c r="H9" s="32" t="n">
        <v>6961</v>
      </c>
      <c r="I9" s="26">
        <f>'Assumptions'!I9</f>
        <v/>
      </c>
      <c r="J9" s="26">
        <f>'Assumptions'!J9</f>
        <v/>
      </c>
      <c r="K9" s="26">
        <f>'Assumptions'!K9</f>
        <v/>
      </c>
      <c r="L9" s="26">
        <f>'Assumptions'!L9</f>
        <v/>
      </c>
      <c r="M9" s="26">
        <f>'Assumptions'!M9</f>
        <v/>
      </c>
    </row>
    <row r="10">
      <c r="A10" s="33" t="inlineStr">
        <is>
          <t>Operating income (EBIT)</t>
        </is>
      </c>
      <c r="E10" s="34">
        <f>E7-E8-E9</f>
        <v/>
      </c>
      <c r="F10" s="34">
        <f>F7-F8-F9</f>
        <v/>
      </c>
      <c r="G10" s="34">
        <f>G7-G8-G9</f>
        <v/>
      </c>
      <c r="H10" s="34">
        <f>H7-H8-H9</f>
        <v/>
      </c>
      <c r="I10" s="34">
        <f>I7-I8-I9</f>
        <v/>
      </c>
      <c r="J10" s="34">
        <f>J7-J8-J9</f>
        <v/>
      </c>
      <c r="K10" s="34">
        <f>K7-K8-K9</f>
        <v/>
      </c>
      <c r="L10" s="34">
        <f>L7-L8-L9</f>
        <v/>
      </c>
      <c r="M10" s="34">
        <f>M7-M8-M9</f>
        <v/>
      </c>
    </row>
    <row r="11" ht="28" customHeight="1">
      <c r="A11" s="19" t="inlineStr">
        <is>
          <t>Other income, net</t>
        </is>
      </c>
      <c r="B11" s="20" t="inlineStr">
        <is>
          <t>FY26 $45M other income annualizes YTD $22,829; then steps down as cash is deployed (FY25 was only $28,352).</t>
        </is>
      </c>
      <c r="C11" s="21" t="inlineStr">
        <is>
          <t>Q2 FY2026 YTD other income (earnings)</t>
        </is>
      </c>
      <c r="D11" s="22" t="inlineStr">
        <is>
          <t>Ctrl+F "22,829" → YTD other income ($000) on the earnings P&amp;L. FY26 model $45,000 annualizes that run-rate.</t>
        </is>
      </c>
      <c r="E11" s="32" t="n">
        <v>4163</v>
      </c>
      <c r="F11" s="32" t="n">
        <v>43059</v>
      </c>
      <c r="G11" s="32" t="n">
        <v>70380</v>
      </c>
      <c r="H11" s="32" t="n">
        <v>28352</v>
      </c>
      <c r="I11" s="26">
        <f>'Assumptions'!I10</f>
        <v/>
      </c>
      <c r="J11" s="26">
        <f>'Assumptions'!J10</f>
        <v/>
      </c>
      <c r="K11" s="26">
        <f>'Assumptions'!K10</f>
        <v/>
      </c>
      <c r="L11" s="26">
        <f>'Assumptions'!L10</f>
        <v/>
      </c>
      <c r="M11" s="26">
        <f>'Assumptions'!M10</f>
        <v/>
      </c>
    </row>
    <row r="12">
      <c r="A12" s="33" t="inlineStr">
        <is>
          <t>Pre-tax income</t>
        </is>
      </c>
      <c r="E12" s="34">
        <f>E10+E11</f>
        <v/>
      </c>
      <c r="F12" s="34">
        <f>F10+F11</f>
        <v/>
      </c>
      <c r="G12" s="34">
        <f>G10+G11</f>
        <v/>
      </c>
      <c r="H12" s="34">
        <f>H10+H11</f>
        <v/>
      </c>
      <c r="I12" s="34">
        <f>I10+I11</f>
        <v/>
      </c>
      <c r="J12" s="34">
        <f>J10+J11</f>
        <v/>
      </c>
      <c r="K12" s="34">
        <f>K10+K11</f>
        <v/>
      </c>
      <c r="L12" s="34">
        <f>L10+L11</f>
        <v/>
      </c>
      <c r="M12" s="34">
        <f>M10+M11</f>
        <v/>
      </c>
    </row>
    <row r="13" ht="28" customHeight="1">
      <c r="A13" s="19" t="inlineStr">
        <is>
          <t>Income tax expense</t>
        </is>
      </c>
      <c r="B13" s="20" t="inlineStr">
        <is>
          <t>30% effective tax rate on projections; conservative vs recent ~29% effective, allows for jurisdictional mix.</t>
        </is>
      </c>
      <c r="C13" s="21" t="inlineStr">
        <is>
          <t>LULU Q2 FY2026 outlook (≈30% tax)</t>
        </is>
      </c>
      <c r="D13" s="22" t="inlineStr">
        <is>
          <t>Ctrl+F "a tax rate of approximately 30%" on the earnings outlook; FY25 10-K 29.5%. 3-statement model 30%</t>
        </is>
      </c>
      <c r="E13" s="32" t="n">
        <v>477771</v>
      </c>
      <c r="F13" s="32" t="n">
        <v>625545</v>
      </c>
      <c r="G13" s="32" t="n">
        <v>761461</v>
      </c>
      <c r="H13" s="32" t="n">
        <v>659784</v>
      </c>
      <c r="I13" s="26">
        <f>I12*'Assumptions'!I11</f>
        <v/>
      </c>
      <c r="J13" s="26">
        <f>J12*'Assumptions'!J11</f>
        <v/>
      </c>
      <c r="K13" s="26">
        <f>K12*'Assumptions'!K11</f>
        <v/>
      </c>
      <c r="L13" s="26">
        <f>L12*'Assumptions'!L11</f>
        <v/>
      </c>
      <c r="M13" s="26">
        <f>M12*'Assumptions'!M11</f>
        <v/>
      </c>
    </row>
    <row r="14">
      <c r="A14" s="33" t="inlineStr">
        <is>
          <t>Net income</t>
        </is>
      </c>
      <c r="E14" s="35">
        <f>E12-E13</f>
        <v/>
      </c>
      <c r="F14" s="35">
        <f>F12-F13</f>
        <v/>
      </c>
      <c r="G14" s="35">
        <f>G12-G13</f>
        <v/>
      </c>
      <c r="H14" s="35">
        <f>H12-H13</f>
        <v/>
      </c>
      <c r="I14" s="35">
        <f>I12-I13</f>
        <v/>
      </c>
      <c r="J14" s="35">
        <f>J12-J13</f>
        <v/>
      </c>
      <c r="K14" s="35">
        <f>K12-K13</f>
        <v/>
      </c>
      <c r="L14" s="35">
        <f>L12-L13</f>
        <v/>
      </c>
      <c r="M14" s="35">
        <f>M12-M13</f>
        <v/>
      </c>
    </row>
    <row r="16" ht="42" customHeight="1">
      <c r="A16" s="19" t="inlineStr">
        <is>
          <t>Diluted weighted-avg shares (000)</t>
        </is>
      </c>
      <c r="B16" s="22" t="inlineStr">
        <is>
          <t>$500M annual repurchases; continued capital return at moderated pace vs FY24–25 peak buyback levels.
Also: FY26 repurchase price $100 matches the current quote; path $100→$130 is a recovery assumption (FY25 10-K paid $168–$199).</t>
        </is>
      </c>
      <c r="C16" s="27" t="inlineStr">
        <is>
          <t>LULU CF: share repurchases (10-K)
Also: NASDAQ LULU last sale (current price)</t>
        </is>
      </c>
      <c r="D16" s="22" t="inlineStr">
        <is>
          <t>Ctrl+F "Repurchase of common stock" → ( 1,178,349 ) ($000) FY25; model (500,000)/yr
Also: Ctrl+F "LULU" → Last Sale / Previous Close (~$100). FY26 model repurchase price starts at $100.</t>
        </is>
      </c>
      <c r="E16" s="32" t="n">
        <v>128017</v>
      </c>
      <c r="F16" s="32" t="n">
        <v>127060</v>
      </c>
      <c r="G16" s="32" t="n">
        <v>123935</v>
      </c>
      <c r="H16" s="32" t="n">
        <v>119068</v>
      </c>
      <c r="I16" s="26">
        <f>H16-'Assumptions'!I29/'Assumptions'!I30</f>
        <v/>
      </c>
      <c r="J16" s="26">
        <f>I16-'Assumptions'!J29/'Assumptions'!J30</f>
        <v/>
      </c>
      <c r="K16" s="26">
        <f>J16-'Assumptions'!K29/'Assumptions'!K30</f>
        <v/>
      </c>
      <c r="L16" s="26">
        <f>K16-'Assumptions'!L29/'Assumptions'!L30</f>
        <v/>
      </c>
      <c r="M16" s="26">
        <f>L16-'Assumptions'!M29/'Assumptions'!M30</f>
        <v/>
      </c>
    </row>
    <row r="17">
      <c r="A17" s="33" t="inlineStr">
        <is>
          <t>Diluted EPS ($)</t>
        </is>
      </c>
      <c r="E17" s="36" t="n">
        <v>6.68</v>
      </c>
      <c r="F17" s="36" t="n">
        <v>12.2</v>
      </c>
      <c r="G17" s="36" t="n">
        <v>14.64</v>
      </c>
      <c r="H17" s="36" t="n">
        <v>13.26</v>
      </c>
      <c r="I17" s="37">
        <f>I14/I16</f>
        <v/>
      </c>
      <c r="J17" s="37">
        <f>J14/J16</f>
        <v/>
      </c>
      <c r="K17" s="37">
        <f>K14/K16</f>
        <v/>
      </c>
      <c r="L17" s="37">
        <f>L14/L16</f>
        <v/>
      </c>
      <c r="M17" s="37">
        <f>M14/M16</f>
        <v/>
      </c>
    </row>
    <row r="19">
      <c r="A19" s="38" t="inlineStr">
        <is>
          <t>Margins &amp; growth</t>
        </is>
      </c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</row>
    <row r="20">
      <c r="A20" s="39" t="inlineStr">
        <is>
          <t>Gross margin %</t>
        </is>
      </c>
      <c r="E20" s="40">
        <f>E7/E4</f>
        <v/>
      </c>
      <c r="F20" s="40">
        <f>F7/F4</f>
        <v/>
      </c>
      <c r="G20" s="40">
        <f>G7/G4</f>
        <v/>
      </c>
      <c r="H20" s="40">
        <f>H7/H4</f>
        <v/>
      </c>
      <c r="I20" s="40">
        <f>I7/I4</f>
        <v/>
      </c>
      <c r="J20" s="40">
        <f>J7/J4</f>
        <v/>
      </c>
      <c r="K20" s="40">
        <f>K7/K4</f>
        <v/>
      </c>
      <c r="L20" s="40">
        <f>L7/L4</f>
        <v/>
      </c>
      <c r="M20" s="40">
        <f>M7/M4</f>
        <v/>
      </c>
    </row>
    <row r="21">
      <c r="A21" s="39" t="inlineStr">
        <is>
          <t>Clean operating margin % (ex-refunds)</t>
        </is>
      </c>
      <c r="E21" s="40">
        <f>(E10+E6)/E4</f>
        <v/>
      </c>
      <c r="F21" s="40">
        <f>(F10+F6)/F4</f>
        <v/>
      </c>
      <c r="G21" s="40">
        <f>(G10+G6)/G4</f>
        <v/>
      </c>
      <c r="H21" s="40">
        <f>(H10+H6)/H4</f>
        <v/>
      </c>
      <c r="I21" s="40">
        <f>(I10+I6)/I4</f>
        <v/>
      </c>
      <c r="J21" s="40">
        <f>(J10+J6)/J4</f>
        <v/>
      </c>
      <c r="K21" s="40">
        <f>(K10+K6)/K4</f>
        <v/>
      </c>
      <c r="L21" s="40">
        <f>(L10+L6)/L4</f>
        <v/>
      </c>
      <c r="M21" s="40">
        <f>(M10+M6)/M4</f>
        <v/>
      </c>
    </row>
    <row r="22">
      <c r="A22" s="39" t="inlineStr">
        <is>
          <t>Operating margin % (reported, incl. FY26 refund)</t>
        </is>
      </c>
      <c r="E22" s="40">
        <f>E10/E4</f>
        <v/>
      </c>
      <c r="F22" s="40">
        <f>F10/F4</f>
        <v/>
      </c>
      <c r="G22" s="40">
        <f>G10/G4</f>
        <v/>
      </c>
      <c r="H22" s="40">
        <f>H10/H4</f>
        <v/>
      </c>
      <c r="I22" s="40">
        <f>I10/I4</f>
        <v/>
      </c>
      <c r="J22" s="40">
        <f>J10/J4</f>
        <v/>
      </c>
      <c r="K22" s="40">
        <f>K10/K4</f>
        <v/>
      </c>
      <c r="L22" s="40">
        <f>L10/L4</f>
        <v/>
      </c>
      <c r="M22" s="40">
        <f>M10/M4</f>
        <v/>
      </c>
    </row>
    <row r="23">
      <c r="A23" s="39" t="inlineStr">
        <is>
          <t>Net margin %</t>
        </is>
      </c>
      <c r="E23" s="40">
        <f>E14/E4</f>
        <v/>
      </c>
      <c r="F23" s="40">
        <f>F14/F4</f>
        <v/>
      </c>
      <c r="G23" s="40">
        <f>G14/G4</f>
        <v/>
      </c>
      <c r="H23" s="40">
        <f>H14/H4</f>
        <v/>
      </c>
      <c r="I23" s="40">
        <f>I14/I4</f>
        <v/>
      </c>
      <c r="J23" s="40">
        <f>J14/J4</f>
        <v/>
      </c>
      <c r="K23" s="40">
        <f>K14/K4</f>
        <v/>
      </c>
      <c r="L23" s="40">
        <f>L14/L4</f>
        <v/>
      </c>
      <c r="M23" s="40">
        <f>M14/M4</f>
        <v/>
      </c>
    </row>
    <row r="24">
      <c r="A24" s="39" t="inlineStr">
        <is>
          <t>Revenue growth %</t>
        </is>
      </c>
      <c r="E24" s="41" t="inlineStr">
        <is>
          <t>n/a</t>
        </is>
      </c>
      <c r="F24" s="40">
        <f>F4/E4-1</f>
        <v/>
      </c>
      <c r="G24" s="40">
        <f>G4/F4-1</f>
        <v/>
      </c>
      <c r="H24" s="40">
        <f>H4/G4-1</f>
        <v/>
      </c>
      <c r="I24" s="40">
        <f>I4/H4-1</f>
        <v/>
      </c>
      <c r="J24" s="40">
        <f>J4/I4-1</f>
        <v/>
      </c>
      <c r="K24" s="40">
        <f>K4/J4-1</f>
        <v/>
      </c>
      <c r="L24" s="40">
        <f>L4/K4-1</f>
        <v/>
      </c>
      <c r="M24" s="40">
        <f>M4/L4-1</f>
        <v/>
      </c>
    </row>
  </sheetData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G2" r:id="rId3"/>
    <hyperlink xmlns:r="http://schemas.openxmlformats.org/officeDocument/2006/relationships" ref="H2" r:id="rId4"/>
    <hyperlink xmlns:r="http://schemas.openxmlformats.org/officeDocument/2006/relationships" ref="C4" r:id="rId5"/>
    <hyperlink xmlns:r="http://schemas.openxmlformats.org/officeDocument/2006/relationships" ref="E4" r:id="rId6"/>
    <hyperlink xmlns:r="http://schemas.openxmlformats.org/officeDocument/2006/relationships" ref="F4" r:id="rId7"/>
    <hyperlink xmlns:r="http://schemas.openxmlformats.org/officeDocument/2006/relationships" ref="G4" r:id="rId8"/>
    <hyperlink xmlns:r="http://schemas.openxmlformats.org/officeDocument/2006/relationships" ref="H4" r:id="rId9"/>
    <hyperlink xmlns:r="http://schemas.openxmlformats.org/officeDocument/2006/relationships" ref="C5" r:id="rId10"/>
    <hyperlink xmlns:r="http://schemas.openxmlformats.org/officeDocument/2006/relationships" ref="E5" r:id="rId11"/>
    <hyperlink xmlns:r="http://schemas.openxmlformats.org/officeDocument/2006/relationships" ref="F5" r:id="rId12"/>
    <hyperlink xmlns:r="http://schemas.openxmlformats.org/officeDocument/2006/relationships" ref="G5" r:id="rId13"/>
    <hyperlink xmlns:r="http://schemas.openxmlformats.org/officeDocument/2006/relationships" ref="H5" r:id="rId14"/>
    <hyperlink xmlns:r="http://schemas.openxmlformats.org/officeDocument/2006/relationships" ref="C6" r:id="rId15"/>
    <hyperlink xmlns:r="http://schemas.openxmlformats.org/officeDocument/2006/relationships" ref="E6" r:id="rId16"/>
    <hyperlink xmlns:r="http://schemas.openxmlformats.org/officeDocument/2006/relationships" ref="F6" r:id="rId17"/>
    <hyperlink xmlns:r="http://schemas.openxmlformats.org/officeDocument/2006/relationships" ref="G6" r:id="rId18"/>
    <hyperlink xmlns:r="http://schemas.openxmlformats.org/officeDocument/2006/relationships" ref="H6" r:id="rId19"/>
    <hyperlink xmlns:r="http://schemas.openxmlformats.org/officeDocument/2006/relationships" ref="C8" r:id="rId20"/>
    <hyperlink xmlns:r="http://schemas.openxmlformats.org/officeDocument/2006/relationships" ref="E8" r:id="rId21"/>
    <hyperlink xmlns:r="http://schemas.openxmlformats.org/officeDocument/2006/relationships" ref="F8" r:id="rId22"/>
    <hyperlink xmlns:r="http://schemas.openxmlformats.org/officeDocument/2006/relationships" ref="G8" r:id="rId23"/>
    <hyperlink xmlns:r="http://schemas.openxmlformats.org/officeDocument/2006/relationships" ref="H8" r:id="rId24"/>
    <hyperlink xmlns:r="http://schemas.openxmlformats.org/officeDocument/2006/relationships" ref="C9" r:id="rId25"/>
    <hyperlink xmlns:r="http://schemas.openxmlformats.org/officeDocument/2006/relationships" ref="E9" r:id="rId26"/>
    <hyperlink xmlns:r="http://schemas.openxmlformats.org/officeDocument/2006/relationships" ref="F9" r:id="rId27"/>
    <hyperlink xmlns:r="http://schemas.openxmlformats.org/officeDocument/2006/relationships" ref="G9" r:id="rId28"/>
    <hyperlink xmlns:r="http://schemas.openxmlformats.org/officeDocument/2006/relationships" ref="H9" r:id="rId29"/>
    <hyperlink xmlns:r="http://schemas.openxmlformats.org/officeDocument/2006/relationships" ref="C11" r:id="rId30"/>
    <hyperlink xmlns:r="http://schemas.openxmlformats.org/officeDocument/2006/relationships" ref="E11" r:id="rId31"/>
    <hyperlink xmlns:r="http://schemas.openxmlformats.org/officeDocument/2006/relationships" ref="F11" r:id="rId32"/>
    <hyperlink xmlns:r="http://schemas.openxmlformats.org/officeDocument/2006/relationships" ref="G11" r:id="rId33"/>
    <hyperlink xmlns:r="http://schemas.openxmlformats.org/officeDocument/2006/relationships" ref="H11" r:id="rId34"/>
    <hyperlink xmlns:r="http://schemas.openxmlformats.org/officeDocument/2006/relationships" ref="C13" r:id="rId35"/>
    <hyperlink xmlns:r="http://schemas.openxmlformats.org/officeDocument/2006/relationships" ref="E13" r:id="rId36"/>
    <hyperlink xmlns:r="http://schemas.openxmlformats.org/officeDocument/2006/relationships" ref="F13" r:id="rId37"/>
    <hyperlink xmlns:r="http://schemas.openxmlformats.org/officeDocument/2006/relationships" ref="G13" r:id="rId38"/>
    <hyperlink xmlns:r="http://schemas.openxmlformats.org/officeDocument/2006/relationships" ref="H13" r:id="rId39"/>
    <hyperlink xmlns:r="http://schemas.openxmlformats.org/officeDocument/2006/relationships" ref="C16" r:id="rId40"/>
    <hyperlink xmlns:r="http://schemas.openxmlformats.org/officeDocument/2006/relationships" ref="E16" r:id="rId41"/>
    <hyperlink xmlns:r="http://schemas.openxmlformats.org/officeDocument/2006/relationships" ref="F16" r:id="rId42"/>
    <hyperlink xmlns:r="http://schemas.openxmlformats.org/officeDocument/2006/relationships" ref="G16" r:id="rId43"/>
    <hyperlink xmlns:r="http://schemas.openxmlformats.org/officeDocument/2006/relationships" ref="H16" r:id="rId44"/>
    <hyperlink xmlns:r="http://schemas.openxmlformats.org/officeDocument/2006/relationships" ref="E17" r:id="rId45"/>
    <hyperlink xmlns:r="http://schemas.openxmlformats.org/officeDocument/2006/relationships" ref="F17" r:id="rId46"/>
    <hyperlink xmlns:r="http://schemas.openxmlformats.org/officeDocument/2006/relationships" ref="G17" r:id="rId47"/>
    <hyperlink xmlns:r="http://schemas.openxmlformats.org/officeDocument/2006/relationships" ref="H17" r:id="rId4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8"/>
  <sheetViews>
    <sheetView showGridLines="0"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4" customWidth="1" min="2" max="2"/>
    <col width="16" customWidth="1" min="3" max="3"/>
    <col width="3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16" customHeight="1">
      <c r="A1" s="12" t="inlineStr">
        <is>
          <t>BALANCE SHEET  (US$ thousands)</t>
        </is>
      </c>
      <c r="E1" s="13" t="inlineStr">
        <is>
          <t>FY2022</t>
        </is>
      </c>
      <c r="F1" s="13" t="inlineStr">
        <is>
          <t>FY2023</t>
        </is>
      </c>
      <c r="G1" s="13" t="inlineStr">
        <is>
          <t>FY2024</t>
        </is>
      </c>
      <c r="H1" s="13" t="inlineStr">
        <is>
          <t>FY2025</t>
        </is>
      </c>
      <c r="I1" s="14" t="inlineStr">
        <is>
          <t>FY2026E</t>
        </is>
      </c>
      <c r="J1" s="14" t="inlineStr">
        <is>
          <t>FY2027E</t>
        </is>
      </c>
      <c r="K1" s="14" t="inlineStr">
        <is>
          <t>FY2028E</t>
        </is>
      </c>
      <c r="L1" s="14" t="inlineStr">
        <is>
          <t>FY2029E</t>
        </is>
      </c>
      <c r="M1" s="14" t="inlineStr">
        <is>
          <t>FY2030E</t>
        </is>
      </c>
    </row>
    <row r="2">
      <c r="B2" s="15" t="inlineStr">
        <is>
          <t>Justification (~20 words)</t>
        </is>
      </c>
      <c r="C2" s="15" t="inlineStr">
        <is>
          <t>Source (click)</t>
        </is>
      </c>
      <c r="D2" s="15" t="inlineStr">
        <is>
          <t>Ctrl+F (prove number)</t>
        </is>
      </c>
      <c r="E2" s="30" t="inlineStr">
        <is>
          <t>10-K</t>
        </is>
      </c>
      <c r="F2" s="30" t="inlineStr">
        <is>
          <t>10-K</t>
        </is>
      </c>
      <c r="G2" s="30" t="inlineStr">
        <is>
          <t>10-K</t>
        </is>
      </c>
      <c r="H2" s="30" t="inlineStr">
        <is>
          <t>10-K</t>
        </is>
      </c>
      <c r="I2" s="31" t="inlineStr">
        <is>
          <t>Projected</t>
        </is>
      </c>
    </row>
    <row r="4">
      <c r="A4" s="17" t="inlineStr">
        <is>
          <t>ASSETS</t>
        </is>
      </c>
      <c r="E4" s="18" t="n"/>
      <c r="F4" s="18" t="n"/>
      <c r="G4" s="18" t="n"/>
      <c r="H4" s="18" t="n"/>
      <c r="I4" s="18" t="n"/>
      <c r="J4" s="18" t="n"/>
      <c r="K4" s="18" t="n"/>
      <c r="L4" s="18" t="n"/>
      <c r="M4" s="18" t="n"/>
    </row>
    <row r="5">
      <c r="A5" s="42" t="inlineStr">
        <is>
          <t>Current assets:</t>
        </is>
      </c>
    </row>
    <row r="6">
      <c r="A6" s="19" t="inlineStr">
        <is>
          <t>Cash &amp; cash equivalents</t>
        </is>
      </c>
      <c r="E6" s="32" t="n">
        <v>1154867</v>
      </c>
      <c r="F6" s="32" t="n">
        <v>2243971</v>
      </c>
      <c r="G6" s="32" t="n">
        <v>1984336</v>
      </c>
      <c r="H6" s="32" t="n">
        <v>1807202</v>
      </c>
      <c r="I6" s="25">
        <f>'Cash Flow'!I34</f>
        <v/>
      </c>
      <c r="J6" s="25">
        <f>'Cash Flow'!J34</f>
        <v/>
      </c>
      <c r="K6" s="25">
        <f>'Cash Flow'!K34</f>
        <v/>
      </c>
      <c r="L6" s="25">
        <f>'Cash Flow'!L34</f>
        <v/>
      </c>
      <c r="M6" s="25">
        <f>'Cash Flow'!M34</f>
        <v/>
      </c>
    </row>
    <row r="7" ht="28" customHeight="1">
      <c r="A7" s="19" t="inlineStr">
        <is>
          <t>Accounts receivable, net</t>
        </is>
      </c>
      <c r="B7" s="20" t="inlineStr">
        <is>
          <t>AR 1.7% of sales = FY25 Accounts receivable, net 190,657 / 11,102,600. Wholesale and marketplace receivables; hold the FY25 mix.</t>
        </is>
      </c>
      <c r="C7" s="21" t="inlineStr">
        <is>
          <t>LULU FY2025 10-K: Accounts receivable, net</t>
        </is>
      </c>
      <c r="D7" s="22" t="inlineStr">
        <is>
          <t>Ctrl+F "Accounts receivable, net" (one hit on the BS) → 190,657 ($000). 190,657 / 11,102,600 = 1.7% of sales. Model holds 1.7%.</t>
        </is>
      </c>
      <c r="E7" s="32" t="n">
        <v>132906</v>
      </c>
      <c r="F7" s="32" t="n">
        <v>124769</v>
      </c>
      <c r="G7" s="32" t="n">
        <v>120173</v>
      </c>
      <c r="H7" s="32" t="n">
        <v>190657</v>
      </c>
      <c r="I7" s="26">
        <f>'Income Statement'!I4*'Assumptions'!I18</f>
        <v/>
      </c>
      <c r="J7" s="26">
        <f>'Income Statement'!J4*'Assumptions'!J18</f>
        <v/>
      </c>
      <c r="K7" s="26">
        <f>'Income Statement'!K4*'Assumptions'!K18</f>
        <v/>
      </c>
      <c r="L7" s="26">
        <f>'Income Statement'!L4*'Assumptions'!L18</f>
        <v/>
      </c>
      <c r="M7" s="26">
        <f>'Income Statement'!M4*'Assumptions'!M18</f>
        <v/>
      </c>
    </row>
    <row r="8" ht="28" customHeight="1">
      <c r="A8" s="19" t="inlineStr">
        <is>
          <t>Inventories</t>
        </is>
      </c>
      <c r="B8" s="20" t="inlineStr">
        <is>
          <t>Inventory 33–34% of COGS; slight normalization from FY25 build as Americas demand softens and clears.</t>
        </is>
      </c>
      <c r="C8" s="21" t="inlineStr">
        <is>
          <t>LULU balance sheet (10-K)</t>
        </is>
      </c>
      <c r="D8" s="22" t="inlineStr">
        <is>
          <t>Ctrl+F "Inventories" → 1,700,753 ÷ "Cost of goods sold" 4,818,468 = 35.3%</t>
        </is>
      </c>
      <c r="E8" s="32" t="n">
        <v>1447367</v>
      </c>
      <c r="F8" s="32" t="n">
        <v>1323602</v>
      </c>
      <c r="G8" s="32" t="n">
        <v>1442081</v>
      </c>
      <c r="H8" s="32" t="n">
        <v>1700753</v>
      </c>
      <c r="I8" s="26">
        <f>'Income Statement'!I5*'Assumptions'!I17</f>
        <v/>
      </c>
      <c r="J8" s="26">
        <f>'Income Statement'!J5*'Assumptions'!J17</f>
        <v/>
      </c>
      <c r="K8" s="26">
        <f>'Income Statement'!K5*'Assumptions'!K17</f>
        <v/>
      </c>
      <c r="L8" s="26">
        <f>'Income Statement'!L5*'Assumptions'!L17</f>
        <v/>
      </c>
      <c r="M8" s="26">
        <f>'Income Statement'!M5*'Assumptions'!M17</f>
        <v/>
      </c>
    </row>
    <row r="9" ht="28" customHeight="1">
      <c r="A9" s="19" t="inlineStr">
        <is>
          <t>Other current assets</t>
        </is>
      </c>
      <c r="B9" s="20" t="inlineStr">
        <is>
          <t>OCA 5.1% is current assets minus cash, AR, and inventory (prepaids / tax receivables). AR is its own line, not inside OCA.</t>
        </is>
      </c>
      <c r="C9" s="21" t="inlineStr">
        <is>
          <t>LULU balance sheet (10-K)</t>
        </is>
      </c>
      <c r="D9" s="22" t="inlineStr">
        <is>
          <t>OCA = "Total current assets" 4,262,701 − cash 1,807,202 − "Accounts receivable, net" 190,657 − "Inventories" 1,700,753 = 564,089 (5.1% of sales). AR is not inside this residual.</t>
        </is>
      </c>
      <c r="E9" s="25" t="n">
        <v>424313</v>
      </c>
      <c r="F9" s="25" t="n">
        <v>368235</v>
      </c>
      <c r="G9" s="25" t="n">
        <v>433712</v>
      </c>
      <c r="H9" s="25" t="n">
        <v>564089</v>
      </c>
      <c r="I9" s="26">
        <f>'Income Statement'!I4*'Assumptions'!I21</f>
        <v/>
      </c>
      <c r="J9" s="26">
        <f>'Income Statement'!J4*'Assumptions'!J21</f>
        <v/>
      </c>
      <c r="K9" s="26">
        <f>'Income Statement'!K4*'Assumptions'!K21</f>
        <v/>
      </c>
      <c r="L9" s="26">
        <f>'Income Statement'!L4*'Assumptions'!L21</f>
        <v/>
      </c>
      <c r="M9" s="26">
        <f>'Income Statement'!M4*'Assumptions'!M21</f>
        <v/>
      </c>
    </row>
    <row r="10">
      <c r="A10" s="33" t="inlineStr">
        <is>
          <t>Total current assets</t>
        </is>
      </c>
      <c r="E10" s="43" t="n">
        <v>3159453</v>
      </c>
      <c r="F10" s="43" t="n">
        <v>4060577</v>
      </c>
      <c r="G10" s="43" t="n">
        <v>3980302</v>
      </c>
      <c r="H10" s="43" t="n">
        <v>4262701</v>
      </c>
      <c r="I10" s="34">
        <f>I6+I7+I8+I9</f>
        <v/>
      </c>
      <c r="J10" s="34">
        <f>J6+J7+J8+J9</f>
        <v/>
      </c>
      <c r="K10" s="34">
        <f>K6+K7+K8+K9</f>
        <v/>
      </c>
      <c r="L10" s="34">
        <f>L6+L7+L8+L9</f>
        <v/>
      </c>
      <c r="M10" s="34">
        <f>M6+M7+M8+M9</f>
        <v/>
      </c>
    </row>
    <row r="11">
      <c r="A11" s="42" t="inlineStr">
        <is>
          <t>Non-current assets:</t>
        </is>
      </c>
    </row>
    <row r="12" ht="150" customHeight="1">
      <c r="A12" s="19" t="inlineStr">
        <is>
          <t>Property &amp; equipment, net</t>
        </is>
      </c>
      <c r="B12" s="20" t="inlineStr">
        <is>
          <t>FY26 7.0% is $735M / $10.4B, not / FY25 $11.1B. Since 7.0% steps toward FY25 6.1%, we assume a fade: 7.0 / 6.0 / 5.5 / 5.0 / 5.0.</t>
        </is>
      </c>
      <c r="C12" s="21" t="inlineStr">
        <is>
          <t>LULU CF statement (10-K)</t>
        </is>
      </c>
      <c r="D12" s="22" t="inlineStr">
        <is>
          <t>FY25 actual (10-K)
  Ctrl+F "680,802"  →  capex $680.8M
  Ctrl+F "11,102,600"  →  sales $11.1B
  680.8 / 11,102.6 = 6.1%
FY26 capex (10-K)
  Ctrl+F "$725.0 million and $745.0 million"  →  mid $735M
FY26 sales (earnings)
  Ctrl+F "$10.350 billion to $10.500 billion"  →  $10.35–$10.50B (mid $10.425B)
  7.0% = $735M / $10.425B    ($10B year, not FY25 $11.1B)
DCF blend
  Fade  7.0 / 6.0 / 5.5 / 5.0 / 4.0
  5.5% = (7.0+6.0+5.5+5.0+4.0)/5</t>
        </is>
      </c>
      <c r="E12" s="32" t="n">
        <v>1269614</v>
      </c>
      <c r="F12" s="32" t="n">
        <v>1545811</v>
      </c>
      <c r="G12" s="32" t="n">
        <v>1780617</v>
      </c>
      <c r="H12" s="32" t="n">
        <v>2033720</v>
      </c>
      <c r="I12" s="26">
        <f>H12+'Income Statement'!I4*'Assumptions'!I14-'Income Statement'!I4*'Assumptions'!I13</f>
        <v/>
      </c>
      <c r="J12" s="26">
        <f>I12+'Income Statement'!J4*'Assumptions'!J14-'Income Statement'!J4*'Assumptions'!J13</f>
        <v/>
      </c>
      <c r="K12" s="26">
        <f>J12+'Income Statement'!K4*'Assumptions'!K14-'Income Statement'!K4*'Assumptions'!K13</f>
        <v/>
      </c>
      <c r="L12" s="26">
        <f>K12+'Income Statement'!L4*'Assumptions'!L14-'Income Statement'!L4*'Assumptions'!L13</f>
        <v/>
      </c>
      <c r="M12" s="26">
        <f>L12+'Income Statement'!M4*'Assumptions'!M14-'Income Statement'!M4*'Assumptions'!M13</f>
        <v/>
      </c>
    </row>
    <row r="13" ht="28" customHeight="1">
      <c r="A13" s="19" t="inlineStr">
        <is>
          <t>Operating lease right-of-use assets</t>
        </is>
      </c>
      <c r="B13" s="20" t="inlineStr">
        <is>
          <t>ROU assets 14.7% of revenue; lease-intensive store model, stable vs FY25 operating lease footprint.</t>
        </is>
      </c>
      <c r="C13" s="21" t="inlineStr">
        <is>
          <t>LULU lease disclosures (10-K)</t>
        </is>
      </c>
      <c r="D13" s="22" t="inlineStr">
        <is>
          <t>Ctrl+F "Right-of-use lease assets" → 1,630,181 ÷ "Net revenue" 11,102,600 = 14.7%</t>
        </is>
      </c>
      <c r="E13" s="32" t="n">
        <v>969419</v>
      </c>
      <c r="F13" s="32" t="n">
        <v>1265610</v>
      </c>
      <c r="G13" s="32" t="n">
        <v>1416256</v>
      </c>
      <c r="H13" s="32" t="n">
        <v>1630181</v>
      </c>
      <c r="I13" s="26">
        <f>'Income Statement'!I4*'Assumptions'!I22</f>
        <v/>
      </c>
      <c r="J13" s="26">
        <f>'Income Statement'!J4*'Assumptions'!J22</f>
        <v/>
      </c>
      <c r="K13" s="26">
        <f>'Income Statement'!K4*'Assumptions'!K22</f>
        <v/>
      </c>
      <c r="L13" s="26">
        <f>'Income Statement'!L4*'Assumptions'!L22</f>
        <v/>
      </c>
      <c r="M13" s="26">
        <f>'Income Statement'!M4*'Assumptions'!M22</f>
        <v/>
      </c>
    </row>
    <row r="14">
      <c r="A14" s="19" t="inlineStr">
        <is>
          <t>Goodwill &amp; intangible assets</t>
        </is>
      </c>
      <c r="E14" s="32" t="n">
        <v>46105</v>
      </c>
      <c r="F14" s="32" t="n">
        <v>24083</v>
      </c>
      <c r="G14" s="32" t="n">
        <v>171191</v>
      </c>
      <c r="H14" s="32" t="n">
        <v>191194</v>
      </c>
      <c r="I14" s="25">
        <f>H14</f>
        <v/>
      </c>
      <c r="J14" s="25">
        <f>I14</f>
        <v/>
      </c>
      <c r="K14" s="25">
        <f>J14</f>
        <v/>
      </c>
      <c r="L14" s="25">
        <f>K14</f>
        <v/>
      </c>
      <c r="M14" s="25">
        <f>L14</f>
        <v/>
      </c>
    </row>
    <row r="15" ht="28" customHeight="1">
      <c r="A15" s="19" t="inlineStr">
        <is>
          <t>Other non-current assets</t>
        </is>
      </c>
      <c r="B15" s="20" t="inlineStr">
        <is>
          <t>ONCA 3.0% = FY25 total assets − CA − PPE − ROU − GW (338,947); matches earnings 'deferred taxes and other NC assets'.</t>
        </is>
      </c>
      <c r="C15" s="21" t="inlineStr">
        <is>
          <t>LULU balance sheet (10-K)</t>
        </is>
      </c>
      <c r="D15" s="22" t="inlineStr">
        <is>
          <t>Ctrl+F "Total assets" 8,456,743 − current assets − "Property and equipment, net" − "Right-of-use lease assets" − goodwill/intangibles = 338,947 (3.0%)</t>
        </is>
      </c>
      <c r="E15" s="25" t="n">
        <v>162447</v>
      </c>
      <c r="F15" s="25" t="n">
        <v>195860</v>
      </c>
      <c r="G15" s="25" t="n">
        <v>254926</v>
      </c>
      <c r="H15" s="25" t="n">
        <v>338947</v>
      </c>
      <c r="I15" s="26">
        <f>'Income Statement'!I4*'Assumptions'!I23</f>
        <v/>
      </c>
      <c r="J15" s="26">
        <f>'Income Statement'!J4*'Assumptions'!J23</f>
        <v/>
      </c>
      <c r="K15" s="26">
        <f>'Income Statement'!K4*'Assumptions'!K23</f>
        <v/>
      </c>
      <c r="L15" s="26">
        <f>'Income Statement'!L4*'Assumptions'!L23</f>
        <v/>
      </c>
      <c r="M15" s="26">
        <f>'Income Statement'!M4*'Assumptions'!M23</f>
        <v/>
      </c>
    </row>
    <row r="16">
      <c r="A16" s="33" t="inlineStr">
        <is>
          <t>TOTAL ASSETS</t>
        </is>
      </c>
      <c r="E16" s="44" t="n">
        <v>5607038</v>
      </c>
      <c r="F16" s="44" t="n">
        <v>7091941</v>
      </c>
      <c r="G16" s="44" t="n">
        <v>7603292</v>
      </c>
      <c r="H16" s="44" t="n">
        <v>8456743</v>
      </c>
      <c r="I16" s="35">
        <f>I10+I12+I13+I14+I15</f>
        <v/>
      </c>
      <c r="J16" s="35">
        <f>J10+J12+J13+J14+J15</f>
        <v/>
      </c>
      <c r="K16" s="35">
        <f>K10+K12+K13+K14+K15</f>
        <v/>
      </c>
      <c r="L16" s="35">
        <f>L10+L12+L13+L14+L15</f>
        <v/>
      </c>
      <c r="M16" s="35">
        <f>M10+M12+M13+M14+M15</f>
        <v/>
      </c>
    </row>
    <row r="18">
      <c r="A18" s="17" t="inlineStr">
        <is>
          <t>LIABILITIES &amp; EQUITY</t>
        </is>
      </c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</row>
    <row r="19">
      <c r="A19" s="42" t="inlineStr">
        <is>
          <t>Current liabilities:</t>
        </is>
      </c>
    </row>
    <row r="20" ht="28" customHeight="1">
      <c r="A20" s="19" t="inlineStr">
        <is>
          <t>Accounts payable</t>
        </is>
      </c>
      <c r="B20" s="20" t="inlineStr">
        <is>
          <t>AP 6.8% of COGS; holds near FY25 level reflecting vendor terms and production payment cadence.</t>
        </is>
      </c>
      <c r="C20" s="21" t="inlineStr">
        <is>
          <t>LULU balance sheet (10-K)</t>
        </is>
      </c>
      <c r="D20" s="22" t="inlineStr">
        <is>
          <t>Ctrl+F "Accounts payable" → 331,421 ÷ "Cost of goods sold" 4,818,468 = 6.9%</t>
        </is>
      </c>
      <c r="E20" s="32" t="n">
        <v>172732</v>
      </c>
      <c r="F20" s="32" t="n">
        <v>348441</v>
      </c>
      <c r="G20" s="32" t="n">
        <v>271406</v>
      </c>
      <c r="H20" s="32" t="n">
        <v>331421</v>
      </c>
      <c r="I20" s="26">
        <f>'Income Statement'!I5*'Assumptions'!I19</f>
        <v/>
      </c>
      <c r="J20" s="26">
        <f>'Income Statement'!J5*'Assumptions'!J19</f>
        <v/>
      </c>
      <c r="K20" s="26">
        <f>'Income Statement'!K5*'Assumptions'!K19</f>
        <v/>
      </c>
      <c r="L20" s="26">
        <f>'Income Statement'!L5*'Assumptions'!L19</f>
        <v/>
      </c>
      <c r="M20" s="26">
        <f>'Income Statement'!M5*'Assumptions'!M19</f>
        <v/>
      </c>
    </row>
    <row r="21" ht="28" customHeight="1">
      <c r="A21" s="19" t="inlineStr">
        <is>
          <t>Accrued liabilities</t>
        </is>
      </c>
      <c r="B21" s="20" t="inlineStr">
        <is>
          <t>Accrued liabilities 5.8% of revenue; stable comp, marketing, and operating accrual ratio.</t>
        </is>
      </c>
      <c r="C21" s="21" t="inlineStr">
        <is>
          <t>LULU balance sheet (10-K)</t>
        </is>
      </c>
      <c r="D21" s="22" t="inlineStr">
        <is>
          <t>Ctrl+F "Accrued liabilities and other" → 662,982 ÷ "Net revenue" 11,102,600 = 6.0%</t>
        </is>
      </c>
      <c r="E21" s="32" t="n">
        <v>399223</v>
      </c>
      <c r="F21" s="32" t="n">
        <v>348555</v>
      </c>
      <c r="G21" s="32" t="n">
        <v>559463</v>
      </c>
      <c r="H21" s="32" t="n">
        <v>662982</v>
      </c>
      <c r="I21" s="26">
        <f>'Income Statement'!I4*'Assumptions'!I20</f>
        <v/>
      </c>
      <c r="J21" s="26">
        <f>'Income Statement'!J4*'Assumptions'!J20</f>
        <v/>
      </c>
      <c r="K21" s="26">
        <f>'Income Statement'!K4*'Assumptions'!K20</f>
        <v/>
      </c>
      <c r="L21" s="26">
        <f>'Income Statement'!L4*'Assumptions'!L20</f>
        <v/>
      </c>
      <c r="M21" s="26">
        <f>'Income Statement'!M4*'Assumptions'!M20</f>
        <v/>
      </c>
    </row>
    <row r="22" ht="28" customHeight="1">
      <c r="A22" s="19" t="inlineStr">
        <is>
          <t>Operating lease liabilities (current)</t>
        </is>
      </c>
      <c r="B22" s="20" t="inlineStr">
        <is>
          <t>Current lease liabilities 2.7% of revenue; short-term portion of operating lease obligations.</t>
        </is>
      </c>
      <c r="C22" s="21" t="inlineStr">
        <is>
          <t>LULU lease disclosures (10-K)</t>
        </is>
      </c>
      <c r="D22" s="22" t="inlineStr">
        <is>
          <t>Ctrl+F "Current lease liabilities" → 298,724 ÷ "Net revenue" 11,102,600 = 2.7%</t>
        </is>
      </c>
      <c r="E22" s="32" t="n">
        <v>207972</v>
      </c>
      <c r="F22" s="32" t="n">
        <v>249270</v>
      </c>
      <c r="G22" s="32" t="n">
        <v>275154</v>
      </c>
      <c r="H22" s="32" t="n">
        <v>298724</v>
      </c>
      <c r="I22" s="26">
        <f>'Income Statement'!I4*'Assumptions'!I24</f>
        <v/>
      </c>
      <c r="J22" s="26">
        <f>'Income Statement'!J4*'Assumptions'!J24</f>
        <v/>
      </c>
      <c r="K22" s="26">
        <f>'Income Statement'!K4*'Assumptions'!K24</f>
        <v/>
      </c>
      <c r="L22" s="26">
        <f>'Income Statement'!L4*'Assumptions'!L24</f>
        <v/>
      </c>
      <c r="M22" s="26">
        <f>'Income Statement'!M4*'Assumptions'!M24</f>
        <v/>
      </c>
    </row>
    <row r="23" ht="28" customHeight="1">
      <c r="A23" s="19" t="inlineStr">
        <is>
          <t>Other current liabilities</t>
        </is>
      </c>
      <c r="B23" s="20" t="inlineStr">
        <is>
          <t>OCL 5.5% = FY25 current liabilities minus AP, accrued, and current leases (residual ~594k); not the 45,954 'other' line alone.</t>
        </is>
      </c>
      <c r="C23" s="21" t="inlineStr">
        <is>
          <t>LULU balance sheet (10-K)</t>
        </is>
      </c>
      <c r="D23" s="22" t="inlineStr">
        <is>
          <t>Ctrl+F "Total current liabilities" 1,887,548 − "Accounts payable" 331,421 − "Accrued liabilities and other" 662,982 − "Current lease liabilities" 298,724 ≈ 594,421 (5.4%)</t>
        </is>
      </c>
      <c r="E23" s="25" t="n">
        <v>712271</v>
      </c>
      <c r="F23" s="25" t="n">
        <v>684995</v>
      </c>
      <c r="G23" s="25" t="n">
        <v>733607</v>
      </c>
      <c r="H23" s="25" t="n">
        <v>594421</v>
      </c>
      <c r="I23" s="26">
        <f>'Income Statement'!I4*'Assumptions'!I26</f>
        <v/>
      </c>
      <c r="J23" s="26">
        <f>'Income Statement'!J4*'Assumptions'!J26</f>
        <v/>
      </c>
      <c r="K23" s="26">
        <f>'Income Statement'!K4*'Assumptions'!K26</f>
        <v/>
      </c>
      <c r="L23" s="26">
        <f>'Income Statement'!L4*'Assumptions'!L26</f>
        <v/>
      </c>
      <c r="M23" s="26">
        <f>'Income Statement'!M4*'Assumptions'!M26</f>
        <v/>
      </c>
    </row>
    <row r="24">
      <c r="A24" s="33" t="inlineStr">
        <is>
          <t>Total current liabilities</t>
        </is>
      </c>
      <c r="E24" s="43" t="n">
        <v>1492198</v>
      </c>
      <c r="F24" s="43" t="n">
        <v>1631261</v>
      </c>
      <c r="G24" s="43" t="n">
        <v>1839630</v>
      </c>
      <c r="H24" s="43" t="n">
        <v>1887548</v>
      </c>
      <c r="I24" s="34">
        <f>I20+I21+I22+I23</f>
        <v/>
      </c>
      <c r="J24" s="34">
        <f>J20+J21+J22+J23</f>
        <v/>
      </c>
      <c r="K24" s="34">
        <f>K20+K21+K22+K23</f>
        <v/>
      </c>
      <c r="L24" s="34">
        <f>L20+L21+L22+L23</f>
        <v/>
      </c>
      <c r="M24" s="34">
        <f>M20+M21+M22+M23</f>
        <v/>
      </c>
    </row>
    <row r="25">
      <c r="A25" s="42" t="inlineStr">
        <is>
          <t>Non-current liabilities:</t>
        </is>
      </c>
    </row>
    <row r="26" ht="28" customHeight="1">
      <c r="A26" s="19" t="inlineStr">
        <is>
          <t>Operating lease liabilities (non-current)</t>
        </is>
      </c>
      <c r="B26" s="20" t="inlineStr">
        <is>
          <t>Non-current lease liabilities 13.5% of revenue; long-term store lease commitments per 10-K.</t>
        </is>
      </c>
      <c r="C26" s="21" t="inlineStr">
        <is>
          <t>LULU lease disclosures (10-K)</t>
        </is>
      </c>
      <c r="D26" s="22" t="inlineStr">
        <is>
          <t>Ctrl+F "Non-current lease liabilities" → 1,499,717 ÷ "Net revenue" 11,102,600 = 13.5%</t>
        </is>
      </c>
      <c r="E26" s="32" t="n">
        <v>862362</v>
      </c>
      <c r="F26" s="32" t="n">
        <v>1154012</v>
      </c>
      <c r="G26" s="32" t="n">
        <v>1300637</v>
      </c>
      <c r="H26" s="32" t="n">
        <v>1499717</v>
      </c>
      <c r="I26" s="26">
        <f>'Income Statement'!I4*'Assumptions'!I25</f>
        <v/>
      </c>
      <c r="J26" s="26">
        <f>'Income Statement'!J4*'Assumptions'!J25</f>
        <v/>
      </c>
      <c r="K26" s="26">
        <f>'Income Statement'!K4*'Assumptions'!K25</f>
        <v/>
      </c>
      <c r="L26" s="26">
        <f>'Income Statement'!L4*'Assumptions'!L25</f>
        <v/>
      </c>
      <c r="M26" s="26">
        <f>'Income Statement'!M4*'Assumptions'!M25</f>
        <v/>
      </c>
    </row>
    <row r="27">
      <c r="A27" s="19" t="inlineStr">
        <is>
          <t>Deferred income taxes</t>
        </is>
      </c>
      <c r="E27" s="32" t="n">
        <v>55084</v>
      </c>
      <c r="F27" s="32" t="n">
        <v>29522</v>
      </c>
      <c r="G27" s="32" t="n">
        <v>98188</v>
      </c>
      <c r="H27" s="32" t="n">
        <v>52278</v>
      </c>
      <c r="I27" s="25">
        <f>H27</f>
        <v/>
      </c>
      <c r="J27" s="25">
        <f>I27</f>
        <v/>
      </c>
      <c r="K27" s="25">
        <f>J27</f>
        <v/>
      </c>
      <c r="L27" s="25">
        <f>K27</f>
        <v/>
      </c>
      <c r="M27" s="25">
        <f>L27</f>
        <v/>
      </c>
    </row>
    <row r="28" ht="28" customHeight="1">
      <c r="A28" s="19" t="inlineStr">
        <is>
          <t>Other non-current liabilities</t>
        </is>
      </c>
      <c r="B28" s="20" t="inlineStr">
        <is>
          <t>Other non-current liabilities 0.5% of revenue; minor long-term accruals and provisions.</t>
        </is>
      </c>
      <c r="C28" s="21" t="inlineStr">
        <is>
          <t>LULU balance sheet (10-K)</t>
        </is>
      </c>
      <c r="D28" s="22" t="inlineStr">
        <is>
          <t>Ctrl+F "Other non-current liabilities" → 55,360 ÷ "Net revenue" 11,102,600 = 0.5%</t>
        </is>
      </c>
      <c r="E28" s="25" t="n">
        <v>48595</v>
      </c>
      <c r="F28" s="25" t="n">
        <v>45065</v>
      </c>
      <c r="G28" s="25" t="n">
        <v>40790</v>
      </c>
      <c r="H28" s="25" t="n">
        <v>55360</v>
      </c>
      <c r="I28" s="26">
        <f>'Income Statement'!I4*'Assumptions'!I27</f>
        <v/>
      </c>
      <c r="J28" s="26">
        <f>'Income Statement'!J4*'Assumptions'!J27</f>
        <v/>
      </c>
      <c r="K28" s="26">
        <f>'Income Statement'!K4*'Assumptions'!K27</f>
        <v/>
      </c>
      <c r="L28" s="26">
        <f>'Income Statement'!L4*'Assumptions'!L27</f>
        <v/>
      </c>
      <c r="M28" s="26">
        <f>'Income Statement'!M4*'Assumptions'!M27</f>
        <v/>
      </c>
    </row>
    <row r="29">
      <c r="A29" s="33" t="inlineStr">
        <is>
          <t>TOTAL LIABILITIES</t>
        </is>
      </c>
      <c r="E29" s="43" t="n">
        <v>2458239</v>
      </c>
      <c r="F29" s="43" t="n">
        <v>2859860</v>
      </c>
      <c r="G29" s="43" t="n">
        <v>3279245</v>
      </c>
      <c r="H29" s="43" t="n">
        <v>3494903</v>
      </c>
      <c r="I29" s="34">
        <f>I24+I26+I27+I28</f>
        <v/>
      </c>
      <c r="J29" s="34">
        <f>J24+J26+J27+J28</f>
        <v/>
      </c>
      <c r="K29" s="34">
        <f>K24+K26+K27+K28</f>
        <v/>
      </c>
      <c r="L29" s="34">
        <f>L24+L26+L27+L28</f>
        <v/>
      </c>
      <c r="M29" s="34">
        <f>M24+M26+M27+M28</f>
        <v/>
      </c>
    </row>
    <row r="31">
      <c r="A31" s="42" t="inlineStr">
        <is>
          <t>Shareholders' equity:</t>
        </is>
      </c>
    </row>
    <row r="32" ht="28" customHeight="1">
      <c r="A32" s="19" t="inlineStr">
        <is>
          <t>Common stock &amp; additional paid-in capital</t>
        </is>
      </c>
      <c r="B32" s="20" t="inlineStr">
        <is>
          <t>$62M SBC holds the FY25 10-K run-rate (Stock-based compensation expense 62,203).</t>
        </is>
      </c>
      <c r="C32" s="21" t="inlineStr">
        <is>
          <t>LULU CF statement (10-K)</t>
        </is>
      </c>
      <c r="D32" s="22" t="inlineStr">
        <is>
          <t>Ctrl+F "Stock-based compensation expense" → 62,203 on this 10-K HTML. Model $62,000.</t>
        </is>
      </c>
      <c r="E32" s="32" t="n">
        <v>475256</v>
      </c>
      <c r="F32" s="32" t="n">
        <v>575975</v>
      </c>
      <c r="G32" s="32" t="n">
        <v>638771</v>
      </c>
      <c r="H32" s="32" t="n">
        <v>669949</v>
      </c>
      <c r="I32" s="26">
        <f>H32+'Assumptions'!I15</f>
        <v/>
      </c>
      <c r="J32" s="26">
        <f>I32+'Assumptions'!J15</f>
        <v/>
      </c>
      <c r="K32" s="26">
        <f>J32+'Assumptions'!K15</f>
        <v/>
      </c>
      <c r="L32" s="26">
        <f>K32+'Assumptions'!L15</f>
        <v/>
      </c>
      <c r="M32" s="26">
        <f>L32+'Assumptions'!M15</f>
        <v/>
      </c>
    </row>
    <row r="33" ht="28" customHeight="1">
      <c r="A33" s="19" t="inlineStr">
        <is>
          <t>Retained earnings</t>
        </is>
      </c>
      <c r="B33" s="20" t="inlineStr">
        <is>
          <t>$500M annual repurchases; continued capital return at moderated pace vs FY24–25 peak buyback levels.</t>
        </is>
      </c>
      <c r="C33" s="21" t="inlineStr">
        <is>
          <t>LULU CF: share repurchases (10-K)</t>
        </is>
      </c>
      <c r="D33" s="22" t="inlineStr">
        <is>
          <t>Ctrl+F "Repurchase of common stock" → ( 1,178,349 ) ($000) FY25; model (500,000)/yr</t>
        </is>
      </c>
      <c r="E33" s="32" t="n">
        <v>2926127</v>
      </c>
      <c r="F33" s="32" t="n">
        <v>3920362</v>
      </c>
      <c r="G33" s="32" t="n">
        <v>4109717</v>
      </c>
      <c r="H33" s="32" t="n">
        <v>4522581</v>
      </c>
      <c r="I33" s="26">
        <f>H33+'Income Statement'!I14-'Assumptions'!I29</f>
        <v/>
      </c>
      <c r="J33" s="26">
        <f>I33+'Income Statement'!J14-'Assumptions'!J29</f>
        <v/>
      </c>
      <c r="K33" s="26">
        <f>J33+'Income Statement'!K14-'Assumptions'!K29</f>
        <v/>
      </c>
      <c r="L33" s="26">
        <f>K33+'Income Statement'!L14-'Assumptions'!L29</f>
        <v/>
      </c>
      <c r="M33" s="26">
        <f>L33+'Income Statement'!M14-'Assumptions'!M29</f>
        <v/>
      </c>
    </row>
    <row r="34">
      <c r="A34" s="19" t="inlineStr">
        <is>
          <t>Accumulated other comprehensive loss</t>
        </is>
      </c>
      <c r="E34" s="32" t="n">
        <v>-252584</v>
      </c>
      <c r="F34" s="32" t="n">
        <v>-264256</v>
      </c>
      <c r="G34" s="32" t="n">
        <v>-424441</v>
      </c>
      <c r="H34" s="32" t="n">
        <v>-230690</v>
      </c>
      <c r="I34" s="25">
        <f>H34</f>
        <v/>
      </c>
      <c r="J34" s="25">
        <f>I34</f>
        <v/>
      </c>
      <c r="K34" s="25">
        <f>J34</f>
        <v/>
      </c>
      <c r="L34" s="25">
        <f>K34</f>
        <v/>
      </c>
      <c r="M34" s="25">
        <f>L34</f>
        <v/>
      </c>
    </row>
    <row r="35">
      <c r="A35" s="33" t="inlineStr">
        <is>
          <t>TOTAL SHAREHOLDERS' EQUITY</t>
        </is>
      </c>
      <c r="E35" s="43" t="n">
        <v>3148799</v>
      </c>
      <c r="F35" s="43" t="n">
        <v>4232081</v>
      </c>
      <c r="G35" s="43" t="n">
        <v>4324047</v>
      </c>
      <c r="H35" s="43" t="n">
        <v>4961840</v>
      </c>
      <c r="I35" s="34">
        <f>I32+I33+I34</f>
        <v/>
      </c>
      <c r="J35" s="34">
        <f>J32+J33+J34</f>
        <v/>
      </c>
      <c r="K35" s="34">
        <f>K32+K33+K34</f>
        <v/>
      </c>
      <c r="L35" s="34">
        <f>L32+L33+L34</f>
        <v/>
      </c>
      <c r="M35" s="34">
        <f>M32+M33+M34</f>
        <v/>
      </c>
    </row>
    <row r="36">
      <c r="A36" s="33" t="inlineStr">
        <is>
          <t>TOTAL LIABILITIES &amp; EQUITY</t>
        </is>
      </c>
      <c r="E36" s="35">
        <f>E29+E35</f>
        <v/>
      </c>
      <c r="F36" s="35">
        <f>F29+F35</f>
        <v/>
      </c>
      <c r="G36" s="35">
        <f>G29+G35</f>
        <v/>
      </c>
      <c r="H36" s="35">
        <f>H29+H35</f>
        <v/>
      </c>
      <c r="I36" s="35">
        <f>I29+I35</f>
        <v/>
      </c>
      <c r="J36" s="35">
        <f>J29+J35</f>
        <v/>
      </c>
      <c r="K36" s="35">
        <f>K29+K35</f>
        <v/>
      </c>
      <c r="L36" s="35">
        <f>L29+L35</f>
        <v/>
      </c>
      <c r="M36" s="35">
        <f>M29+M35</f>
        <v/>
      </c>
    </row>
    <row r="38">
      <c r="A38" s="39" t="inlineStr">
        <is>
          <t>Balance check (Assets − L&amp;E)</t>
        </is>
      </c>
      <c r="E38" s="45">
        <f>E16-E36</f>
        <v/>
      </c>
      <c r="F38" s="45">
        <f>F16-F36</f>
        <v/>
      </c>
      <c r="G38" s="45">
        <f>G16-G36</f>
        <v/>
      </c>
      <c r="H38" s="45">
        <f>H16-H36</f>
        <v/>
      </c>
      <c r="I38" s="45">
        <f>I16-I36</f>
        <v/>
      </c>
      <c r="J38" s="45">
        <f>J16-J36</f>
        <v/>
      </c>
      <c r="K38" s="45">
        <f>K16-K36</f>
        <v/>
      </c>
      <c r="L38" s="45">
        <f>L16-L36</f>
        <v/>
      </c>
      <c r="M38" s="45">
        <f>M16-M36</f>
        <v/>
      </c>
    </row>
  </sheetData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G2" r:id="rId3"/>
    <hyperlink xmlns:r="http://schemas.openxmlformats.org/officeDocument/2006/relationships" ref="H2" r:id="rId4"/>
    <hyperlink xmlns:r="http://schemas.openxmlformats.org/officeDocument/2006/relationships" ref="E6" r:id="rId5"/>
    <hyperlink xmlns:r="http://schemas.openxmlformats.org/officeDocument/2006/relationships" ref="F6" r:id="rId6"/>
    <hyperlink xmlns:r="http://schemas.openxmlformats.org/officeDocument/2006/relationships" ref="G6" r:id="rId7"/>
    <hyperlink xmlns:r="http://schemas.openxmlformats.org/officeDocument/2006/relationships" ref="H6" r:id="rId8"/>
    <hyperlink xmlns:r="http://schemas.openxmlformats.org/officeDocument/2006/relationships" ref="C7" r:id="rId9"/>
    <hyperlink xmlns:r="http://schemas.openxmlformats.org/officeDocument/2006/relationships" ref="E7" r:id="rId10"/>
    <hyperlink xmlns:r="http://schemas.openxmlformats.org/officeDocument/2006/relationships" ref="F7" r:id="rId11"/>
    <hyperlink xmlns:r="http://schemas.openxmlformats.org/officeDocument/2006/relationships" ref="G7" r:id="rId12"/>
    <hyperlink xmlns:r="http://schemas.openxmlformats.org/officeDocument/2006/relationships" ref="H7" r:id="rId13"/>
    <hyperlink xmlns:r="http://schemas.openxmlformats.org/officeDocument/2006/relationships" ref="C8" r:id="rId14"/>
    <hyperlink xmlns:r="http://schemas.openxmlformats.org/officeDocument/2006/relationships" ref="E8" r:id="rId15"/>
    <hyperlink xmlns:r="http://schemas.openxmlformats.org/officeDocument/2006/relationships" ref="F8" r:id="rId16"/>
    <hyperlink xmlns:r="http://schemas.openxmlformats.org/officeDocument/2006/relationships" ref="G8" r:id="rId17"/>
    <hyperlink xmlns:r="http://schemas.openxmlformats.org/officeDocument/2006/relationships" ref="H8" r:id="rId18"/>
    <hyperlink xmlns:r="http://schemas.openxmlformats.org/officeDocument/2006/relationships" ref="C9" r:id="rId19"/>
    <hyperlink xmlns:r="http://schemas.openxmlformats.org/officeDocument/2006/relationships" ref="E10" r:id="rId20"/>
    <hyperlink xmlns:r="http://schemas.openxmlformats.org/officeDocument/2006/relationships" ref="F10" r:id="rId21"/>
    <hyperlink xmlns:r="http://schemas.openxmlformats.org/officeDocument/2006/relationships" ref="G10" r:id="rId22"/>
    <hyperlink xmlns:r="http://schemas.openxmlformats.org/officeDocument/2006/relationships" ref="H10" r:id="rId23"/>
    <hyperlink xmlns:r="http://schemas.openxmlformats.org/officeDocument/2006/relationships" ref="C12" r:id="rId24"/>
    <hyperlink xmlns:r="http://schemas.openxmlformats.org/officeDocument/2006/relationships" ref="E12" r:id="rId25"/>
    <hyperlink xmlns:r="http://schemas.openxmlformats.org/officeDocument/2006/relationships" ref="F12" r:id="rId26"/>
    <hyperlink xmlns:r="http://schemas.openxmlformats.org/officeDocument/2006/relationships" ref="G12" r:id="rId27"/>
    <hyperlink xmlns:r="http://schemas.openxmlformats.org/officeDocument/2006/relationships" ref="H12" r:id="rId28"/>
    <hyperlink xmlns:r="http://schemas.openxmlformats.org/officeDocument/2006/relationships" ref="C13" r:id="rId29"/>
    <hyperlink xmlns:r="http://schemas.openxmlformats.org/officeDocument/2006/relationships" ref="E13" r:id="rId30"/>
    <hyperlink xmlns:r="http://schemas.openxmlformats.org/officeDocument/2006/relationships" ref="F13" r:id="rId31"/>
    <hyperlink xmlns:r="http://schemas.openxmlformats.org/officeDocument/2006/relationships" ref="G13" r:id="rId32"/>
    <hyperlink xmlns:r="http://schemas.openxmlformats.org/officeDocument/2006/relationships" ref="H13" r:id="rId33"/>
    <hyperlink xmlns:r="http://schemas.openxmlformats.org/officeDocument/2006/relationships" ref="E14" r:id="rId34"/>
    <hyperlink xmlns:r="http://schemas.openxmlformats.org/officeDocument/2006/relationships" ref="F14" r:id="rId35"/>
    <hyperlink xmlns:r="http://schemas.openxmlformats.org/officeDocument/2006/relationships" ref="G14" r:id="rId36"/>
    <hyperlink xmlns:r="http://schemas.openxmlformats.org/officeDocument/2006/relationships" ref="H14" r:id="rId37"/>
    <hyperlink xmlns:r="http://schemas.openxmlformats.org/officeDocument/2006/relationships" ref="C15" r:id="rId38"/>
    <hyperlink xmlns:r="http://schemas.openxmlformats.org/officeDocument/2006/relationships" ref="E16" r:id="rId39"/>
    <hyperlink xmlns:r="http://schemas.openxmlformats.org/officeDocument/2006/relationships" ref="F16" r:id="rId40"/>
    <hyperlink xmlns:r="http://schemas.openxmlformats.org/officeDocument/2006/relationships" ref="G16" r:id="rId41"/>
    <hyperlink xmlns:r="http://schemas.openxmlformats.org/officeDocument/2006/relationships" ref="H16" r:id="rId42"/>
    <hyperlink xmlns:r="http://schemas.openxmlformats.org/officeDocument/2006/relationships" ref="C20" r:id="rId43"/>
    <hyperlink xmlns:r="http://schemas.openxmlformats.org/officeDocument/2006/relationships" ref="E20" r:id="rId44"/>
    <hyperlink xmlns:r="http://schemas.openxmlformats.org/officeDocument/2006/relationships" ref="F20" r:id="rId45"/>
    <hyperlink xmlns:r="http://schemas.openxmlformats.org/officeDocument/2006/relationships" ref="G20" r:id="rId46"/>
    <hyperlink xmlns:r="http://schemas.openxmlformats.org/officeDocument/2006/relationships" ref="H20" r:id="rId47"/>
    <hyperlink xmlns:r="http://schemas.openxmlformats.org/officeDocument/2006/relationships" ref="C21" r:id="rId48"/>
    <hyperlink xmlns:r="http://schemas.openxmlformats.org/officeDocument/2006/relationships" ref="E21" r:id="rId49"/>
    <hyperlink xmlns:r="http://schemas.openxmlformats.org/officeDocument/2006/relationships" ref="F21" r:id="rId50"/>
    <hyperlink xmlns:r="http://schemas.openxmlformats.org/officeDocument/2006/relationships" ref="G21" r:id="rId51"/>
    <hyperlink xmlns:r="http://schemas.openxmlformats.org/officeDocument/2006/relationships" ref="H21" r:id="rId52"/>
    <hyperlink xmlns:r="http://schemas.openxmlformats.org/officeDocument/2006/relationships" ref="C22" r:id="rId53"/>
    <hyperlink xmlns:r="http://schemas.openxmlformats.org/officeDocument/2006/relationships" ref="E22" r:id="rId54"/>
    <hyperlink xmlns:r="http://schemas.openxmlformats.org/officeDocument/2006/relationships" ref="F22" r:id="rId55"/>
    <hyperlink xmlns:r="http://schemas.openxmlformats.org/officeDocument/2006/relationships" ref="G22" r:id="rId56"/>
    <hyperlink xmlns:r="http://schemas.openxmlformats.org/officeDocument/2006/relationships" ref="H22" r:id="rId57"/>
    <hyperlink xmlns:r="http://schemas.openxmlformats.org/officeDocument/2006/relationships" ref="C23" r:id="rId58"/>
    <hyperlink xmlns:r="http://schemas.openxmlformats.org/officeDocument/2006/relationships" ref="E24" r:id="rId59"/>
    <hyperlink xmlns:r="http://schemas.openxmlformats.org/officeDocument/2006/relationships" ref="F24" r:id="rId60"/>
    <hyperlink xmlns:r="http://schemas.openxmlformats.org/officeDocument/2006/relationships" ref="G24" r:id="rId61"/>
    <hyperlink xmlns:r="http://schemas.openxmlformats.org/officeDocument/2006/relationships" ref="H24" r:id="rId62"/>
    <hyperlink xmlns:r="http://schemas.openxmlformats.org/officeDocument/2006/relationships" ref="C26" r:id="rId63"/>
    <hyperlink xmlns:r="http://schemas.openxmlformats.org/officeDocument/2006/relationships" ref="E26" r:id="rId64"/>
    <hyperlink xmlns:r="http://schemas.openxmlformats.org/officeDocument/2006/relationships" ref="F26" r:id="rId65"/>
    <hyperlink xmlns:r="http://schemas.openxmlformats.org/officeDocument/2006/relationships" ref="G26" r:id="rId66"/>
    <hyperlink xmlns:r="http://schemas.openxmlformats.org/officeDocument/2006/relationships" ref="H26" r:id="rId67"/>
    <hyperlink xmlns:r="http://schemas.openxmlformats.org/officeDocument/2006/relationships" ref="E27" r:id="rId68"/>
    <hyperlink xmlns:r="http://schemas.openxmlformats.org/officeDocument/2006/relationships" ref="F27" r:id="rId69"/>
    <hyperlink xmlns:r="http://schemas.openxmlformats.org/officeDocument/2006/relationships" ref="G27" r:id="rId70"/>
    <hyperlink xmlns:r="http://schemas.openxmlformats.org/officeDocument/2006/relationships" ref="H27" r:id="rId71"/>
    <hyperlink xmlns:r="http://schemas.openxmlformats.org/officeDocument/2006/relationships" ref="C28" r:id="rId72"/>
    <hyperlink xmlns:r="http://schemas.openxmlformats.org/officeDocument/2006/relationships" ref="E29" r:id="rId73"/>
    <hyperlink xmlns:r="http://schemas.openxmlformats.org/officeDocument/2006/relationships" ref="F29" r:id="rId74"/>
    <hyperlink xmlns:r="http://schemas.openxmlformats.org/officeDocument/2006/relationships" ref="G29" r:id="rId75"/>
    <hyperlink xmlns:r="http://schemas.openxmlformats.org/officeDocument/2006/relationships" ref="H29" r:id="rId76"/>
    <hyperlink xmlns:r="http://schemas.openxmlformats.org/officeDocument/2006/relationships" ref="C32" r:id="rId77"/>
    <hyperlink xmlns:r="http://schemas.openxmlformats.org/officeDocument/2006/relationships" ref="E32" r:id="rId78"/>
    <hyperlink xmlns:r="http://schemas.openxmlformats.org/officeDocument/2006/relationships" ref="F32" r:id="rId79"/>
    <hyperlink xmlns:r="http://schemas.openxmlformats.org/officeDocument/2006/relationships" ref="G32" r:id="rId80"/>
    <hyperlink xmlns:r="http://schemas.openxmlformats.org/officeDocument/2006/relationships" ref="H32" r:id="rId81"/>
    <hyperlink xmlns:r="http://schemas.openxmlformats.org/officeDocument/2006/relationships" ref="C33" r:id="rId82"/>
    <hyperlink xmlns:r="http://schemas.openxmlformats.org/officeDocument/2006/relationships" ref="E33" r:id="rId83"/>
    <hyperlink xmlns:r="http://schemas.openxmlformats.org/officeDocument/2006/relationships" ref="F33" r:id="rId84"/>
    <hyperlink xmlns:r="http://schemas.openxmlformats.org/officeDocument/2006/relationships" ref="G33" r:id="rId85"/>
    <hyperlink xmlns:r="http://schemas.openxmlformats.org/officeDocument/2006/relationships" ref="H33" r:id="rId86"/>
    <hyperlink xmlns:r="http://schemas.openxmlformats.org/officeDocument/2006/relationships" ref="E34" r:id="rId87"/>
    <hyperlink xmlns:r="http://schemas.openxmlformats.org/officeDocument/2006/relationships" ref="F34" r:id="rId88"/>
    <hyperlink xmlns:r="http://schemas.openxmlformats.org/officeDocument/2006/relationships" ref="G34" r:id="rId89"/>
    <hyperlink xmlns:r="http://schemas.openxmlformats.org/officeDocument/2006/relationships" ref="H34" r:id="rId90"/>
    <hyperlink xmlns:r="http://schemas.openxmlformats.org/officeDocument/2006/relationships" ref="E35" r:id="rId91"/>
    <hyperlink xmlns:r="http://schemas.openxmlformats.org/officeDocument/2006/relationships" ref="F35" r:id="rId92"/>
    <hyperlink xmlns:r="http://schemas.openxmlformats.org/officeDocument/2006/relationships" ref="G35" r:id="rId93"/>
    <hyperlink xmlns:r="http://schemas.openxmlformats.org/officeDocument/2006/relationships" ref="H35" r:id="rId9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4" customWidth="1" min="2" max="2"/>
    <col width="16" customWidth="1" min="3" max="3"/>
    <col width="3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16" customHeight="1">
      <c r="A1" s="12" t="inlineStr">
        <is>
          <t>CASH FLOW STATEMENT  (US$ thousands)</t>
        </is>
      </c>
      <c r="E1" s="13" t="inlineStr">
        <is>
          <t>FY2022</t>
        </is>
      </c>
      <c r="F1" s="13" t="inlineStr">
        <is>
          <t>FY2023</t>
        </is>
      </c>
      <c r="G1" s="13" t="inlineStr">
        <is>
          <t>FY2024</t>
        </is>
      </c>
      <c r="H1" s="13" t="inlineStr">
        <is>
          <t>FY2025</t>
        </is>
      </c>
      <c r="I1" s="14" t="inlineStr">
        <is>
          <t>FY2026E</t>
        </is>
      </c>
      <c r="J1" s="14" t="inlineStr">
        <is>
          <t>FY2027E</t>
        </is>
      </c>
      <c r="K1" s="14" t="inlineStr">
        <is>
          <t>FY2028E</t>
        </is>
      </c>
      <c r="L1" s="14" t="inlineStr">
        <is>
          <t>FY2029E</t>
        </is>
      </c>
      <c r="M1" s="14" t="inlineStr">
        <is>
          <t>FY2030E</t>
        </is>
      </c>
    </row>
    <row r="2">
      <c r="B2" s="15" t="inlineStr">
        <is>
          <t>Justification (~20 words)</t>
        </is>
      </c>
      <c r="C2" s="15" t="inlineStr">
        <is>
          <t>Source (click)</t>
        </is>
      </c>
      <c r="D2" s="15" t="inlineStr">
        <is>
          <t>Ctrl+F (prove number)</t>
        </is>
      </c>
      <c r="E2" s="30" t="inlineStr">
        <is>
          <t>10-K</t>
        </is>
      </c>
      <c r="F2" s="30" t="inlineStr">
        <is>
          <t>10-K</t>
        </is>
      </c>
      <c r="G2" s="30" t="inlineStr">
        <is>
          <t>10-K</t>
        </is>
      </c>
      <c r="H2" s="30" t="inlineStr">
        <is>
          <t>10-K</t>
        </is>
      </c>
      <c r="I2" s="31" t="inlineStr">
        <is>
          <t>Projected</t>
        </is>
      </c>
    </row>
    <row r="4">
      <c r="A4" s="17" t="inlineStr">
        <is>
          <t>OPERATING ACTIVITIES</t>
        </is>
      </c>
      <c r="E4" s="18" t="n"/>
      <c r="F4" s="18" t="n"/>
      <c r="G4" s="18" t="n"/>
      <c r="H4" s="18" t="n"/>
      <c r="I4" s="18" t="n"/>
      <c r="J4" s="18" t="n"/>
      <c r="K4" s="18" t="n"/>
      <c r="L4" s="18" t="n"/>
      <c r="M4" s="18" t="n"/>
    </row>
    <row r="5">
      <c r="A5" s="19" t="inlineStr">
        <is>
          <t>Net income</t>
        </is>
      </c>
      <c r="E5" s="32" t="n">
        <v>854800</v>
      </c>
      <c r="F5" s="32" t="n">
        <v>1550190</v>
      </c>
      <c r="G5" s="32" t="n">
        <v>1814616</v>
      </c>
      <c r="H5" s="32" t="n">
        <v>1579183</v>
      </c>
      <c r="I5" s="25">
        <f>'Income Statement'!I14</f>
        <v/>
      </c>
      <c r="J5" s="25">
        <f>'Income Statement'!J14</f>
        <v/>
      </c>
      <c r="K5" s="25">
        <f>'Income Statement'!K14</f>
        <v/>
      </c>
      <c r="L5" s="25">
        <f>'Income Statement'!L14</f>
        <v/>
      </c>
      <c r="M5" s="25">
        <f>'Income Statement'!M14</f>
        <v/>
      </c>
    </row>
    <row r="6" ht="28" customHeight="1">
      <c r="A6" s="19" t="inlineStr">
        <is>
          <t>Depreciation &amp; amortization</t>
        </is>
      </c>
      <c r="B6" s="20" t="inlineStr">
        <is>
          <t>D&amp;A 4.5–4.6% of revenue; tracks recent depreciation intensity on PPE and lease-related amortization.</t>
        </is>
      </c>
      <c r="C6" s="21" t="inlineStr">
        <is>
          <t>LULU CF statement (10-K)</t>
        </is>
      </c>
      <c r="D6" s="22" t="inlineStr">
        <is>
          <t>Ctrl+F "Depreciation and amortization" → 496,228 ÷ "Net revenue" 11,102,600 = 4.5%</t>
        </is>
      </c>
      <c r="E6" s="32" t="n">
        <v>291791</v>
      </c>
      <c r="F6" s="32" t="n">
        <v>379384</v>
      </c>
      <c r="G6" s="32" t="n">
        <v>446524</v>
      </c>
      <c r="H6" s="32" t="n">
        <v>496228</v>
      </c>
      <c r="I6" s="26">
        <f>'Income Statement'!I4*'Assumptions'!I13</f>
        <v/>
      </c>
      <c r="J6" s="26">
        <f>'Income Statement'!J4*'Assumptions'!J13</f>
        <v/>
      </c>
      <c r="K6" s="26">
        <f>'Income Statement'!K4*'Assumptions'!K13</f>
        <v/>
      </c>
      <c r="L6" s="26">
        <f>'Income Statement'!L4*'Assumptions'!L13</f>
        <v/>
      </c>
      <c r="M6" s="26">
        <f>'Income Statement'!M4*'Assumptions'!M13</f>
        <v/>
      </c>
    </row>
    <row r="7" ht="28" customHeight="1">
      <c r="A7" s="19" t="inlineStr">
        <is>
          <t>Stock-based compensation</t>
        </is>
      </c>
      <c r="B7" s="20" t="inlineStr">
        <is>
          <t>$62M SBC holds the FY25 10-K run-rate (Stock-based compensation expense 62,203).</t>
        </is>
      </c>
      <c r="C7" s="21" t="inlineStr">
        <is>
          <t>LULU CF statement (10-K)</t>
        </is>
      </c>
      <c r="D7" s="22" t="inlineStr">
        <is>
          <t>Ctrl+F "Stock-based compensation expense" → 62,203 on this 10-K HTML. Model $62,000.</t>
        </is>
      </c>
      <c r="E7" s="32" t="n">
        <v>78075</v>
      </c>
      <c r="F7" s="32" t="n">
        <v>93560</v>
      </c>
      <c r="G7" s="32" t="n">
        <v>90011</v>
      </c>
      <c r="H7" s="32" t="n">
        <v>62203</v>
      </c>
      <c r="I7" s="26">
        <f>'Assumptions'!I15</f>
        <v/>
      </c>
      <c r="J7" s="26">
        <f>'Assumptions'!J15</f>
        <v/>
      </c>
      <c r="K7" s="26">
        <f>'Assumptions'!K15</f>
        <v/>
      </c>
      <c r="L7" s="26">
        <f>'Assumptions'!L15</f>
        <v/>
      </c>
      <c r="M7" s="26">
        <f>'Assumptions'!M15</f>
        <v/>
      </c>
    </row>
    <row r="8" ht="28" customHeight="1">
      <c r="A8" s="19" t="inlineStr">
        <is>
          <t xml:space="preserve">  (Incr.)/decr. in accounts receivable</t>
        </is>
      </c>
      <c r="B8" s="20" t="inlineStr">
        <is>
          <t>AR 1.7% of sales = FY25 Accounts receivable, net 190,657 / 11,102,600. Wholesale and marketplace receivables; hold the FY25 mix.</t>
        </is>
      </c>
      <c r="C8" s="21" t="inlineStr">
        <is>
          <t>LULU FY2025 10-K: Accounts receivable, net</t>
        </is>
      </c>
      <c r="D8" s="22" t="inlineStr">
        <is>
          <t>Ctrl+F "Accounts receivable, net" (one hit on the BS) → 190,657 ($000). 190,657 / 11,102,600 = 1.7% of sales. Model holds 1.7%.</t>
        </is>
      </c>
      <c r="E8" s="46" t="inlineStr">
        <is>
          <t>—</t>
        </is>
      </c>
      <c r="F8" s="46" t="inlineStr">
        <is>
          <t>—</t>
        </is>
      </c>
      <c r="G8" s="46" t="inlineStr">
        <is>
          <t>—</t>
        </is>
      </c>
      <c r="H8" s="46" t="inlineStr">
        <is>
          <t>—</t>
        </is>
      </c>
      <c r="I8" s="26">
        <f>-('Balance Sheet'!I7-'Balance Sheet'!H7)</f>
        <v/>
      </c>
      <c r="J8" s="26">
        <f>-('Balance Sheet'!J7-'Balance Sheet'!I7)</f>
        <v/>
      </c>
      <c r="K8" s="26">
        <f>-('Balance Sheet'!K7-'Balance Sheet'!J7)</f>
        <v/>
      </c>
      <c r="L8" s="26">
        <f>-('Balance Sheet'!L7-'Balance Sheet'!K7)</f>
        <v/>
      </c>
      <c r="M8" s="26">
        <f>-('Balance Sheet'!M7-'Balance Sheet'!L7)</f>
        <v/>
      </c>
    </row>
    <row r="9" ht="28" customHeight="1">
      <c r="A9" s="19" t="inlineStr">
        <is>
          <t xml:space="preserve">  (Incr.)/decr. in inventories</t>
        </is>
      </c>
      <c r="B9" s="20" t="inlineStr">
        <is>
          <t>Inventory 33–34% of COGS; slight normalization from FY25 build as Americas demand softens and clears.</t>
        </is>
      </c>
      <c r="C9" s="21" t="inlineStr">
        <is>
          <t>LULU balance sheet (10-K)</t>
        </is>
      </c>
      <c r="D9" s="22" t="inlineStr">
        <is>
          <t>Ctrl+F "Inventories" → 1,700,753 ÷ "Cost of goods sold" 4,818,468 = 35.3%</t>
        </is>
      </c>
      <c r="E9" s="46" t="inlineStr">
        <is>
          <t>—</t>
        </is>
      </c>
      <c r="F9" s="46" t="inlineStr">
        <is>
          <t>—</t>
        </is>
      </c>
      <c r="G9" s="46" t="inlineStr">
        <is>
          <t>—</t>
        </is>
      </c>
      <c r="H9" s="46" t="inlineStr">
        <is>
          <t>—</t>
        </is>
      </c>
      <c r="I9" s="26">
        <f>-('Balance Sheet'!I8-'Balance Sheet'!H8)</f>
        <v/>
      </c>
      <c r="J9" s="26">
        <f>-('Balance Sheet'!J8-'Balance Sheet'!I8)</f>
        <v/>
      </c>
      <c r="K9" s="26">
        <f>-('Balance Sheet'!K8-'Balance Sheet'!J8)</f>
        <v/>
      </c>
      <c r="L9" s="26">
        <f>-('Balance Sheet'!L8-'Balance Sheet'!K8)</f>
        <v/>
      </c>
      <c r="M9" s="26">
        <f>-('Balance Sheet'!M8-'Balance Sheet'!L8)</f>
        <v/>
      </c>
    </row>
    <row r="10" ht="28" customHeight="1">
      <c r="A10" s="19" t="inlineStr">
        <is>
          <t xml:space="preserve">  (Incr.)/decr. in other current assets</t>
        </is>
      </c>
      <c r="B10" s="20" t="inlineStr">
        <is>
          <t>OCA 5.1% is current assets minus cash, AR, and inventory (prepaids / tax receivables). AR is its own line, not inside OCA.</t>
        </is>
      </c>
      <c r="C10" s="21" t="inlineStr">
        <is>
          <t>LULU balance sheet (10-K)</t>
        </is>
      </c>
      <c r="D10" s="22" t="inlineStr">
        <is>
          <t>OCA = "Total current assets" 4,262,701 − cash 1,807,202 − "Accounts receivable, net" 190,657 − "Inventories" 1,700,753 = 564,089 (5.1% of sales). AR is not inside this residual.</t>
        </is>
      </c>
      <c r="E10" s="46" t="inlineStr">
        <is>
          <t>—</t>
        </is>
      </c>
      <c r="F10" s="46" t="inlineStr">
        <is>
          <t>—</t>
        </is>
      </c>
      <c r="G10" s="46" t="inlineStr">
        <is>
          <t>—</t>
        </is>
      </c>
      <c r="H10" s="46" t="inlineStr">
        <is>
          <t>—</t>
        </is>
      </c>
      <c r="I10" s="26">
        <f>-('Balance Sheet'!I9-'Balance Sheet'!H9)</f>
        <v/>
      </c>
      <c r="J10" s="26">
        <f>-('Balance Sheet'!J9-'Balance Sheet'!I9)</f>
        <v/>
      </c>
      <c r="K10" s="26">
        <f>-('Balance Sheet'!K9-'Balance Sheet'!J9)</f>
        <v/>
      </c>
      <c r="L10" s="26">
        <f>-('Balance Sheet'!L9-'Balance Sheet'!K9)</f>
        <v/>
      </c>
      <c r="M10" s="26">
        <f>-('Balance Sheet'!M9-'Balance Sheet'!L9)</f>
        <v/>
      </c>
    </row>
    <row r="11" ht="28" customHeight="1">
      <c r="A11" s="19" t="inlineStr">
        <is>
          <t xml:space="preserve">  (Incr.)/decr. in ROU assets</t>
        </is>
      </c>
      <c r="B11" s="20" t="inlineStr">
        <is>
          <t>ROU assets 14.7% of revenue; lease-intensive store model, stable vs FY25 operating lease footprint.</t>
        </is>
      </c>
      <c r="C11" s="21" t="inlineStr">
        <is>
          <t>LULU lease disclosures (10-K)</t>
        </is>
      </c>
      <c r="D11" s="22" t="inlineStr">
        <is>
          <t>Ctrl+F "Right-of-use lease assets" → 1,630,181 ÷ "Net revenue" 11,102,600 = 14.7%</t>
        </is>
      </c>
      <c r="E11" s="46" t="inlineStr">
        <is>
          <t>—</t>
        </is>
      </c>
      <c r="F11" s="46" t="inlineStr">
        <is>
          <t>—</t>
        </is>
      </c>
      <c r="G11" s="46" t="inlineStr">
        <is>
          <t>—</t>
        </is>
      </c>
      <c r="H11" s="46" t="inlineStr">
        <is>
          <t>—</t>
        </is>
      </c>
      <c r="I11" s="26">
        <f>-('Balance Sheet'!I13-'Balance Sheet'!H13)</f>
        <v/>
      </c>
      <c r="J11" s="26">
        <f>-('Balance Sheet'!J13-'Balance Sheet'!I13)</f>
        <v/>
      </c>
      <c r="K11" s="26">
        <f>-('Balance Sheet'!K13-'Balance Sheet'!J13)</f>
        <v/>
      </c>
      <c r="L11" s="26">
        <f>-('Balance Sheet'!L13-'Balance Sheet'!K13)</f>
        <v/>
      </c>
      <c r="M11" s="26">
        <f>-('Balance Sheet'!M13-'Balance Sheet'!L13)</f>
        <v/>
      </c>
    </row>
    <row r="12" ht="28" customHeight="1">
      <c r="A12" s="19" t="inlineStr">
        <is>
          <t xml:space="preserve">  (Incr.)/decr. in other non-current assets</t>
        </is>
      </c>
      <c r="B12" s="20" t="inlineStr">
        <is>
          <t>ONCA 3.0% = FY25 total assets − CA − PPE − ROU − GW (338,947); matches earnings 'deferred taxes and other NC assets'.</t>
        </is>
      </c>
      <c r="C12" s="21" t="inlineStr">
        <is>
          <t>LULU balance sheet (10-K)</t>
        </is>
      </c>
      <c r="D12" s="22" t="inlineStr">
        <is>
          <t>Ctrl+F "Total assets" 8,456,743 − current assets − "Property and equipment, net" − "Right-of-use lease assets" − goodwill/intangibles = 338,947 (3.0%)</t>
        </is>
      </c>
      <c r="E12" s="46" t="inlineStr">
        <is>
          <t>—</t>
        </is>
      </c>
      <c r="F12" s="46" t="inlineStr">
        <is>
          <t>—</t>
        </is>
      </c>
      <c r="G12" s="46" t="inlineStr">
        <is>
          <t>—</t>
        </is>
      </c>
      <c r="H12" s="46" t="inlineStr">
        <is>
          <t>—</t>
        </is>
      </c>
      <c r="I12" s="26">
        <f>-('Balance Sheet'!I15-'Balance Sheet'!H15)</f>
        <v/>
      </c>
      <c r="J12" s="26">
        <f>-('Balance Sheet'!J15-'Balance Sheet'!I15)</f>
        <v/>
      </c>
      <c r="K12" s="26">
        <f>-('Balance Sheet'!K15-'Balance Sheet'!J15)</f>
        <v/>
      </c>
      <c r="L12" s="26">
        <f>-('Balance Sheet'!L15-'Balance Sheet'!K15)</f>
        <v/>
      </c>
      <c r="M12" s="26">
        <f>-('Balance Sheet'!M15-'Balance Sheet'!L15)</f>
        <v/>
      </c>
    </row>
    <row r="13" ht="28" customHeight="1">
      <c r="A13" s="19" t="inlineStr">
        <is>
          <t xml:space="preserve">  Incr./(decr.) in accounts payable</t>
        </is>
      </c>
      <c r="B13" s="20" t="inlineStr">
        <is>
          <t>AP 6.8% of COGS; holds near FY25 level reflecting vendor terms and production payment cadence.</t>
        </is>
      </c>
      <c r="C13" s="21" t="inlineStr">
        <is>
          <t>LULU balance sheet (10-K)</t>
        </is>
      </c>
      <c r="D13" s="22" t="inlineStr">
        <is>
          <t>Ctrl+F "Accounts payable" → 331,421 ÷ "Cost of goods sold" 4,818,468 = 6.9%</t>
        </is>
      </c>
      <c r="E13" s="46" t="inlineStr">
        <is>
          <t>—</t>
        </is>
      </c>
      <c r="F13" s="46" t="inlineStr">
        <is>
          <t>—</t>
        </is>
      </c>
      <c r="G13" s="46" t="inlineStr">
        <is>
          <t>—</t>
        </is>
      </c>
      <c r="H13" s="46" t="inlineStr">
        <is>
          <t>—</t>
        </is>
      </c>
      <c r="I13" s="26">
        <f>('Balance Sheet'!I20-'Balance Sheet'!H20)</f>
        <v/>
      </c>
      <c r="J13" s="26">
        <f>('Balance Sheet'!J20-'Balance Sheet'!I20)</f>
        <v/>
      </c>
      <c r="K13" s="26">
        <f>('Balance Sheet'!K20-'Balance Sheet'!J20)</f>
        <v/>
      </c>
      <c r="L13" s="26">
        <f>('Balance Sheet'!L20-'Balance Sheet'!K20)</f>
        <v/>
      </c>
      <c r="M13" s="26">
        <f>('Balance Sheet'!M20-'Balance Sheet'!L20)</f>
        <v/>
      </c>
    </row>
    <row r="14" ht="28" customHeight="1">
      <c r="A14" s="19" t="inlineStr">
        <is>
          <t xml:space="preserve">  Incr./(decr.) in accrued liabilities</t>
        </is>
      </c>
      <c r="B14" s="20" t="inlineStr">
        <is>
          <t>Accrued liabilities 5.8% of revenue; stable comp, marketing, and operating accrual ratio.</t>
        </is>
      </c>
      <c r="C14" s="21" t="inlineStr">
        <is>
          <t>LULU balance sheet (10-K)</t>
        </is>
      </c>
      <c r="D14" s="22" t="inlineStr">
        <is>
          <t>Ctrl+F "Accrued liabilities and other" → 662,982 ÷ "Net revenue" 11,102,600 = 6.0%</t>
        </is>
      </c>
      <c r="E14" s="46" t="inlineStr">
        <is>
          <t>—</t>
        </is>
      </c>
      <c r="F14" s="46" t="inlineStr">
        <is>
          <t>—</t>
        </is>
      </c>
      <c r="G14" s="46" t="inlineStr">
        <is>
          <t>—</t>
        </is>
      </c>
      <c r="H14" s="46" t="inlineStr">
        <is>
          <t>—</t>
        </is>
      </c>
      <c r="I14" s="26">
        <f>('Balance Sheet'!I21-'Balance Sheet'!H21)</f>
        <v/>
      </c>
      <c r="J14" s="26">
        <f>('Balance Sheet'!J21-'Balance Sheet'!I21)</f>
        <v/>
      </c>
      <c r="K14" s="26">
        <f>('Balance Sheet'!K21-'Balance Sheet'!J21)</f>
        <v/>
      </c>
      <c r="L14" s="26">
        <f>('Balance Sheet'!L21-'Balance Sheet'!K21)</f>
        <v/>
      </c>
      <c r="M14" s="26">
        <f>('Balance Sheet'!M21-'Balance Sheet'!L21)</f>
        <v/>
      </c>
    </row>
    <row r="15" ht="28" customHeight="1">
      <c r="A15" s="19" t="inlineStr">
        <is>
          <t xml:space="preserve">  Incr./(decr.) in other current liabilities</t>
        </is>
      </c>
      <c r="B15" s="20" t="inlineStr">
        <is>
          <t>OCL 5.5% = FY25 current liabilities minus AP, accrued, and current leases (residual ~594k); not the 45,954 'other' line alone.</t>
        </is>
      </c>
      <c r="C15" s="21" t="inlineStr">
        <is>
          <t>LULU balance sheet (10-K)</t>
        </is>
      </c>
      <c r="D15" s="22" t="inlineStr">
        <is>
          <t>Ctrl+F "Total current liabilities" 1,887,548 − "Accounts payable" 331,421 − "Accrued liabilities and other" 662,982 − "Current lease liabilities" 298,724 ≈ 594,421 (5.4%)</t>
        </is>
      </c>
      <c r="E15" s="46" t="inlineStr">
        <is>
          <t>—</t>
        </is>
      </c>
      <c r="F15" s="46" t="inlineStr">
        <is>
          <t>—</t>
        </is>
      </c>
      <c r="G15" s="46" t="inlineStr">
        <is>
          <t>—</t>
        </is>
      </c>
      <c r="H15" s="46" t="inlineStr">
        <is>
          <t>—</t>
        </is>
      </c>
      <c r="I15" s="26">
        <f>('Balance Sheet'!I23-'Balance Sheet'!H23)</f>
        <v/>
      </c>
      <c r="J15" s="26">
        <f>('Balance Sheet'!J23-'Balance Sheet'!I23)</f>
        <v/>
      </c>
      <c r="K15" s="26">
        <f>('Balance Sheet'!K23-'Balance Sheet'!J23)</f>
        <v/>
      </c>
      <c r="L15" s="26">
        <f>('Balance Sheet'!L23-'Balance Sheet'!K23)</f>
        <v/>
      </c>
      <c r="M15" s="26">
        <f>('Balance Sheet'!M23-'Balance Sheet'!L23)</f>
        <v/>
      </c>
    </row>
    <row r="16" ht="28" customHeight="1">
      <c r="A16" s="19" t="inlineStr">
        <is>
          <t xml:space="preserve">  Incr./(decr.) in operating lease liab.</t>
        </is>
      </c>
      <c r="B16" s="20" t="inlineStr">
        <is>
          <t>Current lease liabilities 2.7% of revenue; short-term portion of operating lease obligations.</t>
        </is>
      </c>
      <c r="C16" s="21" t="inlineStr">
        <is>
          <t>LULU lease disclosures (10-K)</t>
        </is>
      </c>
      <c r="D16" s="22" t="inlineStr">
        <is>
          <t>Ctrl+F "Current lease liabilities" → 298,724 ÷ "Net revenue" 11,102,600 = 2.7%</t>
        </is>
      </c>
      <c r="E16" s="46" t="inlineStr">
        <is>
          <t>—</t>
        </is>
      </c>
      <c r="F16" s="46" t="inlineStr">
        <is>
          <t>—</t>
        </is>
      </c>
      <c r="G16" s="46" t="inlineStr">
        <is>
          <t>—</t>
        </is>
      </c>
      <c r="H16" s="46" t="inlineStr">
        <is>
          <t>—</t>
        </is>
      </c>
      <c r="I16" s="26">
        <f>('Balance Sheet'!I22-'Balance Sheet'!H22)+('Balance Sheet'!I26-'Balance Sheet'!H26)</f>
        <v/>
      </c>
      <c r="J16" s="26">
        <f>('Balance Sheet'!J22-'Balance Sheet'!I22)+('Balance Sheet'!J26-'Balance Sheet'!I26)</f>
        <v/>
      </c>
      <c r="K16" s="26">
        <f>('Balance Sheet'!K22-'Balance Sheet'!J22)+('Balance Sheet'!K26-'Balance Sheet'!J26)</f>
        <v/>
      </c>
      <c r="L16" s="26">
        <f>('Balance Sheet'!L22-'Balance Sheet'!K22)+('Balance Sheet'!L26-'Balance Sheet'!K26)</f>
        <v/>
      </c>
      <c r="M16" s="26">
        <f>('Balance Sheet'!M22-'Balance Sheet'!L22)+('Balance Sheet'!M26-'Balance Sheet'!L26)</f>
        <v/>
      </c>
    </row>
    <row r="17">
      <c r="A17" s="19" t="inlineStr">
        <is>
          <t xml:space="preserve">  Incr./(decr.) in deferred income taxes</t>
        </is>
      </c>
      <c r="E17" s="46" t="inlineStr">
        <is>
          <t>—</t>
        </is>
      </c>
      <c r="F17" s="46" t="inlineStr">
        <is>
          <t>—</t>
        </is>
      </c>
      <c r="G17" s="46" t="inlineStr">
        <is>
          <t>—</t>
        </is>
      </c>
      <c r="H17" s="46" t="inlineStr">
        <is>
          <t>—</t>
        </is>
      </c>
      <c r="I17" s="25">
        <f>('Balance Sheet'!I27-'Balance Sheet'!H27)</f>
        <v/>
      </c>
      <c r="J17" s="25">
        <f>('Balance Sheet'!J27-'Balance Sheet'!I27)</f>
        <v/>
      </c>
      <c r="K17" s="25">
        <f>('Balance Sheet'!K27-'Balance Sheet'!J27)</f>
        <v/>
      </c>
      <c r="L17" s="25">
        <f>('Balance Sheet'!L27-'Balance Sheet'!K27)</f>
        <v/>
      </c>
      <c r="M17" s="25">
        <f>('Balance Sheet'!M27-'Balance Sheet'!L27)</f>
        <v/>
      </c>
    </row>
    <row r="18">
      <c r="A18" s="19" t="inlineStr">
        <is>
          <t xml:space="preserve">  Incr./(decr.) in other non-current liab.</t>
        </is>
      </c>
      <c r="E18" s="46" t="inlineStr">
        <is>
          <t>—</t>
        </is>
      </c>
      <c r="F18" s="46" t="inlineStr">
        <is>
          <t>—</t>
        </is>
      </c>
      <c r="G18" s="46" t="inlineStr">
        <is>
          <t>—</t>
        </is>
      </c>
      <c r="H18" s="46" t="inlineStr">
        <is>
          <t>—</t>
        </is>
      </c>
      <c r="I18" s="25">
        <f>('Balance Sheet'!I28-'Balance Sheet'!H28)</f>
        <v/>
      </c>
      <c r="J18" s="25">
        <f>('Balance Sheet'!J28-'Balance Sheet'!I28)</f>
        <v/>
      </c>
      <c r="K18" s="25">
        <f>('Balance Sheet'!K28-'Balance Sheet'!J28)</f>
        <v/>
      </c>
      <c r="L18" s="25">
        <f>('Balance Sheet'!L28-'Balance Sheet'!K28)</f>
        <v/>
      </c>
      <c r="M18" s="25">
        <f>('Balance Sheet'!M28-'Balance Sheet'!L28)</f>
        <v/>
      </c>
    </row>
    <row r="19">
      <c r="A19" s="19" t="inlineStr">
        <is>
          <t xml:space="preserve">  Working capital &amp; other (reported, net)</t>
        </is>
      </c>
      <c r="E19" s="25">
        <f>E20-E5-E6-E7</f>
        <v/>
      </c>
      <c r="F19" s="25">
        <f>F20-F5-F6-F7</f>
        <v/>
      </c>
      <c r="G19" s="25">
        <f>G20-G5-G6-G7</f>
        <v/>
      </c>
      <c r="H19" s="25">
        <f>H20-H5-H6-H7</f>
        <v/>
      </c>
    </row>
    <row r="20">
      <c r="A20" s="33" t="inlineStr">
        <is>
          <t>Net cash from operating activities</t>
        </is>
      </c>
      <c r="E20" s="43" t="n">
        <v>966463</v>
      </c>
      <c r="F20" s="43" t="n">
        <v>2296164</v>
      </c>
      <c r="G20" s="43" t="n">
        <v>2272713</v>
      </c>
      <c r="H20" s="43" t="n">
        <v>1602477</v>
      </c>
      <c r="I20" s="34">
        <f>I5+I6+I7+SUM(I8:I18)</f>
        <v/>
      </c>
      <c r="J20" s="34">
        <f>J5+J6+J7+SUM(J8:J18)</f>
        <v/>
      </c>
      <c r="K20" s="34">
        <f>K5+K6+K7+SUM(K8:K18)</f>
        <v/>
      </c>
      <c r="L20" s="34">
        <f>L5+L6+L7+SUM(L8:L18)</f>
        <v/>
      </c>
      <c r="M20" s="34">
        <f>M5+M6+M7+SUM(M8:M18)</f>
        <v/>
      </c>
    </row>
    <row r="22">
      <c r="A22" s="17" t="inlineStr">
        <is>
          <t>INVESTING ACTIVITIES</t>
        </is>
      </c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</row>
    <row r="23" ht="150" customHeight="1">
      <c r="A23" s="19" t="inlineStr">
        <is>
          <t>Capital expenditures</t>
        </is>
      </c>
      <c r="B23" s="20" t="inlineStr">
        <is>
          <t>FY26 7.0% is $735M / $10.4B, not / FY25 $11.1B. Since 7.0% steps toward FY25 6.1%, we assume a fade: 7.0 / 6.0 / 5.5 / 5.0 / 5.0.</t>
        </is>
      </c>
      <c r="C23" s="21" t="inlineStr">
        <is>
          <t>LULU CF statement (10-K)</t>
        </is>
      </c>
      <c r="D23" s="22" t="inlineStr">
        <is>
          <t>FY25 actual (10-K)
  Ctrl+F "680,802"  →  capex $680.8M
  Ctrl+F "11,102,600"  →  sales $11.1B
  680.8 / 11,102.6 = 6.1%
FY26 capex (10-K)
  Ctrl+F "$725.0 million and $745.0 million"  →  mid $735M
FY26 sales (earnings)
  Ctrl+F "$10.350 billion to $10.500 billion"  →  $10.35–$10.50B (mid $10.425B)
  7.0% = $735M / $10.425B    ($10B year, not FY25 $11.1B)
DCF blend
  Fade  7.0 / 6.0 / 5.5 / 5.0 / 4.0
  5.5% = (7.0+6.0+5.5+5.0+4.0)/5</t>
        </is>
      </c>
      <c r="E23" s="32" t="n">
        <v>-638657</v>
      </c>
      <c r="F23" s="32" t="n">
        <v>-651865</v>
      </c>
      <c r="G23" s="32" t="n">
        <v>-689232</v>
      </c>
      <c r="H23" s="32" t="n">
        <v>-680802</v>
      </c>
      <c r="I23" s="26">
        <f>-'Income Statement'!I4*'Assumptions'!I14</f>
        <v/>
      </c>
      <c r="J23" s="26">
        <f>-'Income Statement'!J4*'Assumptions'!J14</f>
        <v/>
      </c>
      <c r="K23" s="26">
        <f>-'Income Statement'!K4*'Assumptions'!K14</f>
        <v/>
      </c>
      <c r="L23" s="26">
        <f>-'Income Statement'!L4*'Assumptions'!L14</f>
        <v/>
      </c>
      <c r="M23" s="26">
        <f>-'Income Statement'!M4*'Assumptions'!M14</f>
        <v/>
      </c>
    </row>
    <row r="24">
      <c r="A24" s="33" t="inlineStr">
        <is>
          <t>Net cash from investing activities</t>
        </is>
      </c>
      <c r="E24" s="43" t="n">
        <v>-569937</v>
      </c>
      <c r="F24" s="43" t="n">
        <v>-654132</v>
      </c>
      <c r="G24" s="43" t="n">
        <v>-798174</v>
      </c>
      <c r="H24" s="43" t="n">
        <v>-662118</v>
      </c>
      <c r="I24" s="34">
        <f>I23</f>
        <v/>
      </c>
      <c r="J24" s="34">
        <f>J23</f>
        <v/>
      </c>
      <c r="K24" s="34">
        <f>K23</f>
        <v/>
      </c>
      <c r="L24" s="34">
        <f>L23</f>
        <v/>
      </c>
      <c r="M24" s="34">
        <f>M23</f>
        <v/>
      </c>
    </row>
    <row r="25">
      <c r="A25" s="29" t="inlineStr">
        <is>
          <t xml:space="preserve">  (Projections: investing ≈ capex; excl. M&amp;A / securities)</t>
        </is>
      </c>
    </row>
    <row r="27">
      <c r="A27" s="17" t="inlineStr">
        <is>
          <t>FINANCING ACTIVITIES</t>
        </is>
      </c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</row>
    <row r="28" ht="28" customHeight="1">
      <c r="A28" s="19" t="inlineStr">
        <is>
          <t>Repurchase of common stock</t>
        </is>
      </c>
      <c r="B28" s="20" t="inlineStr">
        <is>
          <t>$500M annual repurchases; continued capital return at moderated pace vs FY24–25 peak buyback levels.</t>
        </is>
      </c>
      <c r="C28" s="21" t="inlineStr">
        <is>
          <t>LULU CF: share repurchases (10-K)</t>
        </is>
      </c>
      <c r="D28" s="22" t="inlineStr">
        <is>
          <t>Ctrl+F "Repurchase of common stock" → ( 1,178,349 ) ($000) FY25; model (500,000)/yr</t>
        </is>
      </c>
      <c r="E28" s="32" t="n">
        <v>-444001</v>
      </c>
      <c r="F28" s="32" t="n">
        <v>-558652</v>
      </c>
      <c r="G28" s="32" t="n">
        <v>-1636879</v>
      </c>
      <c r="H28" s="32" t="n">
        <v>-1178349</v>
      </c>
      <c r="I28" s="26">
        <f>-'Assumptions'!I29</f>
        <v/>
      </c>
      <c r="J28" s="26">
        <f>-'Assumptions'!J29</f>
        <v/>
      </c>
      <c r="K28" s="26">
        <f>-'Assumptions'!K29</f>
        <v/>
      </c>
      <c r="L28" s="26">
        <f>-'Assumptions'!L29</f>
        <v/>
      </c>
      <c r="M28" s="26">
        <f>-'Assumptions'!M29</f>
        <v/>
      </c>
    </row>
    <row r="29">
      <c r="A29" s="33" t="inlineStr">
        <is>
          <t>Net cash from financing activities</t>
        </is>
      </c>
      <c r="E29" s="43" t="n">
        <v>-467487</v>
      </c>
      <c r="F29" s="43" t="n">
        <v>-548828</v>
      </c>
      <c r="G29" s="43" t="n">
        <v>-1652508</v>
      </c>
      <c r="H29" s="43" t="n">
        <v>-1208656</v>
      </c>
      <c r="I29" s="34">
        <f>I28</f>
        <v/>
      </c>
      <c r="J29" s="34">
        <f>J28</f>
        <v/>
      </c>
      <c r="K29" s="34">
        <f>K28</f>
        <v/>
      </c>
      <c r="L29" s="34">
        <f>L28</f>
        <v/>
      </c>
      <c r="M29" s="34">
        <f>M28</f>
        <v/>
      </c>
    </row>
    <row r="30">
      <c r="A30" s="29" t="inlineStr">
        <is>
          <t xml:space="preserve">  (Projections: financing ≈ buybacks; SBC non-cash in equity)</t>
        </is>
      </c>
    </row>
    <row r="32">
      <c r="A32" s="33" t="inlineStr">
        <is>
          <t>Net change in cash</t>
        </is>
      </c>
      <c r="E32" s="34">
        <f>E20+E24+E29</f>
        <v/>
      </c>
      <c r="F32" s="34">
        <f>F20+F24+F29</f>
        <v/>
      </c>
      <c r="G32" s="34">
        <f>G20+G24+G29</f>
        <v/>
      </c>
      <c r="H32" s="34">
        <f>H20+H24+H29</f>
        <v/>
      </c>
      <c r="I32" s="34">
        <f>I20+I24+I29</f>
        <v/>
      </c>
      <c r="J32" s="34">
        <f>J20+J24+J29</f>
        <v/>
      </c>
      <c r="K32" s="34">
        <f>K20+K24+K29</f>
        <v/>
      </c>
      <c r="L32" s="34">
        <f>L20+L24+L29</f>
        <v/>
      </c>
      <c r="M32" s="34">
        <f>M20+M24+M29</f>
        <v/>
      </c>
    </row>
    <row r="33">
      <c r="A33" s="19" t="inlineStr">
        <is>
          <t>Cash, beginning of year</t>
        </is>
      </c>
      <c r="E33" s="32" t="n">
        <v>1150517</v>
      </c>
      <c r="F33" s="32" t="n">
        <v>1154867</v>
      </c>
      <c r="G33" s="32" t="n">
        <v>2243971</v>
      </c>
      <c r="H33" s="32" t="n">
        <v>1984336</v>
      </c>
      <c r="I33" s="25">
        <f>H34</f>
        <v/>
      </c>
      <c r="J33" s="25">
        <f>I34</f>
        <v/>
      </c>
      <c r="K33" s="25">
        <f>J34</f>
        <v/>
      </c>
      <c r="L33" s="25">
        <f>K34</f>
        <v/>
      </c>
      <c r="M33" s="25">
        <f>L34</f>
        <v/>
      </c>
    </row>
    <row r="34">
      <c r="A34" s="33" t="inlineStr">
        <is>
          <t>Cash, end of year</t>
        </is>
      </c>
      <c r="E34" s="44" t="n">
        <v>1154867</v>
      </c>
      <c r="F34" s="44" t="n">
        <v>2243971</v>
      </c>
      <c r="G34" s="44" t="n">
        <v>1984336</v>
      </c>
      <c r="H34" s="44" t="n">
        <v>1807202</v>
      </c>
      <c r="I34" s="35">
        <f>I33+I32</f>
        <v/>
      </c>
      <c r="J34" s="35">
        <f>J33+J32</f>
        <v/>
      </c>
      <c r="K34" s="35">
        <f>K33+K32</f>
        <v/>
      </c>
      <c r="L34" s="35">
        <f>L33+L32</f>
        <v/>
      </c>
      <c r="M34" s="35">
        <f>M33+M32</f>
        <v/>
      </c>
    </row>
  </sheetData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G2" r:id="rId3"/>
    <hyperlink xmlns:r="http://schemas.openxmlformats.org/officeDocument/2006/relationships" ref="H2" r:id="rId4"/>
    <hyperlink xmlns:r="http://schemas.openxmlformats.org/officeDocument/2006/relationships" ref="E5" r:id="rId5"/>
    <hyperlink xmlns:r="http://schemas.openxmlformats.org/officeDocument/2006/relationships" ref="F5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C6" r:id="rId9"/>
    <hyperlink xmlns:r="http://schemas.openxmlformats.org/officeDocument/2006/relationships" ref="E6" r:id="rId10"/>
    <hyperlink xmlns:r="http://schemas.openxmlformats.org/officeDocument/2006/relationships" ref="F6" r:id="rId11"/>
    <hyperlink xmlns:r="http://schemas.openxmlformats.org/officeDocument/2006/relationships" ref="G6" r:id="rId12"/>
    <hyperlink xmlns:r="http://schemas.openxmlformats.org/officeDocument/2006/relationships" ref="H6" r:id="rId13"/>
    <hyperlink xmlns:r="http://schemas.openxmlformats.org/officeDocument/2006/relationships" ref="C7" r:id="rId14"/>
    <hyperlink xmlns:r="http://schemas.openxmlformats.org/officeDocument/2006/relationships" ref="E7" r:id="rId15"/>
    <hyperlink xmlns:r="http://schemas.openxmlformats.org/officeDocument/2006/relationships" ref="F7" r:id="rId16"/>
    <hyperlink xmlns:r="http://schemas.openxmlformats.org/officeDocument/2006/relationships" ref="G7" r:id="rId17"/>
    <hyperlink xmlns:r="http://schemas.openxmlformats.org/officeDocument/2006/relationships" ref="H7" r:id="rId18"/>
    <hyperlink xmlns:r="http://schemas.openxmlformats.org/officeDocument/2006/relationships" ref="C8" r:id="rId19"/>
    <hyperlink xmlns:r="http://schemas.openxmlformats.org/officeDocument/2006/relationships" ref="C9" r:id="rId20"/>
    <hyperlink xmlns:r="http://schemas.openxmlformats.org/officeDocument/2006/relationships" ref="C10" r:id="rId21"/>
    <hyperlink xmlns:r="http://schemas.openxmlformats.org/officeDocument/2006/relationships" ref="C11" r:id="rId22"/>
    <hyperlink xmlns:r="http://schemas.openxmlformats.org/officeDocument/2006/relationships" ref="C12" r:id="rId23"/>
    <hyperlink xmlns:r="http://schemas.openxmlformats.org/officeDocument/2006/relationships" ref="C13" r:id="rId24"/>
    <hyperlink xmlns:r="http://schemas.openxmlformats.org/officeDocument/2006/relationships" ref="C14" r:id="rId25"/>
    <hyperlink xmlns:r="http://schemas.openxmlformats.org/officeDocument/2006/relationships" ref="C15" r:id="rId26"/>
    <hyperlink xmlns:r="http://schemas.openxmlformats.org/officeDocument/2006/relationships" ref="C16" r:id="rId27"/>
    <hyperlink xmlns:r="http://schemas.openxmlformats.org/officeDocument/2006/relationships" ref="E20" r:id="rId28"/>
    <hyperlink xmlns:r="http://schemas.openxmlformats.org/officeDocument/2006/relationships" ref="F20" r:id="rId29"/>
    <hyperlink xmlns:r="http://schemas.openxmlformats.org/officeDocument/2006/relationships" ref="G20" r:id="rId30"/>
    <hyperlink xmlns:r="http://schemas.openxmlformats.org/officeDocument/2006/relationships" ref="H20" r:id="rId31"/>
    <hyperlink xmlns:r="http://schemas.openxmlformats.org/officeDocument/2006/relationships" ref="C23" r:id="rId32"/>
    <hyperlink xmlns:r="http://schemas.openxmlformats.org/officeDocument/2006/relationships" ref="E23" r:id="rId33"/>
    <hyperlink xmlns:r="http://schemas.openxmlformats.org/officeDocument/2006/relationships" ref="F23" r:id="rId34"/>
    <hyperlink xmlns:r="http://schemas.openxmlformats.org/officeDocument/2006/relationships" ref="G23" r:id="rId35"/>
    <hyperlink xmlns:r="http://schemas.openxmlformats.org/officeDocument/2006/relationships" ref="H23" r:id="rId36"/>
    <hyperlink xmlns:r="http://schemas.openxmlformats.org/officeDocument/2006/relationships" ref="E24" r:id="rId37"/>
    <hyperlink xmlns:r="http://schemas.openxmlformats.org/officeDocument/2006/relationships" ref="F24" r:id="rId38"/>
    <hyperlink xmlns:r="http://schemas.openxmlformats.org/officeDocument/2006/relationships" ref="G24" r:id="rId39"/>
    <hyperlink xmlns:r="http://schemas.openxmlformats.org/officeDocument/2006/relationships" ref="H24" r:id="rId40"/>
    <hyperlink xmlns:r="http://schemas.openxmlformats.org/officeDocument/2006/relationships" ref="C28" r:id="rId41"/>
    <hyperlink xmlns:r="http://schemas.openxmlformats.org/officeDocument/2006/relationships" ref="E28" r:id="rId42"/>
    <hyperlink xmlns:r="http://schemas.openxmlformats.org/officeDocument/2006/relationships" ref="F28" r:id="rId43"/>
    <hyperlink xmlns:r="http://schemas.openxmlformats.org/officeDocument/2006/relationships" ref="G28" r:id="rId44"/>
    <hyperlink xmlns:r="http://schemas.openxmlformats.org/officeDocument/2006/relationships" ref="H28" r:id="rId45"/>
    <hyperlink xmlns:r="http://schemas.openxmlformats.org/officeDocument/2006/relationships" ref="E29" r:id="rId46"/>
    <hyperlink xmlns:r="http://schemas.openxmlformats.org/officeDocument/2006/relationships" ref="F29" r:id="rId47"/>
    <hyperlink xmlns:r="http://schemas.openxmlformats.org/officeDocument/2006/relationships" ref="G29" r:id="rId48"/>
    <hyperlink xmlns:r="http://schemas.openxmlformats.org/officeDocument/2006/relationships" ref="H29" r:id="rId49"/>
    <hyperlink xmlns:r="http://schemas.openxmlformats.org/officeDocument/2006/relationships" ref="E33" r:id="rId50"/>
    <hyperlink xmlns:r="http://schemas.openxmlformats.org/officeDocument/2006/relationships" ref="F33" r:id="rId51"/>
    <hyperlink xmlns:r="http://schemas.openxmlformats.org/officeDocument/2006/relationships" ref="G33" r:id="rId52"/>
    <hyperlink xmlns:r="http://schemas.openxmlformats.org/officeDocument/2006/relationships" ref="H33" r:id="rId53"/>
    <hyperlink xmlns:r="http://schemas.openxmlformats.org/officeDocument/2006/relationships" ref="E34" r:id="rId54"/>
    <hyperlink xmlns:r="http://schemas.openxmlformats.org/officeDocument/2006/relationships" ref="F34" r:id="rId55"/>
    <hyperlink xmlns:r="http://schemas.openxmlformats.org/officeDocument/2006/relationships" ref="G34" r:id="rId56"/>
    <hyperlink xmlns:r="http://schemas.openxmlformats.org/officeDocument/2006/relationships" ref="H34" r:id="rId5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2026-09-07T22:16:38Z</dcterms:created>
  <dcterms:modified xmlns:dcterms="http://purl.org/dc/terms/" xmlns:xsi="http://www.w3.org/2001/XMLSchema-instance" xsi:type="dcterms:W3CDTF">2026-09-07T22:16:38Z</dcterms:modified>
</cp:coreProperties>
</file>
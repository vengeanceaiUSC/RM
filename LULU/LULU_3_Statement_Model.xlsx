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Assumptions" sheetId="2" state="visible" r:id="rId4"/>
    <sheet name="Income Statement" sheetId="3" state="visible" r:id="rId5"/>
    <sheet name="Balance Sheet" sheetId="4" state="visible" r:id="rId6"/>
    <sheet name="Cash Flow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<sst xmlns="http://schemas.openxmlformats.org/spreadsheetml/2006/main" count="212" uniqueCount="135">
  <si>
    <t xml:space="preserve">GLOBAL INVESTMENT SOCIETY  |  INVESTMENT RESEARCH DIVISION</t>
  </si>
  <si>
    <t xml:space="preserve">lululemon athletica inc. (NASDAQ: LULU)</t>
  </si>
  <si>
    <t xml:space="preserve">Integrated Three-Statement Operating Model</t>
  </si>
  <si>
    <t xml:space="preserve">Historical figures (FY2022–FY2025) per company SEC filings (Form 10-K).</t>
  </si>
  <si>
    <t xml:space="preserve">Fiscal year ends late January / early February; FY2025 ended February 1, 2026.</t>
  </si>
  <si>
    <t xml:space="preserve">FONT / COLOR CONVENTION</t>
  </si>
  <si>
    <t xml:space="preserve">Blue font  =  figures reported by the company (release, filing, or call)</t>
  </si>
  <si>
    <t xml:space="preserve">Black font  =  calculations / formulas</t>
  </si>
  <si>
    <t xml:space="preserve">Red font  =  analyst assumptions / inputs</t>
  </si>
  <si>
    <t xml:space="preserve">SOURCES</t>
  </si>
  <si>
    <t xml:space="preserve">SEC EDGAR XBRL company facts, CIK 0001397187 (Forms 10-K).</t>
  </si>
  <si>
    <t xml:space="preserve">Q2 FY2026 results &amp; FY2026 guidance: company earnings release dated Sep 3, 2026.</t>
  </si>
  <si>
    <t xml:space="preserve">TABS</t>
  </si>
  <si>
    <t xml:space="preserve">Assumptions  •  Income Statement  •  Balance Sheet  •  Cash Flow</t>
  </si>
  <si>
    <t xml:space="preserve">Built from scratch for the GIS IR selection assignment. Units: US$ thousands unless noted.</t>
  </si>
  <si>
    <t xml:space="preserve">OPERATING ASSUMPTIONS &amp; DRIVERS</t>
  </si>
  <si>
    <t xml:space="preserve">FY2022</t>
  </si>
  <si>
    <t xml:space="preserve">FY2023</t>
  </si>
  <si>
    <t xml:space="preserve">FY2024</t>
  </si>
  <si>
    <t xml:space="preserve">FY2025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</si>
  <si>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</si>
  <si>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</si>
  <si>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</si>
  <si>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</si>
  <si>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</si>
  <si>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Jan 29, 2023</t>
  </si>
  <si>
    <t xml:space="preserve">Jan 28, 2024</t>
  </si>
  <si>
    <t xml:space="preserve">Feb 2, 2025</t>
  </si>
  <si>
    <t xml:space="preserve">Feb 1, 2026</t>
  </si>
  <si>
    <t xml:space="preserve">proj.</t>
  </si>
  <si>
    <t xml:space="preserve">GROWTH &amp; MARGINS</t>
  </si>
  <si>
    <t xml:space="preserve">Revenue growth %</t>
  </si>
  <si>
    <t xml:space="preserve">Gross margin %</t>
  </si>
  <si>
    <t xml:space="preserve">SG&amp;A % of revenue</t>
  </si>
  <si>
    <t xml:space="preserve">Amortization / other opex ($)</t>
  </si>
  <si>
    <t xml:space="preserve">Other income, net ($)</t>
  </si>
  <si>
    <t xml:space="preserve">Effective tax rate %</t>
  </si>
  <si>
    <t xml:space="preserve">CAPITAL &amp; NON-CASH ITEMS</t>
  </si>
  <si>
    <t xml:space="preserve">D&amp;A % of revenue</t>
  </si>
  <si>
    <t xml:space="preserve">Capex % of revenue</t>
  </si>
  <si>
    <t xml:space="preserve">Stock-based compensation ($)</t>
  </si>
  <si>
    <t xml:space="preserve">WORKING CAPITAL &amp; BALANCE SHEET DRIVERS</t>
  </si>
  <si>
    <t xml:space="preserve">Inventories % of COGS</t>
  </si>
  <si>
    <t xml:space="preserve">Accounts payable % of COGS</t>
  </si>
  <si>
    <t xml:space="preserve">Accrued liabilities % of revenue</t>
  </si>
  <si>
    <t xml:space="preserve">Other current assets % of revenue</t>
  </si>
  <si>
    <t xml:space="preserve">Operating lease ROU asset % of revenue</t>
  </si>
  <si>
    <t xml:space="preserve">Other non-current assets % of revenue</t>
  </si>
  <si>
    <t xml:space="preserve">Op lease liab (current) % of revenue</t>
  </si>
  <si>
    <t xml:space="preserve">Op lease liab (non-current) % of revenue</t>
  </si>
  <si>
    <t xml:space="preserve">Other current liabilities % of revenue</t>
  </si>
  <si>
    <t xml:space="preserve">Other non-current liab % of revenue</t>
  </si>
  <si>
    <t xml:space="preserve">CAPITAL RETURN</t>
  </si>
  <si>
    <t xml:space="preserve">Share repurchases ($)</t>
  </si>
  <si>
    <t xml:space="preserve">Avg repurchase price ($/sh)</t>
  </si>
  <si>
    <t xml:space="preserve">Historical columns = derived ratios (black); projection columns = analyst inputs (red).</t>
  </si>
  <si>
    <t xml:space="preserve">INCOME STATEMENT  (US$ thousands)</t>
  </si>
  <si>
    <t xml:space="preserve">Reported (10-K)  →</t>
  </si>
  <si>
    <t xml:space="preserve">←  Projected</t>
  </si>
  <si>
    <t xml:space="preserve">Net revenue</t>
  </si>
  <si>
    <t xml:space="preserve">Cost of goods sold</t>
  </si>
  <si>
    <t xml:space="preserve">Gross profit</t>
  </si>
  <si>
    <t xml:space="preserve">Selling, general &amp; administrative</t>
  </si>
  <si>
    <t xml:space="preserve">Amortization of intangibles / other</t>
  </si>
  <si>
    <t xml:space="preserve">Operating income (EBIT)</t>
  </si>
  <si>
    <t xml:space="preserve">Other income, net</t>
  </si>
  <si>
    <t xml:space="preserve">Pre-tax income</t>
  </si>
  <si>
    <t xml:space="preserve">Income tax expense</t>
  </si>
  <si>
    <t xml:space="preserve">Net income</t>
  </si>
  <si>
    <t xml:space="preserve">Diluted weighted-avg shares (000)</t>
  </si>
  <si>
    <t xml:space="preserve">Diluted EPS ($)</t>
  </si>
  <si>
    <t xml:space="preserve">Margins &amp; growth</t>
  </si>
  <si>
    <t xml:space="preserve">Operating margin %</t>
  </si>
  <si>
    <t xml:space="preserve">Net margin %</t>
  </si>
  <si>
    <t xml:space="preserve">n/a</t>
  </si>
  <si>
    <t xml:space="preserve">BALANCE SHEET  (US$ thousands)</t>
  </si>
  <si>
    <t xml:space="preserve">ASSETS</t>
  </si>
  <si>
    <t xml:space="preserve">Current assets:</t>
  </si>
  <si>
    <t xml:space="preserve">Cash &amp; cash equivalents</t>
  </si>
  <si>
    <t xml:space="preserve">Inventories</t>
  </si>
  <si>
    <t xml:space="preserve">Other current assets</t>
  </si>
  <si>
    <t xml:space="preserve">Total current assets</t>
  </si>
  <si>
    <t xml:space="preserve">Non-current assets:</t>
  </si>
  <si>
    <t xml:space="preserve">Property &amp; equipment, net</t>
  </si>
  <si>
    <t xml:space="preserve">Operating lease right-of-use assets</t>
  </si>
  <si>
    <t xml:space="preserve">Goodwill &amp; intangible assets</t>
  </si>
  <si>
    <t xml:space="preserve">Other non-current assets</t>
  </si>
  <si>
    <t xml:space="preserve">TOTAL ASSETS</t>
  </si>
  <si>
    <t xml:space="preserve">LIABILITIES &amp; EQUITY</t>
  </si>
  <si>
    <t xml:space="preserve">Current liabilities:</t>
  </si>
  <si>
    <t xml:space="preserve">Accounts payable</t>
  </si>
  <si>
    <t xml:space="preserve">Accrued liabilities</t>
  </si>
  <si>
    <t xml:space="preserve">Operating lease liabilities (current)</t>
  </si>
  <si>
    <t xml:space="preserve">Other current liabilities</t>
  </si>
  <si>
    <t xml:space="preserve">Total current liabilities</t>
  </si>
  <si>
    <t xml:space="preserve">Non-current liabilities:</t>
  </si>
  <si>
    <t xml:space="preserve">Operating lease liabilities (non-current)</t>
  </si>
  <si>
    <t xml:space="preserve">Deferred income taxes</t>
  </si>
  <si>
    <t xml:space="preserve">Other non-current liabilities</t>
  </si>
  <si>
    <t xml:space="preserve">TOTAL LIABILITIES</t>
  </si>
  <si>
    <t xml:space="preserve">Shareholders' equity:</t>
  </si>
  <si>
    <t xml:space="preserve">Common stock &amp; additional paid-in capital</t>
  </si>
  <si>
    <t xml:space="preserve">Retained earnings</t>
  </si>
  <si>
    <t xml:space="preserve">Accumulated other comprehensive loss</t>
  </si>
  <si>
    <t xml:space="preserve">TOTAL SHAREHOLDERS' EQUITY</t>
  </si>
  <si>
    <t xml:space="preserve">TOTAL LIABILITIES &amp; EQUITY</t>
  </si>
  <si>
    <t xml:space="preserve">Balance check (Assets − L&amp;E)</t>
  </si>
  <si>
    <t xml:space="preserve">CASH FLOW STATEMENT  (US$ thousands)</t>
  </si>
  <si>
    <t xml:space="preserve">OPERATING ACTIVITIES</t>
  </si>
  <si>
    <t xml:space="preserve">Depreciation &amp; amortization</t>
  </si>
  <si>
    <t xml:space="preserve">Stock-based compensation</t>
  </si>
  <si>
    <t xml:space="preserve">  (Incr.)/decr. in inventories</t>
  </si>
  <si>
    <t xml:space="preserve">—</t>
  </si>
  <si>
    <t xml:space="preserve">  (Incr.)/decr. in other current assets</t>
  </si>
  <si>
    <t xml:space="preserve">  (Incr.)/decr. in ROU assets</t>
  </si>
  <si>
    <t xml:space="preserve">  (Incr.)/decr. in other non-current assets</t>
  </si>
  <si>
    <t xml:space="preserve">  Incr./(decr.) in accounts payable</t>
  </si>
  <si>
    <t xml:space="preserve">  Incr./(decr.) in accrued liabilities</t>
  </si>
  <si>
    <t xml:space="preserve">  Incr./(decr.) in other current liabilities</t>
  </si>
  <si>
    <t xml:space="preserve">  Incr./(decr.) in operating lease liab.</t>
  </si>
  <si>
    <t xml:space="preserve">  Incr./(decr.) in deferred income taxes</t>
  </si>
  <si>
    <t xml:space="preserve">  Incr./(decr.) in other non-current liab.</t>
  </si>
  <si>
    <t xml:space="preserve">  Working capital &amp; other (reported, net)</t>
  </si>
  <si>
    <t xml:space="preserve">Net cash from operating activities</t>
  </si>
  <si>
    <t xml:space="preserve">INVESTING ACTIVITIES</t>
  </si>
  <si>
    <t xml:space="preserve">Capital expenditures</t>
  </si>
  <si>
    <t xml:space="preserve">Net cash from investing activities</t>
  </si>
  <si>
    <t xml:space="preserve">  (Projections: investing ≈ capex; excl. M&amp;A / securities)</t>
  </si>
  <si>
    <t xml:space="preserve">FINANCING ACTIVITIES</t>
  </si>
  <si>
    <t xml:space="preserve">Repurchase of common stock</t>
  </si>
  <si>
    <t xml:space="preserve">Net cash from financing activities</t>
  </si>
  <si>
    <t xml:space="preserve">  (Projections: financing ≈ buybacks; SBC non-cash in equity)</t>
  </si>
  <si>
    <t xml:space="preserve">Net change in cash</t>
  </si>
  <si>
    <t xml:space="preserve">Cash, beginning of year</t>
  </si>
  <si>
    <t xml:space="preserve">Cash, end of year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</si>
</sst>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;\(#,##0\)"/>
    <numFmt numFmtId="167" formatCode="\$#,##0.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Garamond"/>
      <family val="0"/>
      <charset val="1"/>
    </font>
    <font>
      <b val="true"/>
      <sz val="20"/>
      <color rgb="FF1F2A44"/>
      <name val="Garamond"/>
      <family val="0"/>
      <charset val="1"/>
    </font>
    <font>
      <b val="true"/>
      <sz val="13"/>
      <color rgb="FFC8102E"/>
      <name val="Garamond"/>
      <family val="0"/>
      <charset val="1"/>
    </font>
    <font>
      <sz val="11"/>
      <color rgb="FF000000"/>
      <name val="Garamond"/>
      <family val="0"/>
      <charset val="1"/>
    </font>
    <font>
      <b val="true"/>
      <sz val="12"/>
      <color rgb="FF1F2A44"/>
      <name val="Garamond"/>
      <family val="0"/>
      <charset val="1"/>
    </font>
    <font>
      <b val="true"/>
      <sz val="11"/>
      <color rgb="FF0000CC"/>
      <name val="Garamond"/>
      <family val="0"/>
      <charset val="1"/>
    </font>
    <font>
      <b val="true"/>
      <sz val="11"/>
      <color rgb="FF000000"/>
      <name val="Garamond"/>
      <family val="0"/>
      <charset val="1"/>
    </font>
    <font>
      <b val="true"/>
      <sz val="11"/>
      <color rgb="FFC00000"/>
      <name val="Garamond"/>
      <family val="0"/>
      <charset val="1"/>
    </font>
    <font>
      <sz val="10"/>
      <color rgb="FF000000"/>
      <name val="Garamond"/>
      <family val="0"/>
      <charset val="1"/>
    </font>
    <font>
      <i val="true"/>
      <sz val="9"/>
      <color rgb="FF000000"/>
      <name val="Garamond"/>
      <family val="0"/>
      <charset val="1"/>
    </font>
    <font>
      <b val="true"/>
      <sz val="12"/>
      <color rgb="FFFFFFFF"/>
      <name val="Garamond"/>
      <family val="0"/>
      <charset val="1"/>
    </font>
    <font>
      <b val="true"/>
      <sz val="10"/>
      <color rgb="FFFFFFFF"/>
      <name val="Garamond"/>
      <family val="0"/>
      <charset val="1"/>
    </font>
    <font>
      <i val="true"/>
      <sz val="7"/>
      <color rgb="FF000000"/>
      <name val="Garamond"/>
      <family val="0"/>
      <charset val="1"/>
    </font>
    <font>
      <b val="true"/>
      <sz val="10"/>
      <color rgb="FF1F2A44"/>
      <name val="Garamond"/>
      <family val="0"/>
      <charset val="1"/>
    </font>
    <font>
      <sz val="10"/>
      <color rgb="FFC00000"/>
      <name val="Garamond"/>
      <family val="0"/>
      <charset val="1"/>
    </font>
    <font>
      <i val="true"/>
      <sz val="8"/>
      <color rgb="FF000000"/>
      <name val="Garamond"/>
      <family val="0"/>
      <charset val="1"/>
    </font>
    <font>
      <i val="true"/>
      <sz val="8"/>
      <color rgb="FF0000CC"/>
      <name val="Garamond"/>
      <family val="0"/>
      <charset val="1"/>
    </font>
    <font>
      <i val="true"/>
      <sz val="8"/>
      <color rgb="FFC8102E"/>
      <name val="Garamond"/>
      <family val="0"/>
      <charset val="1"/>
    </font>
    <font>
      <sz val="10"/>
      <color rgb="FF0000CC"/>
      <name val="Garamond"/>
      <family val="0"/>
      <charset val="1"/>
    </font>
    <font>
      <b val="true"/>
      <sz val="10"/>
      <color rgb="FF000000"/>
      <name val="Garamond"/>
      <family val="0"/>
      <charset val="1"/>
    </font>
    <font>
      <b val="true"/>
      <sz val="10"/>
      <color rgb="FF0000CC"/>
      <name val="Garamond"/>
      <family val="0"/>
      <charset val="1"/>
    </font>
    <font>
      <b val="true"/>
      <sz val="9"/>
      <color rgb="FF1F2A44"/>
      <name val="Garamond"/>
      <family val="0"/>
      <charset val="1"/>
    </font>
    <font>
      <b val="true"/>
      <i val="true"/>
      <sz val="10"/>
      <color rgb="FF000000"/>
      <name val="Garamon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C8102E"/>
        <bgColor rgb="FFC000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8102E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25.5" hidden="false" customHeight="true" outlineLevel="0" collapsed="false">
      <c r="B2" s="1" t="s">
        <v>0</v>
      </c>
    </row>
    <row r="4" customFormat="false" ht="24.45" hidden="false" customHeight="false" outlineLevel="0" collapsed="false">
      <c r="B4" s="2" t="s">
        <v>1</v>
      </c>
    </row>
    <row r="5" customFormat="false" ht="16.15" hidden="false" customHeight="false" outlineLevel="0" collapsed="false">
      <c r="B5" s="3" t="s">
        <v>2</v>
      </c>
    </row>
    <row r="7" customFormat="false" ht="15" hidden="false" customHeight="false" outlineLevel="0" collapsed="false">
      <c r="B7" s="4" t="s">
        <v>3</v>
      </c>
    </row>
    <row r="8" customFormat="false" ht="15" hidden="false" customHeight="false" outlineLevel="0" collapsed="false">
      <c r="B8" s="4" t="s">
        <v>4</v>
      </c>
    </row>
    <row r="10" customFormat="false" ht="15" hidden="false" customHeight="false" outlineLevel="0" collapsed="false">
      <c r="B10" s="5" t="s">
        <v>5</v>
      </c>
    </row>
    <row r="11" customFormat="false" ht="15" hidden="false" customHeight="false" outlineLevel="0" collapsed="false">
      <c r="B11" s="6" t="s">
        <v>6</v>
      </c>
    </row>
    <row r="12" customFormat="false" ht="15" hidden="false" customHeight="false" outlineLevel="0" collapsed="false">
      <c r="B12" s="7" t="s">
        <v>7</v>
      </c>
    </row>
    <row r="13" customFormat="false" ht="15" hidden="false" customHeight="false" outlineLevel="0" collapsed="false">
      <c r="B13" s="8" t="s">
        <v>8</v>
      </c>
    </row>
    <row r="15" customFormat="false" ht="15" hidden="false" customHeight="false" outlineLevel="0" collapsed="false">
      <c r="B15" s="5" t="s">
        <v>9</v>
      </c>
    </row>
    <row r="16" customFormat="false" ht="15" hidden="false" customHeight="false" outlineLevel="0" collapsed="false">
      <c r="B16" s="9" t="s">
        <v>10</v>
      </c>
    </row>
    <row r="17" customFormat="false" ht="15" hidden="false" customHeight="false" outlineLevel="0" collapsed="false">
      <c r="B17" s="9" t="s">
        <v>11</v>
      </c>
    </row>
    <row r="19" customFormat="false" ht="15" hidden="false" customHeight="false" outlineLevel="0" collapsed="false">
      <c r="B19" s="5" t="s">
        <v>12</v>
      </c>
    </row>
    <row r="20" customFormat="false" ht="15" hidden="false" customHeight="false" outlineLevel="0" collapsed="false">
      <c r="B20" s="9" t="s">
        <v>13</v>
      </c>
    </row>
    <row r="22" customFormat="false" ht="15" hidden="false" customHeight="false" outlineLevel="0" collapsed="false">
      <c r="B22" s="1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2"/>
  </cols>
  <sheetData>
    <row r="1" customFormat="false" ht="15.75" hidden="false" customHeight="true" outlineLevel="0" collapsed="false">
      <c r="A1" s="11" t="s">
        <v>15</v>
      </c>
      <c r="C1" s="12" t="s">
        <v>16</v>
      </c>
      <c r="D1" s="12" t="s">
        <v>17</v>
      </c>
      <c r="E1" s="12" t="s">
        <v>18</v>
      </c>
      <c r="F1" s="12" t="s">
        <v>19</v>
      </c>
      <c r="G1" s="13" t="s">
        <v>20</v>
      </c>
      <c r="H1" s="13" t="s">
        <v>21</v>
      </c>
      <c r="I1" s="13" t="s">
        <v>22</v>
      </c>
      <c r="J1" s="13" t="s">
        <v>23</v>
      </c>
      <c r="K1" s="13" t="s">
        <v>24</v>
      </c>
    </row>
    <row r="2" customFormat="false" ht="15" hidden="false" customHeight="false" outlineLevel="0" collapsed="false">
      <c r="C2" s="14" t="s">
        <v>25</v>
      </c>
      <c r="D2" s="14" t="s">
        <v>26</v>
      </c>
      <c r="E2" s="14" t="s">
        <v>27</v>
      </c>
      <c r="F2" s="14" t="s">
        <v>28</v>
      </c>
      <c r="G2" s="14" t="s">
        <v>29</v>
      </c>
      <c r="H2" s="14" t="s">
        <v>29</v>
      </c>
      <c r="I2" s="14" t="s">
        <v>29</v>
      </c>
      <c r="J2" s="14" t="s">
        <v>29</v>
      </c>
      <c r="K2" s="14" t="s">
        <v>29</v>
      </c>
    </row>
    <row r="4" customFormat="false" ht="15" hidden="false" customHeight="false" outlineLevel="0" collapsed="false">
      <c r="A4" s="15" t="s">
        <v>30</v>
      </c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17" t="s">
        <v>31</v>
      </c>
      <c r="D5" s="18" t="n">
        <v>0.18602510961692</v>
      </c>
      <c r="E5" s="18" t="n">
        <v>0.10071940950246</v>
      </c>
      <c r="F5" s="18" t="n">
        <v>0.0485897126649229</v>
      </c>
      <c r="G5" s="19" t="n">
        <v>-0.061</v>
      </c>
      <c r="H5" s="19" t="n">
        <v>0.01</v>
      </c>
      <c r="I5" s="19" t="n">
        <v>0.03</v>
      </c>
      <c r="J5" s="19" t="n">
        <v>0.04</v>
      </c>
      <c r="K5" s="19" t="n">
        <v>0.04</v>
      </c>
    </row>
    <row r="6" customFormat="false" ht="15" hidden="false" customHeight="false" outlineLevel="0" collapsed="false">
      <c r="A6" s="17" t="s">
        <v>32</v>
      </c>
      <c r="C6" s="18" t="n">
        <v>0.553890639290857</v>
      </c>
      <c r="D6" s="18" t="n">
        <v>0.583141998806979</v>
      </c>
      <c r="E6" s="18" t="n">
        <v>0.592249374440765</v>
      </c>
      <c r="F6" s="18" t="n">
        <v>0.566005440167168</v>
      </c>
      <c r="G6" s="19" t="n">
        <v>0.565</v>
      </c>
      <c r="H6" s="19" t="n">
        <v>0.57</v>
      </c>
      <c r="I6" s="19" t="n">
        <v>0.575</v>
      </c>
      <c r="J6" s="19" t="n">
        <v>0.575</v>
      </c>
      <c r="K6" s="19" t="n">
        <v>0.58</v>
      </c>
    </row>
    <row r="7" customFormat="false" ht="15" hidden="false" customHeight="false" outlineLevel="0" collapsed="false">
      <c r="A7" s="17" t="s">
        <v>33</v>
      </c>
      <c r="C7" s="18" t="n">
        <v>0.339984079931763</v>
      </c>
      <c r="D7" s="18" t="n">
        <v>0.353167670172335</v>
      </c>
      <c r="E7" s="18" t="n">
        <v>0.355339462337339</v>
      </c>
      <c r="F7" s="18" t="n">
        <v>0.366270603282114</v>
      </c>
      <c r="G7" s="19" t="n">
        <v>0.425</v>
      </c>
      <c r="H7" s="19" t="n">
        <v>0.415</v>
      </c>
      <c r="I7" s="19" t="n">
        <v>0.405</v>
      </c>
      <c r="J7" s="19" t="n">
        <v>0.4</v>
      </c>
      <c r="K7" s="19" t="n">
        <v>0.395</v>
      </c>
    </row>
    <row r="8" customFormat="false" ht="15" hidden="false" customHeight="false" outlineLevel="0" collapsed="false">
      <c r="A8" s="17" t="s">
        <v>34</v>
      </c>
      <c r="C8" s="20" t="n">
        <v>406485</v>
      </c>
      <c r="D8" s="20" t="n">
        <v>79511</v>
      </c>
      <c r="E8" s="20" t="n">
        <v>2735</v>
      </c>
      <c r="F8" s="20" t="n">
        <v>6961</v>
      </c>
      <c r="G8" s="21" t="n">
        <v>7000</v>
      </c>
      <c r="H8" s="21" t="n">
        <v>7000</v>
      </c>
      <c r="I8" s="21" t="n">
        <v>7000</v>
      </c>
      <c r="J8" s="21" t="n">
        <v>7000</v>
      </c>
      <c r="K8" s="21" t="n">
        <v>7000</v>
      </c>
    </row>
    <row r="9" customFormat="false" ht="15" hidden="false" customHeight="false" outlineLevel="0" collapsed="false">
      <c r="A9" s="17" t="s">
        <v>35</v>
      </c>
      <c r="C9" s="20" t="n">
        <v>4163</v>
      </c>
      <c r="D9" s="20" t="n">
        <v>43059</v>
      </c>
      <c r="E9" s="20" t="n">
        <v>70380</v>
      </c>
      <c r="F9" s="20" t="n">
        <v>28352</v>
      </c>
      <c r="G9" s="21" t="n">
        <v>130000</v>
      </c>
      <c r="H9" s="21" t="n">
        <v>60000</v>
      </c>
      <c r="I9" s="21" t="n">
        <v>75000</v>
      </c>
      <c r="J9" s="21" t="n">
        <v>95000</v>
      </c>
      <c r="K9" s="21" t="n">
        <v>115000</v>
      </c>
    </row>
    <row r="10" customFormat="false" ht="15" hidden="false" customHeight="false" outlineLevel="0" collapsed="false">
      <c r="A10" s="17" t="s">
        <v>36</v>
      </c>
      <c r="C10" s="18" t="n">
        <v>0.358533241380759</v>
      </c>
      <c r="D10" s="18" t="n">
        <v>0.287509738088508</v>
      </c>
      <c r="E10" s="18" t="n">
        <v>0.295589378733633</v>
      </c>
      <c r="F10" s="18" t="n">
        <v>0.294682324482674</v>
      </c>
      <c r="G10" s="19" t="n">
        <v>0.3</v>
      </c>
      <c r="H10" s="19" t="n">
        <v>0.3</v>
      </c>
      <c r="I10" s="19" t="n">
        <v>0.3</v>
      </c>
      <c r="J10" s="19" t="n">
        <v>0.3</v>
      </c>
      <c r="K10" s="19" t="n">
        <v>0.3</v>
      </c>
    </row>
    <row r="11" customFormat="false" ht="15" hidden="false" customHeight="false" outlineLevel="0" collapsed="false">
      <c r="A11" s="15" t="s">
        <v>37</v>
      </c>
      <c r="C11" s="16"/>
      <c r="D11" s="16"/>
      <c r="E11" s="16"/>
      <c r="F11" s="16"/>
      <c r="G11" s="16"/>
      <c r="H11" s="16"/>
      <c r="I11" s="16"/>
      <c r="J11" s="16"/>
      <c r="K11" s="16"/>
    </row>
    <row r="12" customFormat="false" ht="15" hidden="false" customHeight="false" outlineLevel="0" collapsed="false">
      <c r="A12" s="17" t="s">
        <v>38</v>
      </c>
      <c r="C12" s="18" t="n">
        <v>0.0359768636232606</v>
      </c>
      <c r="D12" s="18" t="n">
        <v>0.0394399662843719</v>
      </c>
      <c r="E12" s="18" t="n">
        <v>0.0421721464213781</v>
      </c>
      <c r="F12" s="18" t="n">
        <v>0.0446947561832364</v>
      </c>
      <c r="G12" s="19" t="n">
        <v>0.046</v>
      </c>
      <c r="H12" s="19" t="n">
        <v>0.046</v>
      </c>
      <c r="I12" s="19" t="n">
        <v>0.045</v>
      </c>
      <c r="J12" s="19" t="n">
        <v>0.045</v>
      </c>
      <c r="K12" s="19" t="n">
        <v>0.045</v>
      </c>
    </row>
    <row r="13" customFormat="false" ht="15" hidden="false" customHeight="false" outlineLevel="0" collapsed="false">
      <c r="A13" s="17" t="s">
        <v>39</v>
      </c>
      <c r="C13" s="18" t="n">
        <v>0.0787442922881128</v>
      </c>
      <c r="D13" s="18" t="n">
        <v>0.0677665205226421</v>
      </c>
      <c r="E13" s="18" t="n">
        <v>0.0650948052563787</v>
      </c>
      <c r="F13" s="18" t="n">
        <v>0.0613191504692595</v>
      </c>
      <c r="G13" s="19" t="n">
        <v>0.055</v>
      </c>
      <c r="H13" s="19" t="n">
        <v>0.05</v>
      </c>
      <c r="I13" s="19" t="n">
        <v>0.05</v>
      </c>
      <c r="J13" s="19" t="n">
        <v>0.05</v>
      </c>
      <c r="K13" s="19" t="n">
        <v>0.05</v>
      </c>
    </row>
    <row r="14" customFormat="false" ht="15" hidden="false" customHeight="false" outlineLevel="0" collapsed="false">
      <c r="A14" s="17" t="s">
        <v>40</v>
      </c>
      <c r="C14" s="20" t="n">
        <v>78075</v>
      </c>
      <c r="D14" s="20" t="n">
        <v>93560</v>
      </c>
      <c r="E14" s="20" t="n">
        <v>90011</v>
      </c>
      <c r="F14" s="20" t="n">
        <v>62203</v>
      </c>
      <c r="G14" s="21" t="n">
        <v>70000</v>
      </c>
      <c r="H14" s="21" t="n">
        <v>70000</v>
      </c>
      <c r="I14" s="21" t="n">
        <v>70000</v>
      </c>
      <c r="J14" s="21" t="n">
        <v>70000</v>
      </c>
      <c r="K14" s="21" t="n">
        <v>70000</v>
      </c>
    </row>
    <row r="15" customFormat="false" ht="15" hidden="false" customHeight="false" outlineLevel="0" collapsed="false">
      <c r="A15" s="15" t="s">
        <v>41</v>
      </c>
      <c r="C15" s="16"/>
      <c r="D15" s="16"/>
      <c r="E15" s="16"/>
      <c r="F15" s="16"/>
      <c r="G15" s="16"/>
      <c r="H15" s="16"/>
      <c r="I15" s="16"/>
      <c r="J15" s="16"/>
      <c r="K15" s="16"/>
    </row>
    <row r="16" customFormat="false" ht="15" hidden="false" customHeight="false" outlineLevel="0" collapsed="false">
      <c r="A16" s="17" t="s">
        <v>42</v>
      </c>
      <c r="C16" s="18" t="n">
        <v>0.400026477414876</v>
      </c>
      <c r="D16" s="18" t="n">
        <v>0.330085765808543</v>
      </c>
      <c r="E16" s="18" t="n">
        <v>0.334022650652084</v>
      </c>
      <c r="F16" s="18" t="n">
        <v>0.35296550687895</v>
      </c>
      <c r="G16" s="19" t="n">
        <v>0.34</v>
      </c>
      <c r="H16" s="19" t="n">
        <v>0.335</v>
      </c>
      <c r="I16" s="19" t="n">
        <v>0.33</v>
      </c>
      <c r="J16" s="19" t="n">
        <v>0.33</v>
      </c>
      <c r="K16" s="19" t="n">
        <v>0.33</v>
      </c>
    </row>
    <row r="17" customFormat="false" ht="15" hidden="false" customHeight="false" outlineLevel="0" collapsed="false">
      <c r="A17" s="17" t="s">
        <v>43</v>
      </c>
      <c r="C17" s="18" t="n">
        <v>0.0477400503789476</v>
      </c>
      <c r="D17" s="18" t="n">
        <v>0.0868957695168899</v>
      </c>
      <c r="E17" s="18" t="n">
        <v>0.0628645350177136</v>
      </c>
      <c r="F17" s="18" t="n">
        <v>0.0687814052101207</v>
      </c>
      <c r="G17" s="19" t="n">
        <v>0.068</v>
      </c>
      <c r="H17" s="19" t="n">
        <v>0.068</v>
      </c>
      <c r="I17" s="19" t="n">
        <v>0.068</v>
      </c>
      <c r="J17" s="19" t="n">
        <v>0.068</v>
      </c>
      <c r="K17" s="19" t="n">
        <v>0.068</v>
      </c>
    </row>
    <row r="18" customFormat="false" ht="15" hidden="false" customHeight="false" outlineLevel="0" collapsed="false">
      <c r="A18" s="17" t="s">
        <v>44</v>
      </c>
      <c r="C18" s="18" t="n">
        <v>0.0492228733109279</v>
      </c>
      <c r="D18" s="18" t="n">
        <v>0.0362350479942466</v>
      </c>
      <c r="E18" s="18" t="n">
        <v>0.0528387176352076</v>
      </c>
      <c r="F18" s="18" t="n">
        <v>0.0597141210166988</v>
      </c>
      <c r="G18" s="19" t="n">
        <v>0.058</v>
      </c>
      <c r="H18" s="19" t="n">
        <v>0.058</v>
      </c>
      <c r="I18" s="19" t="n">
        <v>0.058</v>
      </c>
      <c r="J18" s="19" t="n">
        <v>0.058</v>
      </c>
      <c r="K18" s="19" t="n">
        <v>0.058</v>
      </c>
    </row>
    <row r="19" customFormat="false" ht="15" hidden="false" customHeight="false" outlineLevel="0" collapsed="false">
      <c r="A19" s="17" t="s">
        <v>45</v>
      </c>
      <c r="C19" s="18" t="n">
        <v>0.0687032566847148</v>
      </c>
      <c r="D19" s="18" t="n">
        <v>0.0512516635863939</v>
      </c>
      <c r="E19" s="18" t="n">
        <v>0.052311901086179</v>
      </c>
      <c r="F19" s="18" t="n">
        <v>0.0679792120764506</v>
      </c>
      <c r="G19" s="19" t="n">
        <v>0.068</v>
      </c>
      <c r="H19" s="19" t="n">
        <v>0.068</v>
      </c>
      <c r="I19" s="19" t="n">
        <v>0.068</v>
      </c>
      <c r="J19" s="19" t="n">
        <v>0.068</v>
      </c>
      <c r="K19" s="19" t="n">
        <v>0.068</v>
      </c>
    </row>
    <row r="20" customFormat="false" ht="15" hidden="false" customHeight="false" outlineLevel="0" collapsed="false">
      <c r="A20" s="17" t="s">
        <v>46</v>
      </c>
      <c r="C20" s="18" t="n">
        <v>0.119526151104036</v>
      </c>
      <c r="D20" s="18" t="n">
        <v>0.131570165661082</v>
      </c>
      <c r="E20" s="18" t="n">
        <v>0.133758891800117</v>
      </c>
      <c r="F20" s="18" t="n">
        <v>0.146828760830796</v>
      </c>
      <c r="G20" s="19" t="n">
        <v>0.147</v>
      </c>
      <c r="H20" s="19" t="n">
        <v>0.147</v>
      </c>
      <c r="I20" s="19" t="n">
        <v>0.147</v>
      </c>
      <c r="J20" s="19" t="n">
        <v>0.147</v>
      </c>
      <c r="K20" s="19" t="n">
        <v>0.147</v>
      </c>
    </row>
    <row r="21" customFormat="false" ht="15" hidden="false" customHeight="false" outlineLevel="0" collapsed="false">
      <c r="A21" s="17" t="s">
        <v>47</v>
      </c>
      <c r="C21" s="18" t="n">
        <v>0.0200291769280335</v>
      </c>
      <c r="D21" s="18" t="n">
        <v>0.0203611955076046</v>
      </c>
      <c r="E21" s="18" t="n">
        <v>0.0240765929683874</v>
      </c>
      <c r="F21" s="18" t="n">
        <v>0.030528614919028</v>
      </c>
      <c r="G21" s="19" t="n">
        <v>0.03</v>
      </c>
      <c r="H21" s="19" t="n">
        <v>0.03</v>
      </c>
      <c r="I21" s="19" t="n">
        <v>0.03</v>
      </c>
      <c r="J21" s="19" t="n">
        <v>0.03</v>
      </c>
      <c r="K21" s="19" t="n">
        <v>0.03</v>
      </c>
    </row>
    <row r="22" customFormat="false" ht="15" hidden="false" customHeight="false" outlineLevel="0" collapsed="false">
      <c r="A22" s="17" t="s">
        <v>48</v>
      </c>
      <c r="C22" s="18" t="n">
        <v>0.0256422586078966</v>
      </c>
      <c r="D22" s="18" t="n">
        <v>0.0259135872775483</v>
      </c>
      <c r="E22" s="18" t="n">
        <v>0.0259870349106159</v>
      </c>
      <c r="F22" s="18" t="n">
        <v>0.0269057698196819</v>
      </c>
      <c r="G22" s="19" t="n">
        <v>0.027</v>
      </c>
      <c r="H22" s="19" t="n">
        <v>0.027</v>
      </c>
      <c r="I22" s="19" t="n">
        <v>0.027</v>
      </c>
      <c r="J22" s="19" t="n">
        <v>0.027</v>
      </c>
      <c r="K22" s="19" t="n">
        <v>0.027</v>
      </c>
    </row>
    <row r="23" customFormat="false" ht="15" hidden="false" customHeight="false" outlineLevel="0" collapsed="false">
      <c r="A23" s="17" t="s">
        <v>49</v>
      </c>
      <c r="C23" s="18" t="n">
        <v>0.106326377674028</v>
      </c>
      <c r="D23" s="18" t="n">
        <v>0.119968671245389</v>
      </c>
      <c r="E23" s="18" t="n">
        <v>0.12283920686248</v>
      </c>
      <c r="F23" s="18" t="n">
        <v>0.135077999747807</v>
      </c>
      <c r="G23" s="19" t="n">
        <v>0.135</v>
      </c>
      <c r="H23" s="19" t="n">
        <v>0.135</v>
      </c>
      <c r="I23" s="19" t="n">
        <v>0.135</v>
      </c>
      <c r="J23" s="19" t="n">
        <v>0.135</v>
      </c>
      <c r="K23" s="19" t="n">
        <v>0.135</v>
      </c>
    </row>
    <row r="24" customFormat="false" ht="15" hidden="false" customHeight="false" outlineLevel="0" collapsed="false">
      <c r="A24" s="17" t="s">
        <v>50</v>
      </c>
      <c r="C24" s="18" t="n">
        <v>0.087820654611703</v>
      </c>
      <c r="D24" s="18" t="n">
        <v>0.0712106459549251</v>
      </c>
      <c r="E24" s="18" t="n">
        <v>0.0692858207391941</v>
      </c>
      <c r="F24" s="18" t="n">
        <v>0.0535389007980113</v>
      </c>
      <c r="G24" s="19" t="n">
        <v>0.055</v>
      </c>
      <c r="H24" s="19" t="n">
        <v>0.055</v>
      </c>
      <c r="I24" s="19" t="n">
        <v>0.055</v>
      </c>
      <c r="J24" s="19" t="n">
        <v>0.055</v>
      </c>
      <c r="K24" s="19" t="n">
        <v>0.055</v>
      </c>
    </row>
    <row r="25" customFormat="false" ht="15" hidden="false" customHeight="false" outlineLevel="0" collapsed="false">
      <c r="A25" s="17" t="s">
        <v>51</v>
      </c>
      <c r="C25" s="18" t="n">
        <v>0.00599160250923554</v>
      </c>
      <c r="D25" s="18" t="n">
        <v>0.00468486304273564</v>
      </c>
      <c r="E25" s="18" t="n">
        <v>0.00385242865451356</v>
      </c>
      <c r="F25" s="18" t="n">
        <v>0.00498621944409418</v>
      </c>
      <c r="G25" s="19" t="n">
        <v>0.005</v>
      </c>
      <c r="H25" s="19" t="n">
        <v>0.005</v>
      </c>
      <c r="I25" s="19" t="n">
        <v>0.005</v>
      </c>
      <c r="J25" s="19" t="n">
        <v>0.005</v>
      </c>
      <c r="K25" s="19" t="n">
        <v>0.005</v>
      </c>
    </row>
    <row r="26" customFormat="false" ht="15" hidden="false" customHeight="false" outlineLevel="0" collapsed="false">
      <c r="A26" s="15" t="s">
        <v>52</v>
      </c>
      <c r="C26" s="16"/>
      <c r="D26" s="16"/>
      <c r="E26" s="16"/>
      <c r="F26" s="16"/>
      <c r="G26" s="16"/>
      <c r="H26" s="16"/>
      <c r="I26" s="16"/>
      <c r="J26" s="16"/>
      <c r="K26" s="16"/>
    </row>
    <row r="27" customFormat="false" ht="15" hidden="false" customHeight="false" outlineLevel="0" collapsed="false">
      <c r="A27" s="17" t="s">
        <v>53</v>
      </c>
      <c r="C27" s="20" t="n">
        <v>444001</v>
      </c>
      <c r="D27" s="20" t="n">
        <v>558652</v>
      </c>
      <c r="E27" s="20" t="n">
        <v>1636879</v>
      </c>
      <c r="F27" s="20" t="n">
        <v>1178349</v>
      </c>
      <c r="G27" s="21" t="n">
        <v>500000</v>
      </c>
      <c r="H27" s="21" t="n">
        <v>500000</v>
      </c>
      <c r="I27" s="21" t="n">
        <v>500000</v>
      </c>
      <c r="J27" s="21" t="n">
        <v>500000</v>
      </c>
      <c r="K27" s="21" t="n">
        <v>500000</v>
      </c>
    </row>
    <row r="28" customFormat="false" ht="15" hidden="false" customHeight="false" outlineLevel="0" collapsed="false">
      <c r="A28" s="17" t="s">
        <v>54</v>
      </c>
      <c r="G28" s="22" t="n">
        <v>105</v>
      </c>
      <c r="H28" s="22" t="n">
        <v>112</v>
      </c>
      <c r="I28" s="22" t="n">
        <v>120</v>
      </c>
      <c r="J28" s="22" t="n">
        <v>128</v>
      </c>
      <c r="K28" s="22" t="n">
        <v>135</v>
      </c>
    </row>
    <row r="30" customFormat="false" ht="15" hidden="false" customHeight="false" outlineLevel="0" collapsed="false">
      <c r="A30" s="23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2"/>
  </cols>
  <sheetData>
    <row r="1" customFormat="false" ht="15.75" hidden="false" customHeight="true" outlineLevel="0" collapsed="false">
      <c r="A1" s="11" t="s">
        <v>56</v>
      </c>
      <c r="C1" s="12" t="s">
        <v>16</v>
      </c>
      <c r="D1" s="12" t="s">
        <v>17</v>
      </c>
      <c r="E1" s="12" t="s">
        <v>18</v>
      </c>
      <c r="F1" s="12" t="s">
        <v>19</v>
      </c>
      <c r="G1" s="13" t="s">
        <v>20</v>
      </c>
      <c r="H1" s="13" t="s">
        <v>21</v>
      </c>
      <c r="I1" s="13" t="s">
        <v>22</v>
      </c>
      <c r="J1" s="13" t="s">
        <v>23</v>
      </c>
      <c r="K1" s="13" t="s">
        <v>24</v>
      </c>
    </row>
    <row r="2" customFormat="false" ht="15" hidden="false" customHeight="false" outlineLevel="0" collapsed="false">
      <c r="C2" s="24" t="s">
        <v>57</v>
      </c>
      <c r="G2" s="25" t="s">
        <v>58</v>
      </c>
    </row>
    <row r="4" customFormat="false" ht="15" hidden="false" customHeight="false" outlineLevel="0" collapsed="false">
      <c r="A4" s="17" t="s">
        <v>59</v>
      </c>
      <c r="C4" s="26" t="n">
        <v>8110518</v>
      </c>
      <c r="D4" s="26" t="n">
        <v>9619278</v>
      </c>
      <c r="E4" s="26" t="n">
        <v>10588126</v>
      </c>
      <c r="F4" s="26" t="n">
        <v>11102600</v>
      </c>
      <c r="G4" s="20" t="n">
        <f aca="false">F4*(1+Assumptions!G5)</f>
        <v>10425341.4</v>
      </c>
      <c r="H4" s="20" t="n">
        <f aca="false">G4*(1+Assumptions!H5)</f>
        <v>10529594.814</v>
      </c>
      <c r="I4" s="20" t="n">
        <f aca="false">H4*(1+Assumptions!I5)</f>
        <v>10845482.65842</v>
      </c>
      <c r="J4" s="20" t="n">
        <f aca="false">I4*(1+Assumptions!J5)</f>
        <v>11279301.9647568</v>
      </c>
      <c r="K4" s="20" t="n">
        <f aca="false">J4*(1+Assumptions!K5)</f>
        <v>11730474.0433471</v>
      </c>
    </row>
    <row r="5" customFormat="false" ht="15" hidden="false" customHeight="false" outlineLevel="0" collapsed="false">
      <c r="A5" s="17" t="s">
        <v>60</v>
      </c>
      <c r="C5" s="26" t="n">
        <v>3618178</v>
      </c>
      <c r="D5" s="26" t="n">
        <v>4009873</v>
      </c>
      <c r="E5" s="26" t="n">
        <v>4317315</v>
      </c>
      <c r="F5" s="26" t="n">
        <v>4818468</v>
      </c>
      <c r="G5" s="20" t="n">
        <f aca="false">G4*(1-Assumptions!G6)</f>
        <v>4535023.509</v>
      </c>
      <c r="H5" s="20" t="n">
        <f aca="false">H4*(1-Assumptions!H6)</f>
        <v>4527725.77002</v>
      </c>
      <c r="I5" s="20" t="n">
        <f aca="false">I4*(1-Assumptions!I6)</f>
        <v>4609330.1298285</v>
      </c>
      <c r="J5" s="20" t="n">
        <f aca="false">J4*(1-Assumptions!J6)</f>
        <v>4793703.33502164</v>
      </c>
      <c r="K5" s="20" t="n">
        <f aca="false">K4*(1-Assumptions!K6)</f>
        <v>4926799.09820577</v>
      </c>
    </row>
    <row r="6" customFormat="false" ht="15" hidden="false" customHeight="false" outlineLevel="0" collapsed="false">
      <c r="A6" s="27" t="s">
        <v>61</v>
      </c>
      <c r="C6" s="28" t="n">
        <f aca="false">C4-C5</f>
        <v>4492340</v>
      </c>
      <c r="D6" s="28" t="n">
        <f aca="false">D4-D5</f>
        <v>5609405</v>
      </c>
      <c r="E6" s="28" t="n">
        <f aca="false">E4-E5</f>
        <v>6270811</v>
      </c>
      <c r="F6" s="28" t="n">
        <f aca="false">F4-F5</f>
        <v>6284132</v>
      </c>
      <c r="G6" s="28" t="n">
        <f aca="false">G4-G5</f>
        <v>5890317.891</v>
      </c>
      <c r="H6" s="28" t="n">
        <f aca="false">H4-H5</f>
        <v>6001869.04398</v>
      </c>
      <c r="I6" s="28" t="n">
        <f aca="false">I4-I5</f>
        <v>6236152.5285915</v>
      </c>
      <c r="J6" s="28" t="n">
        <f aca="false">J4-J5</f>
        <v>6485598.62973516</v>
      </c>
      <c r="K6" s="28" t="n">
        <f aca="false">K4-K5</f>
        <v>6803674.9451413</v>
      </c>
    </row>
    <row r="7" customFormat="false" ht="15" hidden="false" customHeight="false" outlineLevel="0" collapsed="false">
      <c r="A7" s="17" t="s">
        <v>62</v>
      </c>
      <c r="C7" s="26" t="n">
        <v>2757447</v>
      </c>
      <c r="D7" s="26" t="n">
        <v>3397218</v>
      </c>
      <c r="E7" s="26" t="n">
        <v>3762379</v>
      </c>
      <c r="F7" s="26" t="n">
        <v>4066556</v>
      </c>
      <c r="G7" s="20" t="n">
        <f aca="false">G4*Assumptions!G7</f>
        <v>4430770.095</v>
      </c>
      <c r="H7" s="20" t="n">
        <f aca="false">H4*Assumptions!H7</f>
        <v>4369781.84781</v>
      </c>
      <c r="I7" s="20" t="n">
        <f aca="false">I4*Assumptions!I7</f>
        <v>4392420.4766601</v>
      </c>
      <c r="J7" s="20" t="n">
        <f aca="false">J4*Assumptions!J7</f>
        <v>4511720.78590272</v>
      </c>
      <c r="K7" s="20" t="n">
        <f aca="false">K4*Assumptions!K7</f>
        <v>4633537.24712209</v>
      </c>
    </row>
    <row r="8" customFormat="false" ht="15" hidden="false" customHeight="false" outlineLevel="0" collapsed="false">
      <c r="A8" s="17" t="s">
        <v>63</v>
      </c>
      <c r="C8" s="26" t="n">
        <v>406485</v>
      </c>
      <c r="D8" s="26" t="n">
        <v>79511</v>
      </c>
      <c r="E8" s="26" t="n">
        <v>2735</v>
      </c>
      <c r="F8" s="26" t="n">
        <v>6961</v>
      </c>
      <c r="G8" s="20" t="n">
        <f aca="false">Assumptions!G8</f>
        <v>7000</v>
      </c>
      <c r="H8" s="20" t="n">
        <f aca="false">Assumptions!H8</f>
        <v>7000</v>
      </c>
      <c r="I8" s="20" t="n">
        <f aca="false">Assumptions!I8</f>
        <v>7000</v>
      </c>
      <c r="J8" s="20" t="n">
        <f aca="false">Assumptions!J8</f>
        <v>7000</v>
      </c>
      <c r="K8" s="20" t="n">
        <f aca="false">Assumptions!K8</f>
        <v>7000</v>
      </c>
    </row>
    <row r="9" customFormat="false" ht="15" hidden="false" customHeight="false" outlineLevel="0" collapsed="false">
      <c r="A9" s="27" t="s">
        <v>64</v>
      </c>
      <c r="C9" s="28" t="n">
        <f aca="false">C6-C7-C8</f>
        <v>1328408</v>
      </c>
      <c r="D9" s="28" t="n">
        <f aca="false">D6-D7-D8</f>
        <v>2132676</v>
      </c>
      <c r="E9" s="28" t="n">
        <f aca="false">E6-E7-E8</f>
        <v>2505697</v>
      </c>
      <c r="F9" s="28" t="n">
        <f aca="false">F6-F7-F8</f>
        <v>2210615</v>
      </c>
      <c r="G9" s="28" t="n">
        <f aca="false">G6-G7-G8</f>
        <v>1452547.796</v>
      </c>
      <c r="H9" s="28" t="n">
        <f aca="false">H6-H7-H8</f>
        <v>1625087.19617</v>
      </c>
      <c r="I9" s="28" t="n">
        <f aca="false">I6-I7-I8</f>
        <v>1836732.0519314</v>
      </c>
      <c r="J9" s="28" t="n">
        <f aca="false">J6-J7-J8</f>
        <v>1966877.84383244</v>
      </c>
      <c r="K9" s="28" t="n">
        <f aca="false">K6-K7-K8</f>
        <v>2163137.69801921</v>
      </c>
    </row>
    <row r="10" customFormat="false" ht="15" hidden="false" customHeight="false" outlineLevel="0" collapsed="false">
      <c r="A10" s="17" t="s">
        <v>65</v>
      </c>
      <c r="C10" s="26" t="n">
        <v>4163</v>
      </c>
      <c r="D10" s="26" t="n">
        <v>43059</v>
      </c>
      <c r="E10" s="26" t="n">
        <v>70380</v>
      </c>
      <c r="F10" s="26" t="n">
        <v>28352</v>
      </c>
      <c r="G10" s="20" t="n">
        <f aca="false">Assumptions!G9</f>
        <v>130000</v>
      </c>
      <c r="H10" s="20" t="n">
        <f aca="false">Assumptions!H9</f>
        <v>60000</v>
      </c>
      <c r="I10" s="20" t="n">
        <f aca="false">Assumptions!I9</f>
        <v>75000</v>
      </c>
      <c r="J10" s="20" t="n">
        <f aca="false">Assumptions!J9</f>
        <v>95000</v>
      </c>
      <c r="K10" s="20" t="n">
        <f aca="false">Assumptions!K9</f>
        <v>115000</v>
      </c>
    </row>
    <row r="11" customFormat="false" ht="15" hidden="false" customHeight="false" outlineLevel="0" collapsed="false">
      <c r="A11" s="27" t="s">
        <v>66</v>
      </c>
      <c r="C11" s="28" t="n">
        <f aca="false">C9+C10</f>
        <v>1332571</v>
      </c>
      <c r="D11" s="28" t="n">
        <f aca="false">D9+D10</f>
        <v>2175735</v>
      </c>
      <c r="E11" s="28" t="n">
        <f aca="false">E9+E10</f>
        <v>2576077</v>
      </c>
      <c r="F11" s="28" t="n">
        <f aca="false">F9+F10</f>
        <v>2238967</v>
      </c>
      <c r="G11" s="28" t="n">
        <f aca="false">G9+G10</f>
        <v>1582547.796</v>
      </c>
      <c r="H11" s="28" t="n">
        <f aca="false">H9+H10</f>
        <v>1685087.19617</v>
      </c>
      <c r="I11" s="28" t="n">
        <f aca="false">I9+I10</f>
        <v>1911732.0519314</v>
      </c>
      <c r="J11" s="28" t="n">
        <f aca="false">J9+J10</f>
        <v>2061877.84383244</v>
      </c>
      <c r="K11" s="28" t="n">
        <f aca="false">K9+K10</f>
        <v>2278137.69801921</v>
      </c>
    </row>
    <row r="12" customFormat="false" ht="15" hidden="false" customHeight="false" outlineLevel="0" collapsed="false">
      <c r="A12" s="17" t="s">
        <v>67</v>
      </c>
      <c r="C12" s="26" t="n">
        <v>477771</v>
      </c>
      <c r="D12" s="26" t="n">
        <v>625545</v>
      </c>
      <c r="E12" s="26" t="n">
        <v>761461</v>
      </c>
      <c r="F12" s="26" t="n">
        <v>659784</v>
      </c>
      <c r="G12" s="20" t="n">
        <f aca="false">G11*Assumptions!G10</f>
        <v>474764.3388</v>
      </c>
      <c r="H12" s="20" t="n">
        <f aca="false">H11*Assumptions!H10</f>
        <v>505526.158851</v>
      </c>
      <c r="I12" s="20" t="n">
        <f aca="false">I11*Assumptions!I10</f>
        <v>573519.61557942</v>
      </c>
      <c r="J12" s="20" t="n">
        <f aca="false">J11*Assumptions!J10</f>
        <v>618563.353149732</v>
      </c>
      <c r="K12" s="20" t="n">
        <f aca="false">K11*Assumptions!K10</f>
        <v>683441.309405763</v>
      </c>
    </row>
    <row r="13" customFormat="false" ht="15" hidden="false" customHeight="false" outlineLevel="0" collapsed="false">
      <c r="A13" s="27" t="s">
        <v>68</v>
      </c>
      <c r="C13" s="29" t="n">
        <f aca="false">C11-C12</f>
        <v>854800</v>
      </c>
      <c r="D13" s="29" t="n">
        <f aca="false">D11-D12</f>
        <v>1550190</v>
      </c>
      <c r="E13" s="29" t="n">
        <f aca="false">E11-E12</f>
        <v>1814616</v>
      </c>
      <c r="F13" s="29" t="n">
        <f aca="false">F11-F12</f>
        <v>1579183</v>
      </c>
      <c r="G13" s="29" t="n">
        <f aca="false">G11-G12</f>
        <v>1107783.4572</v>
      </c>
      <c r="H13" s="29" t="n">
        <f aca="false">H11-H12</f>
        <v>1179561.037319</v>
      </c>
      <c r="I13" s="29" t="n">
        <f aca="false">I11-I12</f>
        <v>1338212.43635198</v>
      </c>
      <c r="J13" s="29" t="n">
        <f aca="false">J11-J12</f>
        <v>1443314.49068271</v>
      </c>
      <c r="K13" s="29" t="n">
        <f aca="false">K11-K12</f>
        <v>1594696.38861345</v>
      </c>
    </row>
    <row r="15" customFormat="false" ht="15" hidden="false" customHeight="false" outlineLevel="0" collapsed="false">
      <c r="A15" s="17" t="s">
        <v>69</v>
      </c>
      <c r="C15" s="26" t="n">
        <v>128017</v>
      </c>
      <c r="D15" s="26" t="n">
        <v>127060</v>
      </c>
      <c r="E15" s="26" t="n">
        <v>123935</v>
      </c>
      <c r="F15" s="26" t="n">
        <v>119068</v>
      </c>
      <c r="G15" s="20" t="n">
        <f aca="false">F15-Assumptions!G27/Assumptions!G28</f>
        <v>114306.095238095</v>
      </c>
      <c r="H15" s="20" t="n">
        <f aca="false">G15-Assumptions!H27/Assumptions!H28</f>
        <v>109841.80952381</v>
      </c>
      <c r="I15" s="20" t="n">
        <f aca="false">H15-Assumptions!I27/Assumptions!I28</f>
        <v>105675.142857143</v>
      </c>
      <c r="J15" s="20" t="n">
        <f aca="false">I15-Assumptions!J27/Assumptions!J28</f>
        <v>101768.892857143</v>
      </c>
      <c r="K15" s="20" t="n">
        <f aca="false">J15-Assumptions!K27/Assumptions!K28</f>
        <v>98065.1891534392</v>
      </c>
    </row>
    <row r="16" customFormat="false" ht="15" hidden="false" customHeight="false" outlineLevel="0" collapsed="false">
      <c r="A16" s="27" t="s">
        <v>70</v>
      </c>
      <c r="C16" s="30" t="n">
        <v>6.68</v>
      </c>
      <c r="D16" s="30" t="n">
        <v>12.2</v>
      </c>
      <c r="E16" s="30" t="n">
        <v>14.64</v>
      </c>
      <c r="F16" s="30" t="n">
        <v>13.26</v>
      </c>
      <c r="G16" s="31" t="n">
        <f aca="false">G13/G15</f>
        <v>9.69137695494304</v>
      </c>
      <c r="H16" s="31" t="n">
        <f aca="false">H13/H15</f>
        <v>10.7387254674033</v>
      </c>
      <c r="I16" s="31" t="n">
        <f aca="false">I13/I15</f>
        <v>12.6634551907921</v>
      </c>
      <c r="J16" s="31" t="n">
        <f aca="false">J13/J15</f>
        <v>14.1822756459456</v>
      </c>
      <c r="K16" s="31" t="n">
        <f aca="false">K13/K15</f>
        <v>16.2615949898213</v>
      </c>
    </row>
    <row r="18" customFormat="false" ht="15" hidden="false" customHeight="false" outlineLevel="0" collapsed="false">
      <c r="A18" s="32" t="s">
        <v>71</v>
      </c>
      <c r="C18" s="16"/>
      <c r="D18" s="16"/>
      <c r="E18" s="16"/>
      <c r="F18" s="16"/>
      <c r="G18" s="16"/>
      <c r="H18" s="16"/>
      <c r="I18" s="16"/>
      <c r="J18" s="16"/>
      <c r="K18" s="16"/>
    </row>
    <row r="19" customFormat="false" ht="15" hidden="false" customHeight="false" outlineLevel="0" collapsed="false">
      <c r="A19" s="33" t="s">
        <v>32</v>
      </c>
      <c r="C19" s="34" t="n">
        <f aca="false">C6/C4</f>
        <v>0.553890639290857</v>
      </c>
      <c r="D19" s="34" t="n">
        <f aca="false">D6/D4</f>
        <v>0.583141998806979</v>
      </c>
      <c r="E19" s="34" t="n">
        <f aca="false">E6/E4</f>
        <v>0.592249374440765</v>
      </c>
      <c r="F19" s="34" t="n">
        <f aca="false">F6/F4</f>
        <v>0.566005440167168</v>
      </c>
      <c r="G19" s="34" t="n">
        <f aca="false">G6/G4</f>
        <v>0.565</v>
      </c>
      <c r="H19" s="34" t="n">
        <f aca="false">H6/H4</f>
        <v>0.57</v>
      </c>
      <c r="I19" s="34" t="n">
        <f aca="false">I6/I4</f>
        <v>0.575</v>
      </c>
      <c r="J19" s="34" t="n">
        <f aca="false">J6/J4</f>
        <v>0.575</v>
      </c>
      <c r="K19" s="34" t="n">
        <f aca="false">K6/K4</f>
        <v>0.58</v>
      </c>
    </row>
    <row r="20" customFormat="false" ht="15" hidden="false" customHeight="false" outlineLevel="0" collapsed="false">
      <c r="A20" s="33" t="s">
        <v>72</v>
      </c>
      <c r="C20" s="34" t="n">
        <f aca="false">C9/C4</f>
        <v>0.163788305506504</v>
      </c>
      <c r="D20" s="34" t="n">
        <f aca="false">D9/D4</f>
        <v>0.221708531555071</v>
      </c>
      <c r="E20" s="34" t="n">
        <f aca="false">E9/E4</f>
        <v>0.236651603881556</v>
      </c>
      <c r="F20" s="34" t="n">
        <f aca="false">F9/F4</f>
        <v>0.199107866625835</v>
      </c>
      <c r="G20" s="34" t="n">
        <f aca="false">G9/G4</f>
        <v>0.139328559158744</v>
      </c>
      <c r="H20" s="34" t="n">
        <f aca="false">H9/H4</f>
        <v>0.154335207087865</v>
      </c>
      <c r="I20" s="34" t="n">
        <f aca="false">I9/I4</f>
        <v>0.169354569988218</v>
      </c>
      <c r="J20" s="34" t="n">
        <f aca="false">J9/J4</f>
        <v>0.174379394219441</v>
      </c>
      <c r="K20" s="34" t="n">
        <f aca="false">K9/K4</f>
        <v>0.184403263672539</v>
      </c>
    </row>
    <row r="21" customFormat="false" ht="15" hidden="false" customHeight="false" outlineLevel="0" collapsed="false">
      <c r="A21" s="33" t="s">
        <v>73</v>
      </c>
      <c r="C21" s="34" t="n">
        <f aca="false">C13/C4</f>
        <v>0.105394008126238</v>
      </c>
      <c r="D21" s="34" t="n">
        <f aca="false">D13/D4</f>
        <v>0.161154506606421</v>
      </c>
      <c r="E21" s="34" t="n">
        <f aca="false">E13/E4</f>
        <v>0.171382169044834</v>
      </c>
      <c r="F21" s="34" t="n">
        <f aca="false">F13/F4</f>
        <v>0.142235422333507</v>
      </c>
      <c r="G21" s="34" t="n">
        <f aca="false">G13/G4</f>
        <v>0.106258722347452</v>
      </c>
      <c r="H21" s="34" t="n">
        <f aca="false">H13/H4</f>
        <v>0.112023402434315</v>
      </c>
      <c r="I21" s="34" t="n">
        <f aca="false">I13/I4</f>
        <v>0.123388924080114</v>
      </c>
      <c r="J21" s="34" t="n">
        <f aca="false">J13/J4</f>
        <v>0.12796133086892</v>
      </c>
      <c r="K21" s="34" t="n">
        <f aca="false">K13/K4</f>
        <v>0.135944752336576</v>
      </c>
    </row>
    <row r="22" customFormat="false" ht="15" hidden="false" customHeight="false" outlineLevel="0" collapsed="false">
      <c r="A22" s="33" t="s">
        <v>31</v>
      </c>
      <c r="C22" s="35" t="s">
        <v>74</v>
      </c>
      <c r="D22" s="34" t="n">
        <f aca="false">D4/C4-1</f>
        <v>0.18602510961692</v>
      </c>
      <c r="E22" s="34" t="n">
        <f aca="false">E4/D4-1</f>
        <v>0.10071940950246</v>
      </c>
      <c r="F22" s="34" t="n">
        <f aca="false">F4/E4-1</f>
        <v>0.0485897126649228</v>
      </c>
      <c r="G22" s="34" t="n">
        <f aca="false">G4/F4-1</f>
        <v>-0.0609999999999999</v>
      </c>
      <c r="H22" s="34" t="n">
        <f aca="false">H4/G4-1</f>
        <v>0.01</v>
      </c>
      <c r="I22" s="34" t="n">
        <f aca="false">I4/H4-1</f>
        <v>0.03</v>
      </c>
      <c r="J22" s="34" t="n">
        <f aca="false">J4/I4-1</f>
        <v>0.04</v>
      </c>
      <c r="K22" s="34" t="n">
        <f aca="false">K4/J4-1</f>
        <v>0.04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2"/>
  </cols>
  <sheetData>
    <row r="1" customFormat="false" ht="15.75" hidden="false" customHeight="true" outlineLevel="0" collapsed="false">
      <c r="A1" s="11" t="s">
        <v>75</v>
      </c>
      <c r="C1" s="12" t="s">
        <v>16</v>
      </c>
      <c r="D1" s="12" t="s">
        <v>17</v>
      </c>
      <c r="E1" s="12" t="s">
        <v>18</v>
      </c>
      <c r="F1" s="12" t="s">
        <v>19</v>
      </c>
      <c r="G1" s="13" t="s">
        <v>20</v>
      </c>
      <c r="H1" s="13" t="s">
        <v>21</v>
      </c>
      <c r="I1" s="13" t="s">
        <v>22</v>
      </c>
      <c r="J1" s="13" t="s">
        <v>23</v>
      </c>
      <c r="K1" s="13" t="s">
        <v>24</v>
      </c>
    </row>
    <row r="2" customFormat="false" ht="15" hidden="false" customHeight="false" outlineLevel="0" collapsed="false">
      <c r="C2" s="24" t="s">
        <v>57</v>
      </c>
      <c r="G2" s="25" t="s">
        <v>58</v>
      </c>
    </row>
    <row r="4" customFormat="false" ht="15" hidden="false" customHeight="false" outlineLevel="0" collapsed="false">
      <c r="A4" s="15" t="s">
        <v>76</v>
      </c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36" t="s">
        <v>77</v>
      </c>
    </row>
    <row r="6" customFormat="false" ht="15" hidden="false" customHeight="false" outlineLevel="0" collapsed="false">
      <c r="A6" s="17" t="s">
        <v>78</v>
      </c>
      <c r="C6" s="26" t="n">
        <v>1154867</v>
      </c>
      <c r="D6" s="26" t="n">
        <v>2243971</v>
      </c>
      <c r="E6" s="26" t="n">
        <v>1984336</v>
      </c>
      <c r="F6" s="26" t="n">
        <v>1807202</v>
      </c>
      <c r="G6" s="20" t="n">
        <f aca="false">'Cash Flow'!G33</f>
        <v>2504519.939152</v>
      </c>
      <c r="H6" s="20" t="n">
        <f aca="false">'Cash Flow'!H33</f>
        <v>3240235.08055766</v>
      </c>
      <c r="I6" s="20" t="n">
        <f aca="false">'Cash Flow'!I33</f>
        <v>4106534.46475251</v>
      </c>
      <c r="J6" s="20" t="n">
        <f aca="false">'Cash Flow'!J33</f>
        <v>5030330.34157262</v>
      </c>
      <c r="K6" s="20" t="n">
        <f aca="false">'Cash Flow'!K33</f>
        <v>6117294.29276575</v>
      </c>
    </row>
    <row r="7" customFormat="false" ht="15" hidden="false" customHeight="false" outlineLevel="0" collapsed="false">
      <c r="A7" s="17" t="s">
        <v>79</v>
      </c>
      <c r="C7" s="26" t="n">
        <v>1447367</v>
      </c>
      <c r="D7" s="26" t="n">
        <v>1323602</v>
      </c>
      <c r="E7" s="26" t="n">
        <v>1442081</v>
      </c>
      <c r="F7" s="26" t="n">
        <v>1700753</v>
      </c>
      <c r="G7" s="20" t="n">
        <f aca="false">'Income Statement'!G5*Assumptions!G16</f>
        <v>1541907.99306</v>
      </c>
      <c r="H7" s="20" t="n">
        <f aca="false">'Income Statement'!H5*Assumptions!H16</f>
        <v>1516788.1329567</v>
      </c>
      <c r="I7" s="20" t="n">
        <f aca="false">'Income Statement'!I5*Assumptions!I16</f>
        <v>1521078.94284341</v>
      </c>
      <c r="J7" s="20" t="n">
        <f aca="false">'Income Statement'!J5*Assumptions!J16</f>
        <v>1581922.10055714</v>
      </c>
      <c r="K7" s="20" t="n">
        <f aca="false">'Income Statement'!K5*Assumptions!K16</f>
        <v>1625843.7024079</v>
      </c>
    </row>
    <row r="8" customFormat="false" ht="15" hidden="false" customHeight="false" outlineLevel="0" collapsed="false">
      <c r="A8" s="17" t="s">
        <v>80</v>
      </c>
      <c r="C8" s="20" t="n">
        <v>557219</v>
      </c>
      <c r="D8" s="20" t="n">
        <v>493004</v>
      </c>
      <c r="E8" s="20" t="n">
        <v>553885</v>
      </c>
      <c r="F8" s="20" t="n">
        <v>754746</v>
      </c>
      <c r="G8" s="20" t="n">
        <f aca="false">'Income Statement'!G4*Assumptions!G19</f>
        <v>708923.2152</v>
      </c>
      <c r="H8" s="20" t="n">
        <f aca="false">'Income Statement'!H4*Assumptions!H19</f>
        <v>716012.447352</v>
      </c>
      <c r="I8" s="20" t="n">
        <f aca="false">'Income Statement'!I4*Assumptions!I19</f>
        <v>737492.82077256</v>
      </c>
      <c r="J8" s="20" t="n">
        <f aca="false">'Income Statement'!J4*Assumptions!J19</f>
        <v>766992.533603463</v>
      </c>
      <c r="K8" s="20" t="n">
        <f aca="false">'Income Statement'!K4*Assumptions!K19</f>
        <v>797672.234947601</v>
      </c>
    </row>
    <row r="9" customFormat="false" ht="15" hidden="false" customHeight="false" outlineLevel="0" collapsed="false">
      <c r="A9" s="27" t="s">
        <v>81</v>
      </c>
      <c r="C9" s="37" t="n">
        <v>3159453</v>
      </c>
      <c r="D9" s="37" t="n">
        <v>4060577</v>
      </c>
      <c r="E9" s="37" t="n">
        <v>3980302</v>
      </c>
      <c r="F9" s="37" t="n">
        <v>4262701</v>
      </c>
      <c r="G9" s="28" t="n">
        <f aca="false">G6+G7+G8</f>
        <v>4755351.147412</v>
      </c>
      <c r="H9" s="28" t="n">
        <f aca="false">H6+H7+H8</f>
        <v>5473035.66086636</v>
      </c>
      <c r="I9" s="28" t="n">
        <f aca="false">I6+I7+I8</f>
        <v>6365106.22836848</v>
      </c>
      <c r="J9" s="28" t="n">
        <f aca="false">J6+J7+J8</f>
        <v>7379244.97573323</v>
      </c>
      <c r="K9" s="28" t="n">
        <f aca="false">K6+K7+K8</f>
        <v>8540810.23012126</v>
      </c>
    </row>
    <row r="10" customFormat="false" ht="15" hidden="false" customHeight="false" outlineLevel="0" collapsed="false">
      <c r="A10" s="36" t="s">
        <v>82</v>
      </c>
    </row>
    <row r="11" customFormat="false" ht="15" hidden="false" customHeight="false" outlineLevel="0" collapsed="false">
      <c r="A11" s="17" t="s">
        <v>83</v>
      </c>
      <c r="C11" s="26" t="n">
        <v>1269614</v>
      </c>
      <c r="D11" s="26" t="n">
        <v>1545811</v>
      </c>
      <c r="E11" s="26" t="n">
        <v>1780617</v>
      </c>
      <c r="F11" s="26" t="n">
        <v>2033720</v>
      </c>
      <c r="G11" s="20" t="n">
        <f aca="false">F11+'Income Statement'!G4*Assumptions!G13-'Income Statement'!G4*Assumptions!G12</f>
        <v>2127548.0726</v>
      </c>
      <c r="H11" s="20" t="n">
        <f aca="false">G11+'Income Statement'!H4*Assumptions!H13-'Income Statement'!H4*Assumptions!H12</f>
        <v>2169666.451856</v>
      </c>
      <c r="I11" s="20" t="n">
        <f aca="false">H11+'Income Statement'!I4*Assumptions!I13-'Income Statement'!I4*Assumptions!I12</f>
        <v>2223893.8651481</v>
      </c>
      <c r="J11" s="20" t="n">
        <f aca="false">I11+'Income Statement'!J4*Assumptions!J13-'Income Statement'!J4*Assumptions!J12</f>
        <v>2280290.37497188</v>
      </c>
      <c r="K11" s="20" t="n">
        <f aca="false">J11+'Income Statement'!K4*Assumptions!K13-'Income Statement'!K4*Assumptions!K12</f>
        <v>2338942.74518862</v>
      </c>
    </row>
    <row r="12" customFormat="false" ht="15" hidden="false" customHeight="false" outlineLevel="0" collapsed="false">
      <c r="A12" s="17" t="s">
        <v>84</v>
      </c>
      <c r="C12" s="26" t="n">
        <v>969419</v>
      </c>
      <c r="D12" s="26" t="n">
        <v>1265610</v>
      </c>
      <c r="E12" s="26" t="n">
        <v>1416256</v>
      </c>
      <c r="F12" s="26" t="n">
        <v>1630181</v>
      </c>
      <c r="G12" s="20" t="n">
        <f aca="false">'Income Statement'!G4*Assumptions!G20</f>
        <v>1532525.1858</v>
      </c>
      <c r="H12" s="20" t="n">
        <f aca="false">'Income Statement'!H4*Assumptions!H20</f>
        <v>1547850.437658</v>
      </c>
      <c r="I12" s="20" t="n">
        <f aca="false">'Income Statement'!I4*Assumptions!I20</f>
        <v>1594285.95078774</v>
      </c>
      <c r="J12" s="20" t="n">
        <f aca="false">'Income Statement'!J4*Assumptions!J20</f>
        <v>1658057.38881925</v>
      </c>
      <c r="K12" s="20" t="n">
        <f aca="false">'Income Statement'!K4*Assumptions!K20</f>
        <v>1724379.68437202</v>
      </c>
    </row>
    <row r="13" customFormat="false" ht="15" hidden="false" customHeight="false" outlineLevel="0" collapsed="false">
      <c r="A13" s="17" t="s">
        <v>85</v>
      </c>
      <c r="C13" s="26" t="n">
        <v>46105</v>
      </c>
      <c r="D13" s="26" t="n">
        <v>24083</v>
      </c>
      <c r="E13" s="26" t="n">
        <v>171191</v>
      </c>
      <c r="F13" s="26" t="n">
        <v>191194</v>
      </c>
      <c r="G13" s="20" t="n">
        <f aca="false">F13</f>
        <v>191194</v>
      </c>
      <c r="H13" s="20" t="n">
        <f aca="false">G13</f>
        <v>191194</v>
      </c>
      <c r="I13" s="20" t="n">
        <f aca="false">H13</f>
        <v>191194</v>
      </c>
      <c r="J13" s="20" t="n">
        <f aca="false">I13</f>
        <v>191194</v>
      </c>
      <c r="K13" s="20" t="n">
        <f aca="false">J13</f>
        <v>191194</v>
      </c>
    </row>
    <row r="14" customFormat="false" ht="15" hidden="false" customHeight="false" outlineLevel="0" collapsed="false">
      <c r="A14" s="17" t="s">
        <v>86</v>
      </c>
      <c r="C14" s="20" t="n">
        <v>162447</v>
      </c>
      <c r="D14" s="20" t="n">
        <v>195860</v>
      </c>
      <c r="E14" s="20" t="n">
        <v>254926</v>
      </c>
      <c r="F14" s="20" t="n">
        <v>338947</v>
      </c>
      <c r="G14" s="20" t="n">
        <f aca="false">'Income Statement'!G4*Assumptions!G21</f>
        <v>312760.242</v>
      </c>
      <c r="H14" s="20" t="n">
        <f aca="false">'Income Statement'!H4*Assumptions!H21</f>
        <v>315887.84442</v>
      </c>
      <c r="I14" s="20" t="n">
        <f aca="false">'Income Statement'!I4*Assumptions!I21</f>
        <v>325364.4797526</v>
      </c>
      <c r="J14" s="20" t="n">
        <f aca="false">'Income Statement'!J4*Assumptions!J21</f>
        <v>338379.058942704</v>
      </c>
      <c r="K14" s="20" t="n">
        <f aca="false">'Income Statement'!K4*Assumptions!K21</f>
        <v>351914.221300412</v>
      </c>
    </row>
    <row r="15" customFormat="false" ht="15" hidden="false" customHeight="false" outlineLevel="0" collapsed="false">
      <c r="A15" s="27" t="s">
        <v>87</v>
      </c>
      <c r="C15" s="38" t="n">
        <v>5607038</v>
      </c>
      <c r="D15" s="38" t="n">
        <v>7091941</v>
      </c>
      <c r="E15" s="38" t="n">
        <v>7603292</v>
      </c>
      <c r="F15" s="38" t="n">
        <v>8456743</v>
      </c>
      <c r="G15" s="29" t="n">
        <f aca="false">G9+G11+G12+G13+G14</f>
        <v>8919378.647812</v>
      </c>
      <c r="H15" s="29" t="n">
        <f aca="false">H9+H11+H12+H13+H14</f>
        <v>9697634.39480036</v>
      </c>
      <c r="I15" s="29" t="n">
        <f aca="false">I9+I11+I12+I13+I14</f>
        <v>10699844.5240569</v>
      </c>
      <c r="J15" s="29" t="n">
        <f aca="false">J9+J11+J12+J13+J14</f>
        <v>11847165.7984671</v>
      </c>
      <c r="K15" s="29" t="n">
        <f aca="false">K9+K11+K12+K13+K14</f>
        <v>13147240.8809823</v>
      </c>
    </row>
    <row r="17" customFormat="false" ht="15" hidden="false" customHeight="false" outlineLevel="0" collapsed="false">
      <c r="A17" s="15" t="s">
        <v>88</v>
      </c>
      <c r="C17" s="16"/>
      <c r="D17" s="16"/>
      <c r="E17" s="16"/>
      <c r="F17" s="16"/>
      <c r="G17" s="16"/>
      <c r="H17" s="16"/>
      <c r="I17" s="16"/>
      <c r="J17" s="16"/>
      <c r="K17" s="16"/>
    </row>
    <row r="18" customFormat="false" ht="15" hidden="false" customHeight="false" outlineLevel="0" collapsed="false">
      <c r="A18" s="36" t="s">
        <v>89</v>
      </c>
    </row>
    <row r="19" customFormat="false" ht="15" hidden="false" customHeight="false" outlineLevel="0" collapsed="false">
      <c r="A19" s="17" t="s">
        <v>90</v>
      </c>
      <c r="C19" s="26" t="n">
        <v>172732</v>
      </c>
      <c r="D19" s="26" t="n">
        <v>348441</v>
      </c>
      <c r="E19" s="26" t="n">
        <v>271406</v>
      </c>
      <c r="F19" s="26" t="n">
        <v>331421</v>
      </c>
      <c r="G19" s="20" t="n">
        <f aca="false">'Income Statement'!G5*Assumptions!G17</f>
        <v>308381.598612</v>
      </c>
      <c r="H19" s="20" t="n">
        <f aca="false">'Income Statement'!H5*Assumptions!H17</f>
        <v>307885.35236136</v>
      </c>
      <c r="I19" s="20" t="n">
        <f aca="false">'Income Statement'!I5*Assumptions!I17</f>
        <v>313434.448828338</v>
      </c>
      <c r="J19" s="20" t="n">
        <f aca="false">'Income Statement'!J5*Assumptions!J17</f>
        <v>325971.826781472</v>
      </c>
      <c r="K19" s="20" t="n">
        <f aca="false">'Income Statement'!K5*Assumptions!K17</f>
        <v>335022.338677992</v>
      </c>
    </row>
    <row r="20" customFormat="false" ht="15" hidden="false" customHeight="false" outlineLevel="0" collapsed="false">
      <c r="A20" s="17" t="s">
        <v>91</v>
      </c>
      <c r="C20" s="26" t="n">
        <v>399223</v>
      </c>
      <c r="D20" s="26" t="n">
        <v>348555</v>
      </c>
      <c r="E20" s="26" t="n">
        <v>559463</v>
      </c>
      <c r="F20" s="26" t="n">
        <v>662982</v>
      </c>
      <c r="G20" s="20" t="n">
        <f aca="false">'Income Statement'!G4*Assumptions!G18</f>
        <v>604669.8012</v>
      </c>
      <c r="H20" s="20" t="n">
        <f aca="false">'Income Statement'!H4*Assumptions!H18</f>
        <v>610716.499212</v>
      </c>
      <c r="I20" s="20" t="n">
        <f aca="false">'Income Statement'!I4*Assumptions!I18</f>
        <v>629037.99418836</v>
      </c>
      <c r="J20" s="20" t="n">
        <f aca="false">'Income Statement'!J4*Assumptions!J18</f>
        <v>654199.513955895</v>
      </c>
      <c r="K20" s="20" t="n">
        <f aca="false">'Income Statement'!K4*Assumptions!K18</f>
        <v>680367.49451413</v>
      </c>
    </row>
    <row r="21" customFormat="false" ht="15" hidden="false" customHeight="false" outlineLevel="0" collapsed="false">
      <c r="A21" s="17" t="s">
        <v>92</v>
      </c>
      <c r="C21" s="26" t="n">
        <v>207972</v>
      </c>
      <c r="D21" s="26" t="n">
        <v>249270</v>
      </c>
      <c r="E21" s="26" t="n">
        <v>275154</v>
      </c>
      <c r="F21" s="26" t="n">
        <v>298724</v>
      </c>
      <c r="G21" s="20" t="n">
        <f aca="false">'Income Statement'!G4*Assumptions!G22</f>
        <v>281484.2178</v>
      </c>
      <c r="H21" s="20" t="n">
        <f aca="false">'Income Statement'!H4*Assumptions!H22</f>
        <v>284299.059978</v>
      </c>
      <c r="I21" s="20" t="n">
        <f aca="false">'Income Statement'!I4*Assumptions!I22</f>
        <v>292828.03177734</v>
      </c>
      <c r="J21" s="20" t="n">
        <f aca="false">'Income Statement'!J4*Assumptions!J22</f>
        <v>304541.153048434</v>
      </c>
      <c r="K21" s="20" t="n">
        <f aca="false">'Income Statement'!K4*Assumptions!K22</f>
        <v>316722.799170371</v>
      </c>
    </row>
    <row r="22" customFormat="false" ht="15" hidden="false" customHeight="false" outlineLevel="0" collapsed="false">
      <c r="A22" s="17" t="s">
        <v>93</v>
      </c>
      <c r="C22" s="20" t="n">
        <v>712271</v>
      </c>
      <c r="D22" s="20" t="n">
        <v>684995</v>
      </c>
      <c r="E22" s="20" t="n">
        <v>733607</v>
      </c>
      <c r="F22" s="20" t="n">
        <v>594421</v>
      </c>
      <c r="G22" s="20" t="n">
        <f aca="false">'Income Statement'!G4*Assumptions!G24</f>
        <v>573393.777</v>
      </c>
      <c r="H22" s="20" t="n">
        <f aca="false">'Income Statement'!H4*Assumptions!H24</f>
        <v>579127.71477</v>
      </c>
      <c r="I22" s="20" t="n">
        <f aca="false">'Income Statement'!I4*Assumptions!I24</f>
        <v>596501.5462131</v>
      </c>
      <c r="J22" s="20" t="n">
        <f aca="false">'Income Statement'!J4*Assumptions!J24</f>
        <v>620361.608061624</v>
      </c>
      <c r="K22" s="20" t="n">
        <f aca="false">'Income Statement'!K4*Assumptions!K24</f>
        <v>645176.072384089</v>
      </c>
    </row>
    <row r="23" customFormat="false" ht="15" hidden="false" customHeight="false" outlineLevel="0" collapsed="false">
      <c r="A23" s="27" t="s">
        <v>94</v>
      </c>
      <c r="C23" s="37" t="n">
        <v>1492198</v>
      </c>
      <c r="D23" s="37" t="n">
        <v>1631261</v>
      </c>
      <c r="E23" s="37" t="n">
        <v>1839630</v>
      </c>
      <c r="F23" s="37" t="n">
        <v>1887548</v>
      </c>
      <c r="G23" s="28" t="n">
        <f aca="false">G19+G20+G21+G22</f>
        <v>1767929.394612</v>
      </c>
      <c r="H23" s="28" t="n">
        <f aca="false">H19+H20+H21+H22</f>
        <v>1782028.62632136</v>
      </c>
      <c r="I23" s="28" t="n">
        <f aca="false">I19+I20+I21+I22</f>
        <v>1831802.02100714</v>
      </c>
      <c r="J23" s="28" t="n">
        <f aca="false">J19+J20+J21+J22</f>
        <v>1905074.10184742</v>
      </c>
      <c r="K23" s="28" t="n">
        <f aca="false">K19+K20+K21+K22</f>
        <v>1977288.70474658</v>
      </c>
    </row>
    <row r="24" customFormat="false" ht="15" hidden="false" customHeight="false" outlineLevel="0" collapsed="false">
      <c r="A24" s="36" t="s">
        <v>95</v>
      </c>
    </row>
    <row r="25" customFormat="false" ht="15" hidden="false" customHeight="false" outlineLevel="0" collapsed="false">
      <c r="A25" s="17" t="s">
        <v>96</v>
      </c>
      <c r="C25" s="26" t="n">
        <v>862362</v>
      </c>
      <c r="D25" s="26" t="n">
        <v>1154012</v>
      </c>
      <c r="E25" s="26" t="n">
        <v>1300637</v>
      </c>
      <c r="F25" s="26" t="n">
        <v>1499717</v>
      </c>
      <c r="G25" s="20" t="n">
        <f aca="false">'Income Statement'!G4*Assumptions!G23</f>
        <v>1407421.089</v>
      </c>
      <c r="H25" s="20" t="n">
        <f aca="false">'Income Statement'!H4*Assumptions!H23</f>
        <v>1421495.29989</v>
      </c>
      <c r="I25" s="20" t="n">
        <f aca="false">'Income Statement'!I4*Assumptions!I23</f>
        <v>1464140.1588867</v>
      </c>
      <c r="J25" s="20" t="n">
        <f aca="false">'Income Statement'!J4*Assumptions!J23</f>
        <v>1522705.76524217</v>
      </c>
      <c r="K25" s="20" t="n">
        <f aca="false">'Income Statement'!K4*Assumptions!K23</f>
        <v>1583613.99585186</v>
      </c>
    </row>
    <row r="26" customFormat="false" ht="15" hidden="false" customHeight="false" outlineLevel="0" collapsed="false">
      <c r="A26" s="17" t="s">
        <v>97</v>
      </c>
      <c r="C26" s="26" t="n">
        <v>55084</v>
      </c>
      <c r="D26" s="26" t="n">
        <v>29522</v>
      </c>
      <c r="E26" s="26" t="n">
        <v>98188</v>
      </c>
      <c r="F26" s="26" t="n">
        <v>52278</v>
      </c>
      <c r="G26" s="20" t="n">
        <f aca="false">F26</f>
        <v>52278</v>
      </c>
      <c r="H26" s="20" t="n">
        <f aca="false">G26</f>
        <v>52278</v>
      </c>
      <c r="I26" s="20" t="n">
        <f aca="false">H26</f>
        <v>52278</v>
      </c>
      <c r="J26" s="20" t="n">
        <f aca="false">I26</f>
        <v>52278</v>
      </c>
      <c r="K26" s="20" t="n">
        <f aca="false">J26</f>
        <v>52278</v>
      </c>
    </row>
    <row r="27" customFormat="false" ht="15" hidden="false" customHeight="false" outlineLevel="0" collapsed="false">
      <c r="A27" s="17" t="s">
        <v>98</v>
      </c>
      <c r="C27" s="20" t="n">
        <v>48595</v>
      </c>
      <c r="D27" s="20" t="n">
        <v>45065</v>
      </c>
      <c r="E27" s="20" t="n">
        <v>40790</v>
      </c>
      <c r="F27" s="20" t="n">
        <v>55360</v>
      </c>
      <c r="G27" s="20" t="n">
        <f aca="false">'Income Statement'!G4*Assumptions!G25</f>
        <v>52126.707</v>
      </c>
      <c r="H27" s="20" t="n">
        <f aca="false">'Income Statement'!H4*Assumptions!H25</f>
        <v>52647.97407</v>
      </c>
      <c r="I27" s="20" t="n">
        <f aca="false">'Income Statement'!I4*Assumptions!I25</f>
        <v>54227.4132921</v>
      </c>
      <c r="J27" s="20" t="n">
        <f aca="false">'Income Statement'!J4*Assumptions!J25</f>
        <v>56396.509823784</v>
      </c>
      <c r="K27" s="20" t="n">
        <f aca="false">'Income Statement'!K4*Assumptions!K25</f>
        <v>58652.3702167354</v>
      </c>
    </row>
    <row r="28" customFormat="false" ht="15" hidden="false" customHeight="false" outlineLevel="0" collapsed="false">
      <c r="A28" s="27" t="s">
        <v>99</v>
      </c>
      <c r="C28" s="37" t="n">
        <v>2458239</v>
      </c>
      <c r="D28" s="37" t="n">
        <v>2859860</v>
      </c>
      <c r="E28" s="37" t="n">
        <v>3279245</v>
      </c>
      <c r="F28" s="37" t="n">
        <v>3494903</v>
      </c>
      <c r="G28" s="28" t="n">
        <f aca="false">G23+G25+G26+G27</f>
        <v>3279755.190612</v>
      </c>
      <c r="H28" s="28" t="n">
        <f aca="false">H23+H25+H26+H27</f>
        <v>3308449.90028136</v>
      </c>
      <c r="I28" s="28" t="n">
        <f aca="false">I23+I25+I26+I27</f>
        <v>3402447.59318594</v>
      </c>
      <c r="J28" s="28" t="n">
        <f aca="false">J23+J25+J26+J27</f>
        <v>3536454.37691338</v>
      </c>
      <c r="K28" s="28" t="n">
        <f aca="false">K23+K25+K26+K27</f>
        <v>3671833.07081517</v>
      </c>
    </row>
    <row r="30" customFormat="false" ht="15" hidden="false" customHeight="false" outlineLevel="0" collapsed="false">
      <c r="A30" s="36" t="s">
        <v>100</v>
      </c>
    </row>
    <row r="31" customFormat="false" ht="15" hidden="false" customHeight="false" outlineLevel="0" collapsed="false">
      <c r="A31" s="17" t="s">
        <v>101</v>
      </c>
      <c r="C31" s="26" t="n">
        <v>475256</v>
      </c>
      <c r="D31" s="26" t="n">
        <v>575975</v>
      </c>
      <c r="E31" s="26" t="n">
        <v>638771</v>
      </c>
      <c r="F31" s="26" t="n">
        <v>669949</v>
      </c>
      <c r="G31" s="20" t="n">
        <f aca="false">F31+Assumptions!G14</f>
        <v>739949</v>
      </c>
      <c r="H31" s="20" t="n">
        <f aca="false">G31+Assumptions!H14</f>
        <v>809949</v>
      </c>
      <c r="I31" s="20" t="n">
        <f aca="false">H31+Assumptions!I14</f>
        <v>879949</v>
      </c>
      <c r="J31" s="20" t="n">
        <f aca="false">I31+Assumptions!J14</f>
        <v>949949</v>
      </c>
      <c r="K31" s="20" t="n">
        <f aca="false">J31+Assumptions!K14</f>
        <v>1019949</v>
      </c>
    </row>
    <row r="32" customFormat="false" ht="15" hidden="false" customHeight="false" outlineLevel="0" collapsed="false">
      <c r="A32" s="17" t="s">
        <v>102</v>
      </c>
      <c r="C32" s="26" t="n">
        <v>2926127</v>
      </c>
      <c r="D32" s="26" t="n">
        <v>3920362</v>
      </c>
      <c r="E32" s="26" t="n">
        <v>4109717</v>
      </c>
      <c r="F32" s="26" t="n">
        <v>4522581</v>
      </c>
      <c r="G32" s="20" t="n">
        <f aca="false">F32+'Income Statement'!G13-Assumptions!G27</f>
        <v>5130364.4572</v>
      </c>
      <c r="H32" s="20" t="n">
        <f aca="false">G32+'Income Statement'!H13-Assumptions!H27</f>
        <v>5809925.494519</v>
      </c>
      <c r="I32" s="20" t="n">
        <f aca="false">H32+'Income Statement'!I13-Assumptions!I27</f>
        <v>6648137.93087098</v>
      </c>
      <c r="J32" s="20" t="n">
        <f aca="false">I32+'Income Statement'!J13-Assumptions!J27</f>
        <v>7591452.42155369</v>
      </c>
      <c r="K32" s="20" t="n">
        <f aca="false">J32+'Income Statement'!K13-Assumptions!K27</f>
        <v>8686148.81016714</v>
      </c>
    </row>
    <row r="33" customFormat="false" ht="15" hidden="false" customHeight="false" outlineLevel="0" collapsed="false">
      <c r="A33" s="17" t="s">
        <v>103</v>
      </c>
      <c r="C33" s="26" t="n">
        <v>-252584</v>
      </c>
      <c r="D33" s="26" t="n">
        <v>-264256</v>
      </c>
      <c r="E33" s="26" t="n">
        <v>-424441</v>
      </c>
      <c r="F33" s="26" t="n">
        <v>-230690</v>
      </c>
      <c r="G33" s="20" t="n">
        <f aca="false">F33</f>
        <v>-230690</v>
      </c>
      <c r="H33" s="20" t="n">
        <f aca="false">G33</f>
        <v>-230690</v>
      </c>
      <c r="I33" s="20" t="n">
        <f aca="false">H33</f>
        <v>-230690</v>
      </c>
      <c r="J33" s="20" t="n">
        <f aca="false">I33</f>
        <v>-230690</v>
      </c>
      <c r="K33" s="20" t="n">
        <f aca="false">J33</f>
        <v>-230690</v>
      </c>
    </row>
    <row r="34" customFormat="false" ht="15" hidden="false" customHeight="false" outlineLevel="0" collapsed="false">
      <c r="A34" s="27" t="s">
        <v>104</v>
      </c>
      <c r="C34" s="37" t="n">
        <v>3148799</v>
      </c>
      <c r="D34" s="37" t="n">
        <v>4232081</v>
      </c>
      <c r="E34" s="37" t="n">
        <v>4324047</v>
      </c>
      <c r="F34" s="37" t="n">
        <v>4961840</v>
      </c>
      <c r="G34" s="28" t="n">
        <f aca="false">G31+G32+G33</f>
        <v>5639623.4572</v>
      </c>
      <c r="H34" s="28" t="n">
        <f aca="false">H31+H32+H33</f>
        <v>6389184.494519</v>
      </c>
      <c r="I34" s="28" t="n">
        <f aca="false">I31+I32+I33</f>
        <v>7297396.93087098</v>
      </c>
      <c r="J34" s="28" t="n">
        <f aca="false">J31+J32+J33</f>
        <v>8310711.42155369</v>
      </c>
      <c r="K34" s="28" t="n">
        <f aca="false">K31+K32+K33</f>
        <v>9475407.81016714</v>
      </c>
    </row>
    <row r="35" customFormat="false" ht="15" hidden="false" customHeight="false" outlineLevel="0" collapsed="false">
      <c r="A35" s="27" t="s">
        <v>105</v>
      </c>
      <c r="C35" s="29" t="n">
        <f aca="false">C28+C34</f>
        <v>5607038</v>
      </c>
      <c r="D35" s="29" t="n">
        <f aca="false">D28+D34</f>
        <v>7091941</v>
      </c>
      <c r="E35" s="29" t="n">
        <f aca="false">E28+E34</f>
        <v>7603292</v>
      </c>
      <c r="F35" s="29" t="n">
        <f aca="false">F28+F34</f>
        <v>8456743</v>
      </c>
      <c r="G35" s="29" t="n">
        <f aca="false">G28+G34</f>
        <v>8919378.647812</v>
      </c>
      <c r="H35" s="29" t="n">
        <f aca="false">H28+H34</f>
        <v>9697634.39480036</v>
      </c>
      <c r="I35" s="29" t="n">
        <f aca="false">I28+I34</f>
        <v>10699844.5240569</v>
      </c>
      <c r="J35" s="29" t="n">
        <f aca="false">J28+J34</f>
        <v>11847165.7984671</v>
      </c>
      <c r="K35" s="29" t="n">
        <f aca="false">K28+K34</f>
        <v>13147240.8809823</v>
      </c>
    </row>
    <row r="37" customFormat="false" ht="15" hidden="false" customHeight="false" outlineLevel="0" collapsed="false">
      <c r="A37" s="33" t="s">
        <v>106</v>
      </c>
      <c r="C37" s="39" t="n">
        <f aca="false">C15-C35</f>
        <v>0</v>
      </c>
      <c r="D37" s="39" t="n">
        <f aca="false">D15-D35</f>
        <v>0</v>
      </c>
      <c r="E37" s="39" t="n">
        <f aca="false">E15-E35</f>
        <v>0</v>
      </c>
      <c r="F37" s="39" t="n">
        <f aca="false">F15-F35</f>
        <v>0</v>
      </c>
      <c r="G37" s="39" t="n">
        <f aca="false">G15-G35</f>
        <v>0</v>
      </c>
      <c r="H37" s="39" t="n">
        <f aca="false">H15-H35</f>
        <v>0</v>
      </c>
      <c r="I37" s="39" t="n">
        <f aca="false">I15-I35</f>
        <v>0</v>
      </c>
      <c r="J37" s="39" t="n">
        <f aca="false">J15-J35</f>
        <v>0</v>
      </c>
      <c r="K37" s="39" t="n">
        <f aca="false">K15-K35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2"/>
  </cols>
  <sheetData>
    <row r="1" customFormat="false" ht="15.75" hidden="false" customHeight="true" outlineLevel="0" collapsed="false">
      <c r="A1" s="11" t="s">
        <v>107</v>
      </c>
      <c r="C1" s="12" t="s">
        <v>16</v>
      </c>
      <c r="D1" s="12" t="s">
        <v>17</v>
      </c>
      <c r="E1" s="12" t="s">
        <v>18</v>
      </c>
      <c r="F1" s="12" t="s">
        <v>19</v>
      </c>
      <c r="G1" s="13" t="s">
        <v>20</v>
      </c>
      <c r="H1" s="13" t="s">
        <v>21</v>
      </c>
      <c r="I1" s="13" t="s">
        <v>22</v>
      </c>
      <c r="J1" s="13" t="s">
        <v>23</v>
      </c>
      <c r="K1" s="13" t="s">
        <v>24</v>
      </c>
    </row>
    <row r="2" customFormat="false" ht="15" hidden="false" customHeight="false" outlineLevel="0" collapsed="false">
      <c r="C2" s="24" t="s">
        <v>57</v>
      </c>
      <c r="G2" s="25" t="s">
        <v>58</v>
      </c>
    </row>
    <row r="4" customFormat="false" ht="15" hidden="false" customHeight="false" outlineLevel="0" collapsed="false">
      <c r="A4" s="15" t="s">
        <v>108</v>
      </c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17" t="s">
        <v>68</v>
      </c>
      <c r="C5" s="26" t="n">
        <v>854800</v>
      </c>
      <c r="D5" s="26" t="n">
        <v>1550190</v>
      </c>
      <c r="E5" s="26" t="n">
        <v>1814616</v>
      </c>
      <c r="F5" s="26" t="n">
        <v>1579183</v>
      </c>
      <c r="G5" s="20" t="n">
        <f aca="false">'Income Statement'!G13</f>
        <v>1107783.4572</v>
      </c>
      <c r="H5" s="20" t="n">
        <f aca="false">'Income Statement'!H13</f>
        <v>1179561.037319</v>
      </c>
      <c r="I5" s="20" t="n">
        <f aca="false">'Income Statement'!I13</f>
        <v>1338212.43635198</v>
      </c>
      <c r="J5" s="20" t="n">
        <f aca="false">'Income Statement'!J13</f>
        <v>1443314.49068271</v>
      </c>
      <c r="K5" s="20" t="n">
        <f aca="false">'Income Statement'!K13</f>
        <v>1594696.38861345</v>
      </c>
    </row>
    <row r="6" customFormat="false" ht="15" hidden="false" customHeight="false" outlineLevel="0" collapsed="false">
      <c r="A6" s="17" t="s">
        <v>109</v>
      </c>
      <c r="C6" s="26" t="n">
        <v>291791</v>
      </c>
      <c r="D6" s="26" t="n">
        <v>379384</v>
      </c>
      <c r="E6" s="26" t="n">
        <v>446524</v>
      </c>
      <c r="F6" s="26" t="n">
        <v>496228</v>
      </c>
      <c r="G6" s="20" t="n">
        <f aca="false">'Income Statement'!G4*Assumptions!G12</f>
        <v>479565.7044</v>
      </c>
      <c r="H6" s="20" t="n">
        <f aca="false">'Income Statement'!H4*Assumptions!H12</f>
        <v>484361.361444</v>
      </c>
      <c r="I6" s="20" t="n">
        <f aca="false">'Income Statement'!I4*Assumptions!I12</f>
        <v>488046.7196289</v>
      </c>
      <c r="J6" s="20" t="n">
        <f aca="false">'Income Statement'!J4*Assumptions!J12</f>
        <v>507568.588414056</v>
      </c>
      <c r="K6" s="20" t="n">
        <f aca="false">'Income Statement'!K4*Assumptions!K12</f>
        <v>527871.331950618</v>
      </c>
    </row>
    <row r="7" customFormat="false" ht="15" hidden="false" customHeight="false" outlineLevel="0" collapsed="false">
      <c r="A7" s="17" t="s">
        <v>110</v>
      </c>
      <c r="C7" s="26" t="n">
        <v>78075</v>
      </c>
      <c r="D7" s="26" t="n">
        <v>93560</v>
      </c>
      <c r="E7" s="26" t="n">
        <v>90011</v>
      </c>
      <c r="F7" s="26" t="n">
        <v>62203</v>
      </c>
      <c r="G7" s="20" t="n">
        <f aca="false">Assumptions!G14</f>
        <v>70000</v>
      </c>
      <c r="H7" s="20" t="n">
        <f aca="false">Assumptions!H14</f>
        <v>70000</v>
      </c>
      <c r="I7" s="20" t="n">
        <f aca="false">Assumptions!I14</f>
        <v>70000</v>
      </c>
      <c r="J7" s="20" t="n">
        <f aca="false">Assumptions!J14</f>
        <v>70000</v>
      </c>
      <c r="K7" s="20" t="n">
        <f aca="false">Assumptions!K14</f>
        <v>70000</v>
      </c>
    </row>
    <row r="8" customFormat="false" ht="15" hidden="false" customHeight="false" outlineLevel="0" collapsed="false">
      <c r="A8" s="17" t="s">
        <v>111</v>
      </c>
      <c r="C8" s="40" t="s">
        <v>112</v>
      </c>
      <c r="D8" s="40" t="s">
        <v>112</v>
      </c>
      <c r="E8" s="40" t="s">
        <v>112</v>
      </c>
      <c r="F8" s="40" t="s">
        <v>112</v>
      </c>
      <c r="G8" s="20" t="n">
        <f aca="false">-('Balance Sheet'!G7-'Balance Sheet'!F7)</f>
        <v>158845.00694</v>
      </c>
      <c r="H8" s="20" t="n">
        <f aca="false">-('Balance Sheet'!H7-'Balance Sheet'!G7)</f>
        <v>25119.8601032998</v>
      </c>
      <c r="I8" s="20" t="n">
        <f aca="false">-('Balance Sheet'!I7-'Balance Sheet'!H7)</f>
        <v>-4290.80988670513</v>
      </c>
      <c r="J8" s="20" t="n">
        <f aca="false">-('Balance Sheet'!J7-'Balance Sheet'!I7)</f>
        <v>-60843.1577137362</v>
      </c>
      <c r="K8" s="20" t="n">
        <f aca="false">-('Balance Sheet'!K7-'Balance Sheet'!J7)</f>
        <v>-43921.601850763</v>
      </c>
    </row>
    <row r="9" customFormat="false" ht="15" hidden="false" customHeight="false" outlineLevel="0" collapsed="false">
      <c r="A9" s="17" t="s">
        <v>113</v>
      </c>
      <c r="C9" s="40" t="s">
        <v>112</v>
      </c>
      <c r="D9" s="40" t="s">
        <v>112</v>
      </c>
      <c r="E9" s="40" t="s">
        <v>112</v>
      </c>
      <c r="F9" s="40" t="s">
        <v>112</v>
      </c>
      <c r="G9" s="20" t="n">
        <f aca="false">-('Balance Sheet'!G8-'Balance Sheet'!F8)</f>
        <v>45822.7847999999</v>
      </c>
      <c r="H9" s="20" t="n">
        <f aca="false">-('Balance Sheet'!H8-'Balance Sheet'!G8)</f>
        <v>-7089.23215200007</v>
      </c>
      <c r="I9" s="20" t="n">
        <f aca="false">-('Balance Sheet'!I8-'Balance Sheet'!H8)</f>
        <v>-21480.37342056</v>
      </c>
      <c r="J9" s="20" t="n">
        <f aca="false">-('Balance Sheet'!J8-'Balance Sheet'!I8)</f>
        <v>-29499.7128309024</v>
      </c>
      <c r="K9" s="20" t="n">
        <f aca="false">-('Balance Sheet'!K8-'Balance Sheet'!J8)</f>
        <v>-30679.7013441385</v>
      </c>
    </row>
    <row r="10" customFormat="false" ht="15" hidden="false" customHeight="false" outlineLevel="0" collapsed="false">
      <c r="A10" s="17" t="s">
        <v>114</v>
      </c>
      <c r="C10" s="40" t="s">
        <v>112</v>
      </c>
      <c r="D10" s="40" t="s">
        <v>112</v>
      </c>
      <c r="E10" s="40" t="s">
        <v>112</v>
      </c>
      <c r="F10" s="40" t="s">
        <v>112</v>
      </c>
      <c r="G10" s="20" t="n">
        <f aca="false">-('Balance Sheet'!G12-'Balance Sheet'!F12)</f>
        <v>97655.8142000001</v>
      </c>
      <c r="H10" s="20" t="n">
        <f aca="false">-('Balance Sheet'!H12-'Balance Sheet'!G12)</f>
        <v>-15325.2518580002</v>
      </c>
      <c r="I10" s="20" t="n">
        <f aca="false">-('Balance Sheet'!I12-'Balance Sheet'!H12)</f>
        <v>-46435.5131297403</v>
      </c>
      <c r="J10" s="20" t="n">
        <f aca="false">-('Balance Sheet'!J12-'Balance Sheet'!I12)</f>
        <v>-63771.4380315095</v>
      </c>
      <c r="K10" s="20" t="n">
        <f aca="false">-('Balance Sheet'!K12-'Balance Sheet'!J12)</f>
        <v>-66322.2955527699</v>
      </c>
    </row>
    <row r="11" customFormat="false" ht="15" hidden="false" customHeight="false" outlineLevel="0" collapsed="false">
      <c r="A11" s="17" t="s">
        <v>115</v>
      </c>
      <c r="C11" s="40" t="s">
        <v>112</v>
      </c>
      <c r="D11" s="40" t="s">
        <v>112</v>
      </c>
      <c r="E11" s="40" t="s">
        <v>112</v>
      </c>
      <c r="F11" s="40" t="s">
        <v>112</v>
      </c>
      <c r="G11" s="20" t="n">
        <f aca="false">-('Balance Sheet'!G14-'Balance Sheet'!F14)</f>
        <v>26186.758</v>
      </c>
      <c r="H11" s="20" t="n">
        <f aca="false">-('Balance Sheet'!H14-'Balance Sheet'!G14)</f>
        <v>-3127.60242000001</v>
      </c>
      <c r="I11" s="20" t="n">
        <f aca="false">-('Balance Sheet'!I14-'Balance Sheet'!H14)</f>
        <v>-9476.63533260004</v>
      </c>
      <c r="J11" s="20" t="n">
        <f aca="false">-('Balance Sheet'!J14-'Balance Sheet'!I14)</f>
        <v>-13014.579190104</v>
      </c>
      <c r="K11" s="20" t="n">
        <f aca="false">-('Balance Sheet'!K14-'Balance Sheet'!J14)</f>
        <v>-13535.1623577081</v>
      </c>
    </row>
    <row r="12" customFormat="false" ht="15" hidden="false" customHeight="false" outlineLevel="0" collapsed="false">
      <c r="A12" s="17" t="s">
        <v>116</v>
      </c>
      <c r="C12" s="40" t="s">
        <v>112</v>
      </c>
      <c r="D12" s="40" t="s">
        <v>112</v>
      </c>
      <c r="E12" s="40" t="s">
        <v>112</v>
      </c>
      <c r="F12" s="40" t="s">
        <v>112</v>
      </c>
      <c r="G12" s="20" t="n">
        <f aca="false">('Balance Sheet'!G19-'Balance Sheet'!F19)</f>
        <v>-23039.4013879999</v>
      </c>
      <c r="H12" s="20" t="n">
        <f aca="false">('Balance Sheet'!H19-'Balance Sheet'!G19)</f>
        <v>-496.246250640019</v>
      </c>
      <c r="I12" s="20" t="n">
        <f aca="false">('Balance Sheet'!I19-'Balance Sheet'!H19)</f>
        <v>5549.09646697808</v>
      </c>
      <c r="J12" s="20" t="n">
        <f aca="false">('Balance Sheet'!J19-'Balance Sheet'!I19)</f>
        <v>12537.3779531335</v>
      </c>
      <c r="K12" s="20" t="n">
        <f aca="false">('Balance Sheet'!K19-'Balance Sheet'!J19)</f>
        <v>9050.51189652085</v>
      </c>
    </row>
    <row r="13" customFormat="false" ht="15" hidden="false" customHeight="false" outlineLevel="0" collapsed="false">
      <c r="A13" s="17" t="s">
        <v>117</v>
      </c>
      <c r="C13" s="40" t="s">
        <v>112</v>
      </c>
      <c r="D13" s="40" t="s">
        <v>112</v>
      </c>
      <c r="E13" s="40" t="s">
        <v>112</v>
      </c>
      <c r="F13" s="40" t="s">
        <v>112</v>
      </c>
      <c r="G13" s="20" t="n">
        <f aca="false">('Balance Sheet'!G20-'Balance Sheet'!F20)</f>
        <v>-58312.1987999999</v>
      </c>
      <c r="H13" s="20" t="n">
        <f aca="false">('Balance Sheet'!H20-'Balance Sheet'!G20)</f>
        <v>6046.69801199995</v>
      </c>
      <c r="I13" s="20" t="n">
        <f aca="false">('Balance Sheet'!I20-'Balance Sheet'!H20)</f>
        <v>18321.4949763601</v>
      </c>
      <c r="J13" s="20" t="n">
        <f aca="false">('Balance Sheet'!J20-'Balance Sheet'!I20)</f>
        <v>25161.5197675343</v>
      </c>
      <c r="K13" s="20" t="n">
        <f aca="false">('Balance Sheet'!K20-'Balance Sheet'!J20)</f>
        <v>26167.9805582358</v>
      </c>
    </row>
    <row r="14" customFormat="false" ht="15" hidden="false" customHeight="false" outlineLevel="0" collapsed="false">
      <c r="A14" s="17" t="s">
        <v>118</v>
      </c>
      <c r="C14" s="40" t="s">
        <v>112</v>
      </c>
      <c r="D14" s="40" t="s">
        <v>112</v>
      </c>
      <c r="E14" s="40" t="s">
        <v>112</v>
      </c>
      <c r="F14" s="40" t="s">
        <v>112</v>
      </c>
      <c r="G14" s="20" t="n">
        <f aca="false">('Balance Sheet'!G22-'Balance Sheet'!F22)</f>
        <v>-21027.223</v>
      </c>
      <c r="H14" s="20" t="n">
        <f aca="false">('Balance Sheet'!H22-'Balance Sheet'!G22)</f>
        <v>5733.93777000008</v>
      </c>
      <c r="I14" s="20" t="n">
        <f aca="false">('Balance Sheet'!I22-'Balance Sheet'!H22)</f>
        <v>17373.8314431</v>
      </c>
      <c r="J14" s="20" t="n">
        <f aca="false">('Balance Sheet'!J22-'Balance Sheet'!I22)</f>
        <v>23860.061848524</v>
      </c>
      <c r="K14" s="20" t="n">
        <f aca="false">('Balance Sheet'!K22-'Balance Sheet'!J22)</f>
        <v>24814.464322465</v>
      </c>
    </row>
    <row r="15" customFormat="false" ht="15" hidden="false" customHeight="false" outlineLevel="0" collapsed="false">
      <c r="A15" s="17" t="s">
        <v>119</v>
      </c>
      <c r="C15" s="40" t="s">
        <v>112</v>
      </c>
      <c r="D15" s="40" t="s">
        <v>112</v>
      </c>
      <c r="E15" s="40" t="s">
        <v>112</v>
      </c>
      <c r="F15" s="40" t="s">
        <v>112</v>
      </c>
      <c r="G15" s="20" t="n">
        <f aca="false">('Balance Sheet'!G21-'Balance Sheet'!F21)+('Balance Sheet'!G25-'Balance Sheet'!F25)</f>
        <v>-109535.6932</v>
      </c>
      <c r="H15" s="20" t="n">
        <f aca="false">('Balance Sheet'!H21-'Balance Sheet'!G21)+('Balance Sheet'!H25-'Balance Sheet'!G25)</f>
        <v>16889.053068</v>
      </c>
      <c r="I15" s="20" t="n">
        <f aca="false">('Balance Sheet'!I21-'Balance Sheet'!H21)+('Balance Sheet'!I25-'Balance Sheet'!H25)</f>
        <v>51173.8307960403</v>
      </c>
      <c r="J15" s="20" t="n">
        <f aca="false">('Balance Sheet'!J21-'Balance Sheet'!I21)+('Balance Sheet'!J25-'Balance Sheet'!I25)</f>
        <v>70278.7276265617</v>
      </c>
      <c r="K15" s="20" t="n">
        <f aca="false">('Balance Sheet'!K21-'Balance Sheet'!J21)+('Balance Sheet'!K25-'Balance Sheet'!J25)</f>
        <v>73089.8767316239</v>
      </c>
    </row>
    <row r="16" customFormat="false" ht="15" hidden="false" customHeight="false" outlineLevel="0" collapsed="false">
      <c r="A16" s="17" t="s">
        <v>120</v>
      </c>
      <c r="C16" s="40" t="s">
        <v>112</v>
      </c>
      <c r="D16" s="40" t="s">
        <v>112</v>
      </c>
      <c r="E16" s="40" t="s">
        <v>112</v>
      </c>
      <c r="F16" s="40" t="s">
        <v>112</v>
      </c>
      <c r="G16" s="20" t="n">
        <f aca="false">('Balance Sheet'!G26-'Balance Sheet'!F26)</f>
        <v>0</v>
      </c>
      <c r="H16" s="20" t="n">
        <f aca="false">('Balance Sheet'!H26-'Balance Sheet'!G26)</f>
        <v>0</v>
      </c>
      <c r="I16" s="20" t="n">
        <f aca="false">('Balance Sheet'!I26-'Balance Sheet'!H26)</f>
        <v>0</v>
      </c>
      <c r="J16" s="20" t="n">
        <f aca="false">('Balance Sheet'!J26-'Balance Sheet'!I26)</f>
        <v>0</v>
      </c>
      <c r="K16" s="20" t="n">
        <f aca="false">('Balance Sheet'!K26-'Balance Sheet'!J26)</f>
        <v>0</v>
      </c>
    </row>
    <row r="17" customFormat="false" ht="15" hidden="false" customHeight="false" outlineLevel="0" collapsed="false">
      <c r="A17" s="17" t="s">
        <v>121</v>
      </c>
      <c r="C17" s="40" t="s">
        <v>112</v>
      </c>
      <c r="D17" s="40" t="s">
        <v>112</v>
      </c>
      <c r="E17" s="40" t="s">
        <v>112</v>
      </c>
      <c r="F17" s="40" t="s">
        <v>112</v>
      </c>
      <c r="G17" s="20" t="n">
        <f aca="false">('Balance Sheet'!G27-'Balance Sheet'!F27)</f>
        <v>-3233.293</v>
      </c>
      <c r="H17" s="20" t="n">
        <f aca="false">('Balance Sheet'!H27-'Balance Sheet'!G27)</f>
        <v>521.267070000002</v>
      </c>
      <c r="I17" s="20" t="n">
        <f aca="false">('Balance Sheet'!I27-'Balance Sheet'!H27)</f>
        <v>1579.43922210001</v>
      </c>
      <c r="J17" s="20" t="n">
        <f aca="false">('Balance Sheet'!J27-'Balance Sheet'!I27)</f>
        <v>2169.09653168399</v>
      </c>
      <c r="K17" s="20" t="n">
        <f aca="false">('Balance Sheet'!K27-'Balance Sheet'!J27)</f>
        <v>2255.86039295136</v>
      </c>
    </row>
    <row r="18" customFormat="false" ht="15" hidden="false" customHeight="false" outlineLevel="0" collapsed="false">
      <c r="A18" s="17" t="s">
        <v>122</v>
      </c>
      <c r="C18" s="20" t="n">
        <f aca="false">C19-C5-C6-C7</f>
        <v>-258203</v>
      </c>
      <c r="D18" s="20" t="n">
        <f aca="false">D19-D5-D6-D7</f>
        <v>273030</v>
      </c>
      <c r="E18" s="20" t="n">
        <f aca="false">E19-E5-E6-E7</f>
        <v>-78438</v>
      </c>
      <c r="F18" s="20" t="n">
        <f aca="false">F19-F5-F6-F7</f>
        <v>-535137</v>
      </c>
    </row>
    <row r="19" customFormat="false" ht="15" hidden="false" customHeight="false" outlineLevel="0" collapsed="false">
      <c r="A19" s="27" t="s">
        <v>123</v>
      </c>
      <c r="C19" s="37" t="n">
        <v>966463</v>
      </c>
      <c r="D19" s="37" t="n">
        <v>2296164</v>
      </c>
      <c r="E19" s="37" t="n">
        <v>2272713</v>
      </c>
      <c r="F19" s="37" t="n">
        <v>1602477</v>
      </c>
      <c r="G19" s="28" t="n">
        <f aca="false">G5+G6+G7+SUM(G8:G17)</f>
        <v>1770711.716152</v>
      </c>
      <c r="H19" s="28" t="n">
        <f aca="false">H5+H6+H7+SUM(H8:H17)</f>
        <v>1762194.88210566</v>
      </c>
      <c r="I19" s="28" t="n">
        <f aca="false">I5+I6+I7+SUM(I8:I17)</f>
        <v>1908573.51711585</v>
      </c>
      <c r="J19" s="28" t="n">
        <f aca="false">J5+J6+J7+SUM(J8:J17)</f>
        <v>1987760.97505795</v>
      </c>
      <c r="K19" s="28" t="n">
        <f aca="false">K5+K6+K7+SUM(K8:K17)</f>
        <v>2173487.65336048</v>
      </c>
    </row>
    <row r="21" customFormat="false" ht="15" hidden="false" customHeight="false" outlineLevel="0" collapsed="false">
      <c r="A21" s="15" t="s">
        <v>124</v>
      </c>
      <c r="C21" s="16"/>
      <c r="D21" s="16"/>
      <c r="E21" s="16"/>
      <c r="F21" s="16"/>
      <c r="G21" s="16"/>
      <c r="H21" s="16"/>
      <c r="I21" s="16"/>
      <c r="J21" s="16"/>
      <c r="K21" s="16"/>
    </row>
    <row r="22" customFormat="false" ht="15" hidden="false" customHeight="false" outlineLevel="0" collapsed="false">
      <c r="A22" s="17" t="s">
        <v>125</v>
      </c>
      <c r="C22" s="26" t="n">
        <v>-638657</v>
      </c>
      <c r="D22" s="26" t="n">
        <v>-651865</v>
      </c>
      <c r="E22" s="26" t="n">
        <v>-689232</v>
      </c>
      <c r="F22" s="26" t="n">
        <v>-680802</v>
      </c>
      <c r="G22" s="20" t="n">
        <f aca="false">-'Income Statement'!G4*Assumptions!G13</f>
        <v>-573393.777</v>
      </c>
      <c r="H22" s="20" t="n">
        <f aca="false">-'Income Statement'!H4*Assumptions!H13</f>
        <v>-526479.7407</v>
      </c>
      <c r="I22" s="20" t="n">
        <f aca="false">-'Income Statement'!I4*Assumptions!I13</f>
        <v>-542274.132921</v>
      </c>
      <c r="J22" s="20" t="n">
        <f aca="false">-'Income Statement'!J4*Assumptions!J13</f>
        <v>-563965.09823784</v>
      </c>
      <c r="K22" s="20" t="n">
        <f aca="false">-'Income Statement'!K4*Assumptions!K13</f>
        <v>-586523.702167354</v>
      </c>
    </row>
    <row r="23" customFormat="false" ht="15" hidden="false" customHeight="false" outlineLevel="0" collapsed="false">
      <c r="A23" s="27" t="s">
        <v>126</v>
      </c>
      <c r="C23" s="37" t="n">
        <v>-569937</v>
      </c>
      <c r="D23" s="37" t="n">
        <v>-654132</v>
      </c>
      <c r="E23" s="37" t="n">
        <v>-798174</v>
      </c>
      <c r="F23" s="37" t="n">
        <v>-662118</v>
      </c>
      <c r="G23" s="28" t="n">
        <f aca="false">G22</f>
        <v>-573393.777</v>
      </c>
      <c r="H23" s="28" t="n">
        <f aca="false">H22</f>
        <v>-526479.7407</v>
      </c>
      <c r="I23" s="28" t="n">
        <f aca="false">I22</f>
        <v>-542274.132921</v>
      </c>
      <c r="J23" s="28" t="n">
        <f aca="false">J22</f>
        <v>-563965.09823784</v>
      </c>
      <c r="K23" s="28" t="n">
        <f aca="false">K22</f>
        <v>-586523.702167354</v>
      </c>
    </row>
    <row r="24" customFormat="false" ht="15" hidden="false" customHeight="false" outlineLevel="0" collapsed="false">
      <c r="A24" s="23" t="s">
        <v>127</v>
      </c>
    </row>
    <row r="26" customFormat="false" ht="15" hidden="false" customHeight="false" outlineLevel="0" collapsed="false">
      <c r="A26" s="15" t="s">
        <v>128</v>
      </c>
      <c r="C26" s="16"/>
      <c r="D26" s="16"/>
      <c r="E26" s="16"/>
      <c r="F26" s="16"/>
      <c r="G26" s="16"/>
      <c r="H26" s="16"/>
      <c r="I26" s="16"/>
      <c r="J26" s="16"/>
      <c r="K26" s="16"/>
    </row>
    <row r="27" customFormat="false" ht="15" hidden="false" customHeight="false" outlineLevel="0" collapsed="false">
      <c r="A27" s="17" t="s">
        <v>129</v>
      </c>
      <c r="C27" s="26" t="n">
        <v>-444001</v>
      </c>
      <c r="D27" s="26" t="n">
        <v>-558652</v>
      </c>
      <c r="E27" s="26" t="n">
        <v>-1636879</v>
      </c>
      <c r="F27" s="26" t="n">
        <v>-1178349</v>
      </c>
      <c r="G27" s="20" t="n">
        <f aca="false">-Assumptions!G27</f>
        <v>-500000</v>
      </c>
      <c r="H27" s="20" t="n">
        <f aca="false">-Assumptions!H27</f>
        <v>-500000</v>
      </c>
      <c r="I27" s="20" t="n">
        <f aca="false">-Assumptions!I27</f>
        <v>-500000</v>
      </c>
      <c r="J27" s="20" t="n">
        <f aca="false">-Assumptions!J27</f>
        <v>-500000</v>
      </c>
      <c r="K27" s="20" t="n">
        <f aca="false">-Assumptions!K27</f>
        <v>-500000</v>
      </c>
    </row>
    <row r="28" customFormat="false" ht="15" hidden="false" customHeight="false" outlineLevel="0" collapsed="false">
      <c r="A28" s="27" t="s">
        <v>130</v>
      </c>
      <c r="C28" s="37" t="n">
        <v>-467487</v>
      </c>
      <c r="D28" s="37" t="n">
        <v>-548828</v>
      </c>
      <c r="E28" s="37" t="n">
        <v>-1652508</v>
      </c>
      <c r="F28" s="37" t="n">
        <v>-1208656</v>
      </c>
      <c r="G28" s="28" t="n">
        <f aca="false">G27</f>
        <v>-500000</v>
      </c>
      <c r="H28" s="28" t="n">
        <f aca="false">H27</f>
        <v>-500000</v>
      </c>
      <c r="I28" s="28" t="n">
        <f aca="false">I27</f>
        <v>-500000</v>
      </c>
      <c r="J28" s="28" t="n">
        <f aca="false">J27</f>
        <v>-500000</v>
      </c>
      <c r="K28" s="28" t="n">
        <f aca="false">K27</f>
        <v>-500000</v>
      </c>
    </row>
    <row r="29" customFormat="false" ht="15" hidden="false" customHeight="false" outlineLevel="0" collapsed="false">
      <c r="A29" s="23" t="s">
        <v>131</v>
      </c>
    </row>
    <row r="31" customFormat="false" ht="15" hidden="false" customHeight="false" outlineLevel="0" collapsed="false">
      <c r="A31" s="27" t="s">
        <v>132</v>
      </c>
      <c r="C31" s="28" t="n">
        <f aca="false">C19+C23+C28</f>
        <v>-70961</v>
      </c>
      <c r="D31" s="28" t="n">
        <f aca="false">D19+D23+D28</f>
        <v>1093204</v>
      </c>
      <c r="E31" s="28" t="n">
        <f aca="false">E19+E23+E28</f>
        <v>-177969</v>
      </c>
      <c r="F31" s="28" t="n">
        <f aca="false">F19+F23+F28</f>
        <v>-268297</v>
      </c>
      <c r="G31" s="28" t="n">
        <f aca="false">G19+G23+G28</f>
        <v>697317.939152</v>
      </c>
      <c r="H31" s="28" t="n">
        <f aca="false">H19+H23+H28</f>
        <v>735715.14140566</v>
      </c>
      <c r="I31" s="28" t="n">
        <f aca="false">I19+I23+I28</f>
        <v>866299.384194853</v>
      </c>
      <c r="J31" s="28" t="n">
        <f aca="false">J19+J23+J28</f>
        <v>923795.876820109</v>
      </c>
      <c r="K31" s="28" t="n">
        <f aca="false">K19+K23+K28</f>
        <v>1086963.95119313</v>
      </c>
    </row>
    <row r="32" customFormat="false" ht="15" hidden="false" customHeight="false" outlineLevel="0" collapsed="false">
      <c r="A32" s="17" t="s">
        <v>133</v>
      </c>
      <c r="C32" s="26" t="n">
        <v>1150517</v>
      </c>
      <c r="D32" s="26" t="n">
        <v>1154867</v>
      </c>
      <c r="E32" s="26" t="n">
        <v>2243971</v>
      </c>
      <c r="F32" s="26" t="n">
        <v>1984336</v>
      </c>
      <c r="G32" s="20" t="n">
        <f aca="false">'Balance Sheet'!F6</f>
        <v>1807202</v>
      </c>
      <c r="H32" s="20" t="n">
        <f aca="false">G33</f>
        <v>2504519.939152</v>
      </c>
      <c r="I32" s="20" t="n">
        <f aca="false">H33</f>
        <v>3240235.08055766</v>
      </c>
      <c r="J32" s="20" t="n">
        <f aca="false">I33</f>
        <v>4106534.46475251</v>
      </c>
      <c r="K32" s="20" t="n">
        <f aca="false">J33</f>
        <v>5030330.34157262</v>
      </c>
    </row>
    <row r="33" customFormat="false" ht="15" hidden="false" customHeight="false" outlineLevel="0" collapsed="false">
      <c r="A33" s="27" t="s">
        <v>134</v>
      </c>
      <c r="C33" s="38" t="n">
        <v>1154867</v>
      </c>
      <c r="D33" s="38" t="n">
        <v>2243971</v>
      </c>
      <c r="E33" s="38" t="n">
        <v>1984336</v>
      </c>
      <c r="F33" s="38" t="n">
        <v>1807202</v>
      </c>
      <c r="G33" s="29" t="n">
        <f aca="false">G32+G31</f>
        <v>2504519.939152</v>
      </c>
      <c r="H33" s="29" t="n">
        <f aca="false">H32+H31</f>
        <v>3240235.08055766</v>
      </c>
      <c r="I33" s="29" t="n">
        <f aca="false">I32+I31</f>
        <v>4106534.46475251</v>
      </c>
      <c r="J33" s="29" t="n">
        <f aca="false">J32+J31</f>
        <v>5030330.34157262</v>
      </c>
      <c r="K33" s="29" t="n">
        <f aca="false">K32+K31</f>
        <v>6117294.29276575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2026-09-06T18:14:45Z</dcterms:created>
  <dc:creator>openpyxl</dc:creator>
  <dc:description/>
  <dc:language>en-US</dc:language>
  <cp:lastModifiedBy/>
  <dcterms:modified xsi:type="dcterms:W3CDTF">2026-09-06T18:14:45Z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
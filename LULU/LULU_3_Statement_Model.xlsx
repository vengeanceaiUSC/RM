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nasdaq.com/market-activity/stocks/lulu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receivable % of revenue</t>
        </is>
      </c>
      <c r="B18" s="20" t="inlineStr">
        <is>
          <t>AR 1.7% of sales = FY25 Accounts receivable, net 190,657 / 11,102,600. Wholesale and marketplace receivables; hold the FY25 mix.</t>
        </is>
      </c>
      <c r="C18" s="21" t="inlineStr">
        <is>
          <t>LULU FY2025 10-K: Accounts receivable, net</t>
        </is>
      </c>
      <c r="D18" s="22" t="inlineStr">
        <is>
          <t>Ctrl+F "Accounts receivable, net" (one hit on the BS) → 190,657 ($000). 190,657 / 11,102,600 = 1.7% of sales. Model holds 1.7%.</t>
        </is>
      </c>
      <c r="E18" s="23" t="n">
        <v>0.0163868694946488</v>
      </c>
      <c r="F18" s="23" t="n">
        <v>0.01297072399820444</v>
      </c>
      <c r="G18" s="23" t="n">
        <v>0.01134978937727035</v>
      </c>
      <c r="H18" s="23" t="n">
        <v>0.01717228396952065</v>
      </c>
      <c r="I18" s="24" t="n">
        <v>0.017</v>
      </c>
      <c r="J18" s="24" t="n">
        <v>0.017</v>
      </c>
      <c r="K18" s="24" t="n">
        <v>0.017</v>
      </c>
      <c r="L18" s="24" t="n">
        <v>0.017</v>
      </c>
      <c r="M18" s="24" t="n">
        <v>0.017</v>
      </c>
    </row>
    <row r="19" ht="28" customHeight="1">
      <c r="A19" s="19" t="inlineStr">
        <is>
          <t>Accounts payable % of COGS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23" t="n">
        <v>0.04774005037894764</v>
      </c>
      <c r="F19" s="23" t="n">
        <v>0.08689576951688993</v>
      </c>
      <c r="G19" s="23" t="n">
        <v>0.06286453501771355</v>
      </c>
      <c r="H19" s="23" t="n">
        <v>0.06878140521012073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28" customHeight="1">
      <c r="A20" s="19" t="inlineStr">
        <is>
          <t>Accrued liabilities % of revenue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23" t="n">
        <v>0.04922287331092786</v>
      </c>
      <c r="F20" s="23" t="n">
        <v>0.03623504799424655</v>
      </c>
      <c r="G20" s="23" t="n">
        <v>0.05283871763520759</v>
      </c>
      <c r="H20" s="23" t="n">
        <v>0.05971412101669879</v>
      </c>
      <c r="I20" s="24" t="n">
        <v>0.058</v>
      </c>
      <c r="J20" s="24" t="n">
        <v>0.058</v>
      </c>
      <c r="K20" s="24" t="n">
        <v>0.058</v>
      </c>
      <c r="L20" s="24" t="n">
        <v>0.058</v>
      </c>
      <c r="M20" s="24" t="n">
        <v>0.058</v>
      </c>
    </row>
    <row r="21" ht="28" customHeight="1">
      <c r="A21" s="19" t="inlineStr">
        <is>
          <t>Other current assets % of revenue</t>
        </is>
      </c>
      <c r="B21" s="20" t="inlineStr">
        <is>
          <t>OCA 5.1% is current assets minus cash, AR, and inventory (prepaids / tax receivables). AR is its own line, not inside OCA.</t>
        </is>
      </c>
      <c r="C21" s="21" t="inlineStr">
        <is>
          <t>LULU balance sheet (10-K)</t>
        </is>
      </c>
      <c r="D21" s="22" t="inlineStr">
        <is>
          <t>OCA = "Total current assets" 4,262,701 − cash 1,807,202 − "Accounts receivable, net" 190,657 − "Inventories" 1,700,753 = 564,089 (5.1% of sales). AR is not inside this residual.</t>
        </is>
      </c>
      <c r="E21" s="23" t="n">
        <v>0.05231638719006604</v>
      </c>
      <c r="F21" s="23" t="n">
        <v>0.03828093958818947</v>
      </c>
      <c r="G21" s="23" t="n">
        <v>0.04096211170890864</v>
      </c>
      <c r="H21" s="23" t="n">
        <v>0.05080692810692991</v>
      </c>
      <c r="I21" s="24" t="n">
        <v>0.051</v>
      </c>
      <c r="J21" s="24" t="n">
        <v>0.051</v>
      </c>
      <c r="K21" s="24" t="n">
        <v>0.051</v>
      </c>
      <c r="L21" s="24" t="n">
        <v>0.051</v>
      </c>
      <c r="M21" s="24" t="n">
        <v>0.051</v>
      </c>
    </row>
    <row r="22" ht="28" customHeight="1">
      <c r="A22" s="19" t="inlineStr">
        <is>
          <t>Operating lease ROU asset % of revenue</t>
        </is>
      </c>
      <c r="B22" s="20" t="inlineStr">
        <is>
          <t>ROU assets 14.7% of revenue; lease-intensive store model, stable vs FY25 operating lease footprint.</t>
        </is>
      </c>
      <c r="C22" s="21" t="inlineStr">
        <is>
          <t>LULU lease disclosures (10-K)</t>
        </is>
      </c>
      <c r="D22" s="22" t="inlineStr">
        <is>
          <t>Ctrl+F "Right-of-use lease assets" → 1,630,181 ÷ "Net revenue" 11,102,600 = 14.7%</t>
        </is>
      </c>
      <c r="E22" s="23" t="n">
        <v>0.1195261511040355</v>
      </c>
      <c r="F22" s="23" t="n">
        <v>0.1315701656610818</v>
      </c>
      <c r="G22" s="23" t="n">
        <v>0.1337588918001165</v>
      </c>
      <c r="H22" s="23" t="n">
        <v>0.1468287608307964</v>
      </c>
      <c r="I22" s="24" t="n">
        <v>0.147</v>
      </c>
      <c r="J22" s="24" t="n">
        <v>0.147</v>
      </c>
      <c r="K22" s="24" t="n">
        <v>0.147</v>
      </c>
      <c r="L22" s="24" t="n">
        <v>0.147</v>
      </c>
      <c r="M22" s="24" t="n">
        <v>0.147</v>
      </c>
    </row>
    <row r="23" ht="28" customHeight="1">
      <c r="A23" s="19" t="inlineStr">
        <is>
          <t>Other non-current assets % of revenue</t>
        </is>
      </c>
      <c r="B23" s="20" t="inlineStr">
        <is>
          <t>ONCA 3.0% = FY25 total assets − CA − PPE − ROU − GW (338,947); matches earnings 'deferred taxes and other NC assets'.</t>
        </is>
      </c>
      <c r="C23" s="21" t="inlineStr">
        <is>
          <t>LULU balance sheet (10-K)</t>
        </is>
      </c>
      <c r="D23" s="22" t="inlineStr">
        <is>
          <t>Ctrl+F "Total assets" 8,456,743 − current assets − "Property and equipment, net" − "Right-of-use lease assets" − goodwill/intangibles = 338,947 (3.0%)</t>
        </is>
      </c>
      <c r="E23" s="23" t="n">
        <v>0.02002917692803345</v>
      </c>
      <c r="F23" s="23" t="n">
        <v>0.02036119550760462</v>
      </c>
      <c r="G23" s="23" t="n">
        <v>0.02407659296838742</v>
      </c>
      <c r="H23" s="23" t="n">
        <v>0.03052861491902797</v>
      </c>
      <c r="I23" s="24" t="n">
        <v>0.03</v>
      </c>
      <c r="J23" s="24" t="n">
        <v>0.03</v>
      </c>
      <c r="K23" s="24" t="n">
        <v>0.03</v>
      </c>
      <c r="L23" s="24" t="n">
        <v>0.03</v>
      </c>
      <c r="M23" s="24" t="n">
        <v>0.03</v>
      </c>
    </row>
    <row r="24" ht="28" customHeight="1">
      <c r="A24" s="19" t="inlineStr">
        <is>
          <t>Op lease liab (current) % of revenue</t>
        </is>
      </c>
      <c r="B24" s="20" t="inlineStr">
        <is>
          <t>Current lease liabilities 2.7% of revenue; short-term portion of operating lease obligations.</t>
        </is>
      </c>
      <c r="C24" s="21" t="inlineStr">
        <is>
          <t>LULU lease disclosures (10-K)</t>
        </is>
      </c>
      <c r="D24" s="22" t="inlineStr">
        <is>
          <t>Ctrl+F "Current lease liabilities" → 298,724 ÷ "Net revenue" 11,102,600 = 2.7%</t>
        </is>
      </c>
      <c r="E24" s="23" t="n">
        <v>0.02564225860789656</v>
      </c>
      <c r="F24" s="23" t="n">
        <v>0.02591358727754827</v>
      </c>
      <c r="G24" s="23" t="n">
        <v>0.02598703491061591</v>
      </c>
      <c r="H24" s="23" t="n">
        <v>0.02690576981968188</v>
      </c>
      <c r="I24" s="24" t="n">
        <v>0.027</v>
      </c>
      <c r="J24" s="24" t="n">
        <v>0.027</v>
      </c>
      <c r="K24" s="24" t="n">
        <v>0.027</v>
      </c>
      <c r="L24" s="24" t="n">
        <v>0.027</v>
      </c>
      <c r="M24" s="24" t="n">
        <v>0.027</v>
      </c>
    </row>
    <row r="25" ht="28" customHeight="1">
      <c r="A25" s="19" t="inlineStr">
        <is>
          <t>Op lease liab (non-current) % of revenue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23" t="n">
        <v>0.1063263776740277</v>
      </c>
      <c r="F25" s="23" t="n">
        <v>0.1199686712453887</v>
      </c>
      <c r="G25" s="23" t="n">
        <v>0.1228392068624797</v>
      </c>
      <c r="H25" s="23" t="n">
        <v>0.1350779997478068</v>
      </c>
      <c r="I25" s="24" t="n">
        <v>0.135</v>
      </c>
      <c r="J25" s="24" t="n">
        <v>0.135</v>
      </c>
      <c r="K25" s="24" t="n">
        <v>0.135</v>
      </c>
      <c r="L25" s="24" t="n">
        <v>0.135</v>
      </c>
      <c r="M25" s="24" t="n">
        <v>0.135</v>
      </c>
    </row>
    <row r="26" ht="28" customHeight="1">
      <c r="A26" s="19" t="inlineStr">
        <is>
          <t>Other current liabilities % of revenue</t>
        </is>
      </c>
      <c r="B26" s="20" t="inlineStr">
        <is>
          <t>OCL 5.5% = FY25 current liabilities minus AP, accrued, and current leases (residual ~594k); not the 45,954 'other' line alone.</t>
        </is>
      </c>
      <c r="C26" s="21" t="inlineStr">
        <is>
          <t>LULU balance sheet (10-K)</t>
        </is>
      </c>
      <c r="D26" s="22" t="inlineStr">
        <is>
          <t>Ctrl+F "Total current liabilities" 1,887,548 − "Accounts payable" 331,421 − "Accrued liabilities and other" 662,982 − "Current lease liabilities" 298,724 ≈ 594,421 (5.4%)</t>
        </is>
      </c>
      <c r="E26" s="23" t="n">
        <v>0.08782065461170298</v>
      </c>
      <c r="F26" s="23" t="n">
        <v>0.0712106459549251</v>
      </c>
      <c r="G26" s="23" t="n">
        <v>0.06928582073919408</v>
      </c>
      <c r="H26" s="23" t="n">
        <v>0.05353890079801128</v>
      </c>
      <c r="I26" s="24" t="n">
        <v>0.055</v>
      </c>
      <c r="J26" s="24" t="n">
        <v>0.055</v>
      </c>
      <c r="K26" s="24" t="n">
        <v>0.055</v>
      </c>
      <c r="L26" s="24" t="n">
        <v>0.055</v>
      </c>
      <c r="M26" s="24" t="n">
        <v>0.055</v>
      </c>
    </row>
    <row r="27" ht="28" customHeight="1">
      <c r="A27" s="19" t="inlineStr">
        <is>
          <t>Other non-current liab % of revenue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3" t="n">
        <v>0.005991602509235539</v>
      </c>
      <c r="F27" s="23" t="n">
        <v>0.00468486304273564</v>
      </c>
      <c r="G27" s="23" t="n">
        <v>0.003852428654513556</v>
      </c>
      <c r="H27" s="23" t="n">
        <v>0.004986219444094176</v>
      </c>
      <c r="I27" s="24" t="n">
        <v>0.005</v>
      </c>
      <c r="J27" s="24" t="n">
        <v>0.005</v>
      </c>
      <c r="K27" s="24" t="n">
        <v>0.005</v>
      </c>
      <c r="L27" s="24" t="n">
        <v>0.005</v>
      </c>
      <c r="M27" s="24" t="n">
        <v>0.005</v>
      </c>
    </row>
    <row r="28">
      <c r="A28" s="17" t="inlineStr">
        <is>
          <t>CAPITAL RETURN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 ht="28" customHeight="1">
      <c r="A29" s="19" t="inlineStr">
        <is>
          <t>Share repurchases ($)</t>
        </is>
      </c>
      <c r="B29" s="20" t="inlineStr">
        <is>
          <t>$500M annual repurchases; continued capital return at moderated pace vs FY24–25 peak buyback levels.</t>
        </is>
      </c>
      <c r="C29" s="21" t="inlineStr">
        <is>
          <t>LULU CF: share repurchases (10-K)</t>
        </is>
      </c>
      <c r="D29" s="22" t="inlineStr">
        <is>
          <t>Ctrl+F "Repurchase of common stock" → ( 1,178,349 ) ($000) FY25; model (500,000)/yr</t>
        </is>
      </c>
      <c r="E29" s="25" t="n">
        <v>444001</v>
      </c>
      <c r="F29" s="25" t="n">
        <v>558652</v>
      </c>
      <c r="G29" s="25" t="n">
        <v>1636879</v>
      </c>
      <c r="H29" s="25" t="n">
        <v>1178349</v>
      </c>
      <c r="I29" s="26" t="n">
        <v>500000</v>
      </c>
      <c r="J29" s="26" t="n">
        <v>500000</v>
      </c>
      <c r="K29" s="26" t="n">
        <v>500000</v>
      </c>
      <c r="L29" s="26" t="n">
        <v>500000</v>
      </c>
      <c r="M29" s="26" t="n">
        <v>500000</v>
      </c>
    </row>
    <row r="30" ht="28" customHeight="1">
      <c r="A30" s="19" t="inlineStr">
        <is>
          <t>Avg repurchase price ($/sh)</t>
        </is>
      </c>
      <c r="B30" s="20" t="inlineStr">
        <is>
          <t>FY26 repurchase price $100 matches the current quote; path $100→$130 is a recovery assumption (FY25 10-K paid $168–$199).</t>
        </is>
      </c>
      <c r="C30" s="21" t="inlineStr">
        <is>
          <t>NASDAQ LULU last sale (current price)</t>
        </is>
      </c>
      <c r="D30" s="22" t="inlineStr">
        <is>
          <t>Ctrl+F "LULU" → Last Sale / Previous Close (~$100). FY26 model repurchase price starts at $100.</t>
        </is>
      </c>
      <c r="I30" s="28" t="n">
        <v>100</v>
      </c>
      <c r="J30" s="28" t="n">
        <v>108</v>
      </c>
      <c r="K30" s="28" t="n">
        <v>115</v>
      </c>
      <c r="L30" s="28" t="n">
        <v>122</v>
      </c>
      <c r="M30" s="28" t="n">
        <v>130</v>
      </c>
    </row>
    <row r="32">
      <c r="A32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9" r:id="rId26"/>
    <hyperlink xmlns:r="http://schemas.openxmlformats.org/officeDocument/2006/relationships" ref="C30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H16-'Assumptions'!I29/'Assumptions'!I30</f>
        <v/>
      </c>
      <c r="J16" s="26">
        <f>I16-'Assumptions'!J29/'Assumptions'!J30</f>
        <v/>
      </c>
      <c r="K16" s="26">
        <f>J16-'Assumptions'!K29/'Assumptions'!K30</f>
        <v/>
      </c>
      <c r="L16" s="26">
        <f>K16-'Assumptions'!L29/'Assumptions'!L30</f>
        <v/>
      </c>
      <c r="M16" s="26">
        <f>L16-'Assumptions'!M29/'Assumptions'!M30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Flow'!I34</f>
        <v/>
      </c>
      <c r="J6" s="25">
        <f>'Cash Flow'!J34</f>
        <v/>
      </c>
      <c r="K6" s="25">
        <f>'Cash Flow'!K34</f>
        <v/>
      </c>
      <c r="L6" s="25">
        <f>'Cash Flow'!L34</f>
        <v/>
      </c>
      <c r="M6" s="25">
        <f>'Cash Flow'!M34</f>
        <v/>
      </c>
    </row>
    <row r="7" ht="28" customHeight="1">
      <c r="A7" s="19" t="inlineStr">
        <is>
          <t>Accounts receivable, net</t>
        </is>
      </c>
      <c r="B7" s="20" t="inlineStr">
        <is>
          <t>AR 1.7% of sales = FY25 Accounts receivable, net 190,657 / 11,102,600. Wholesale and marketplace receivables; hold the FY25 mix.</t>
        </is>
      </c>
      <c r="C7" s="21" t="inlineStr">
        <is>
          <t>LULU FY2025 10-K: Accounts receivable, net</t>
        </is>
      </c>
      <c r="D7" s="22" t="inlineStr">
        <is>
          <t>Ctrl+F "Accounts receivable, net" (one hit on the BS) → 190,657 ($000). 190,657 / 11,102,600 = 1.7% of sales. Model holds 1.7%.</t>
        </is>
      </c>
      <c r="E7" s="32" t="n">
        <v>132906</v>
      </c>
      <c r="F7" s="32" t="n">
        <v>124769</v>
      </c>
      <c r="G7" s="32" t="n">
        <v>120173</v>
      </c>
      <c r="H7" s="32" t="n">
        <v>190657</v>
      </c>
      <c r="I7" s="26">
        <f>'Income Statement'!I4*'Assumptions'!I18</f>
        <v/>
      </c>
      <c r="J7" s="26">
        <f>'Income Statement'!J4*'Assumptions'!J18</f>
        <v/>
      </c>
      <c r="K7" s="26">
        <f>'Income Statement'!K4*'Assumptions'!K18</f>
        <v/>
      </c>
      <c r="L7" s="26">
        <f>'Income Statement'!L4*'Assumptions'!L18</f>
        <v/>
      </c>
      <c r="M7" s="26">
        <f>'Income Statement'!M4*'Assumptions'!M18</f>
        <v/>
      </c>
    </row>
    <row r="8" ht="28" customHeight="1">
      <c r="A8" s="19" t="inlineStr">
        <is>
          <t>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32" t="n">
        <v>1447367</v>
      </c>
      <c r="F8" s="32" t="n">
        <v>1323602</v>
      </c>
      <c r="G8" s="32" t="n">
        <v>1442081</v>
      </c>
      <c r="H8" s="32" t="n">
        <v>1700753</v>
      </c>
      <c r="I8" s="26">
        <f>'Income Statement'!I5*'Assumptions'!I17</f>
        <v/>
      </c>
      <c r="J8" s="26">
        <f>'Income Statement'!J5*'Assumptions'!J17</f>
        <v/>
      </c>
      <c r="K8" s="26">
        <f>'Income Statement'!K5*'Assumptions'!K17</f>
        <v/>
      </c>
      <c r="L8" s="26">
        <f>'Income Statement'!L5*'Assumptions'!L17</f>
        <v/>
      </c>
      <c r="M8" s="26">
        <f>'Income Statement'!M5*'Assumptions'!M17</f>
        <v/>
      </c>
    </row>
    <row r="9" ht="28" customHeight="1">
      <c r="A9" s="19" t="inlineStr">
        <is>
          <t>Other current assets</t>
        </is>
      </c>
      <c r="B9" s="20" t="inlineStr">
        <is>
          <t>OCA 5.1% is current assets minus cash, AR, and inventory (prepaids / tax receivables). AR is its own line, not inside OCA.</t>
        </is>
      </c>
      <c r="C9" s="21" t="inlineStr">
        <is>
          <t>LULU balance sheet (10-K)</t>
        </is>
      </c>
      <c r="D9" s="22" t="inlineStr">
        <is>
          <t>OCA = "Total current assets" 4,262,701 − cash 1,807,202 − "Accounts receivable, net" 190,657 − "Inventories" 1,700,753 = 564,089 (5.1% of sales). AR is not inside this residual.</t>
        </is>
      </c>
      <c r="E9" s="25" t="n">
        <v>424313</v>
      </c>
      <c r="F9" s="25" t="n">
        <v>368235</v>
      </c>
      <c r="G9" s="25" t="n">
        <v>433712</v>
      </c>
      <c r="H9" s="25" t="n">
        <v>564089</v>
      </c>
      <c r="I9" s="26">
        <f>'Income Statement'!I4*'Assumptions'!I21</f>
        <v/>
      </c>
      <c r="J9" s="26">
        <f>'Income Statement'!J4*'Assumptions'!J21</f>
        <v/>
      </c>
      <c r="K9" s="26">
        <f>'Income Statement'!K4*'Assumptions'!K21</f>
        <v/>
      </c>
      <c r="L9" s="26">
        <f>'Income Statement'!L4*'Assumptions'!L21</f>
        <v/>
      </c>
      <c r="M9" s="26">
        <f>'Income Statement'!M4*'Assumptions'!M21</f>
        <v/>
      </c>
    </row>
    <row r="10">
      <c r="A10" s="33" t="inlineStr">
        <is>
          <t>Total current assets</t>
        </is>
      </c>
      <c r="E10" s="43" t="n">
        <v>3159453</v>
      </c>
      <c r="F10" s="43" t="n">
        <v>4060577</v>
      </c>
      <c r="G10" s="43" t="n">
        <v>3980302</v>
      </c>
      <c r="H10" s="43" t="n">
        <v>4262701</v>
      </c>
      <c r="I10" s="34">
        <f>I6+I7+I8+I9</f>
        <v/>
      </c>
      <c r="J10" s="34">
        <f>J6+J7+J8+J9</f>
        <v/>
      </c>
      <c r="K10" s="34">
        <f>K6+K7+K8+K9</f>
        <v/>
      </c>
      <c r="L10" s="34">
        <f>L6+L7+L8+L9</f>
        <v/>
      </c>
      <c r="M10" s="34">
        <f>M6+M7+M8+M9</f>
        <v/>
      </c>
    </row>
    <row r="11">
      <c r="A11" s="42" t="inlineStr">
        <is>
          <t>Non-current assets:</t>
        </is>
      </c>
    </row>
    <row r="12" ht="150" customHeight="1">
      <c r="A12" s="19" t="inlineStr">
        <is>
          <t>Property &amp; equipment, net</t>
        </is>
      </c>
      <c r="B12" s="20" t="inlineStr">
        <is>
          <t>FY26 7.0% is $735M / $10.4B, not / FY25 $11.1B. Since 7.0% steps toward FY25 6.1%, we assume a fade: 7.0 / 6.0 / 5.5 / 5.0 / 5.0.</t>
        </is>
      </c>
      <c r="C12" s="21" t="inlineStr">
        <is>
          <t>LULU CF statement (10-K)</t>
        </is>
      </c>
      <c r="D1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2" t="n">
        <v>1269614</v>
      </c>
      <c r="F12" s="32" t="n">
        <v>1545811</v>
      </c>
      <c r="G12" s="32" t="n">
        <v>1780617</v>
      </c>
      <c r="H12" s="32" t="n">
        <v>2033720</v>
      </c>
      <c r="I12" s="26">
        <f>H12+'Income Statement'!I4*'Assumptions'!I14-'Income Statement'!I4*'Assumptions'!I13</f>
        <v/>
      </c>
      <c r="J12" s="26">
        <f>I12+'Income Statement'!J4*'Assumptions'!J14-'Income Statement'!J4*'Assumptions'!J13</f>
        <v/>
      </c>
      <c r="K12" s="26">
        <f>J12+'Income Statement'!K4*'Assumptions'!K14-'Income Statement'!K4*'Assumptions'!K13</f>
        <v/>
      </c>
      <c r="L12" s="26">
        <f>K12+'Income Statement'!L4*'Assumptions'!L14-'Income Statement'!L4*'Assumptions'!L13</f>
        <v/>
      </c>
      <c r="M12" s="26">
        <f>L12+'Income Statement'!M4*'Assumptions'!M14-'Income Statement'!M4*'Assumptions'!M13</f>
        <v/>
      </c>
    </row>
    <row r="13" ht="28" customHeight="1">
      <c r="A13" s="19" t="inlineStr">
        <is>
          <t>Operating lease right-of-use assets</t>
        </is>
      </c>
      <c r="B13" s="20" t="inlineStr">
        <is>
          <t>ROU assets 14.7% of revenue; lease-intensive store model, stable vs FY25 operating lease footprint.</t>
        </is>
      </c>
      <c r="C13" s="21" t="inlineStr">
        <is>
          <t>LULU lease disclosures (10-K)</t>
        </is>
      </c>
      <c r="D13" s="22" t="inlineStr">
        <is>
          <t>Ctrl+F "Right-of-use lease assets" → 1,630,181 ÷ "Net revenue" 11,102,600 = 14.7%</t>
        </is>
      </c>
      <c r="E13" s="32" t="n">
        <v>969419</v>
      </c>
      <c r="F13" s="32" t="n">
        <v>1265610</v>
      </c>
      <c r="G13" s="32" t="n">
        <v>1416256</v>
      </c>
      <c r="H13" s="32" t="n">
        <v>1630181</v>
      </c>
      <c r="I13" s="26">
        <f>'Income Statement'!I4*'Assumptions'!I22</f>
        <v/>
      </c>
      <c r="J13" s="26">
        <f>'Income Statement'!J4*'Assumptions'!J22</f>
        <v/>
      </c>
      <c r="K13" s="26">
        <f>'Income Statement'!K4*'Assumptions'!K22</f>
        <v/>
      </c>
      <c r="L13" s="26">
        <f>'Income Statement'!L4*'Assumptions'!L22</f>
        <v/>
      </c>
      <c r="M13" s="26">
        <f>'Income Statement'!M4*'Assumptions'!M22</f>
        <v/>
      </c>
    </row>
    <row r="14">
      <c r="A14" s="19" t="inlineStr">
        <is>
          <t>Goodwill &amp; intangible assets</t>
        </is>
      </c>
      <c r="E14" s="32" t="n">
        <v>46105</v>
      </c>
      <c r="F14" s="32" t="n">
        <v>24083</v>
      </c>
      <c r="G14" s="32" t="n">
        <v>171191</v>
      </c>
      <c r="H14" s="32" t="n">
        <v>191194</v>
      </c>
      <c r="I14" s="25">
        <f>H14</f>
        <v/>
      </c>
      <c r="J14" s="25">
        <f>I14</f>
        <v/>
      </c>
      <c r="K14" s="25">
        <f>J14</f>
        <v/>
      </c>
      <c r="L14" s="25">
        <f>K14</f>
        <v/>
      </c>
      <c r="M14" s="25">
        <f>L14</f>
        <v/>
      </c>
    </row>
    <row r="15" ht="28" customHeight="1">
      <c r="A15" s="19" t="inlineStr">
        <is>
          <t>Other non-current assets</t>
        </is>
      </c>
      <c r="B15" s="20" t="inlineStr">
        <is>
          <t>ONCA 3.0% = FY25 total assets − CA − PPE − ROU − GW (338,947); matches earnings 'deferred taxes and other NC assets'.</t>
        </is>
      </c>
      <c r="C15" s="21" t="inlineStr">
        <is>
          <t>LULU balance sheet (10-K)</t>
        </is>
      </c>
      <c r="D15" s="22" t="inlineStr">
        <is>
          <t>Ctrl+F "Total assets" 8,456,743 − current assets − "Property and equipment, net" − "Right-of-use lease assets" − goodwill/intangibles = 338,947 (3.0%)</t>
        </is>
      </c>
      <c r="E15" s="25" t="n">
        <v>162447</v>
      </c>
      <c r="F15" s="25" t="n">
        <v>195860</v>
      </c>
      <c r="G15" s="25" t="n">
        <v>254926</v>
      </c>
      <c r="H15" s="25" t="n">
        <v>338947</v>
      </c>
      <c r="I15" s="26">
        <f>'Income Statement'!I4*'Assumptions'!I23</f>
        <v/>
      </c>
      <c r="J15" s="26">
        <f>'Income Statement'!J4*'Assumptions'!J23</f>
        <v/>
      </c>
      <c r="K15" s="26">
        <f>'Income Statement'!K4*'Assumptions'!K23</f>
        <v/>
      </c>
      <c r="L15" s="26">
        <f>'Income Statement'!L4*'Assumptions'!L23</f>
        <v/>
      </c>
      <c r="M15" s="26">
        <f>'Income Statement'!M4*'Assumptions'!M23</f>
        <v/>
      </c>
    </row>
    <row r="16">
      <c r="A16" s="33" t="inlineStr">
        <is>
          <t>TOTAL ASSETS</t>
        </is>
      </c>
      <c r="E16" s="44" t="n">
        <v>5607038</v>
      </c>
      <c r="F16" s="44" t="n">
        <v>7091941</v>
      </c>
      <c r="G16" s="44" t="n">
        <v>7603292</v>
      </c>
      <c r="H16" s="44" t="n">
        <v>8456743</v>
      </c>
      <c r="I16" s="35">
        <f>I10+I12+I13+I14+I15</f>
        <v/>
      </c>
      <c r="J16" s="35">
        <f>J10+J12+J13+J14+J15</f>
        <v/>
      </c>
      <c r="K16" s="35">
        <f>K10+K12+K13+K14+K15</f>
        <v/>
      </c>
      <c r="L16" s="35">
        <f>L10+L12+L13+L14+L15</f>
        <v/>
      </c>
      <c r="M16" s="35">
        <f>M10+M12+M13+M14+M15</f>
        <v/>
      </c>
    </row>
    <row r="18">
      <c r="A18" s="17" t="inlineStr">
        <is>
          <t>LIABILITIES &amp; EQUITY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42" t="inlineStr">
        <is>
          <t>Current liabilities:</t>
        </is>
      </c>
    </row>
    <row r="20" ht="28" customHeight="1">
      <c r="A20" s="19" t="inlineStr">
        <is>
          <t>Accounts payable</t>
        </is>
      </c>
      <c r="B20" s="20" t="inlineStr">
        <is>
          <t>AP 6.8% of COGS; holds near FY25 level reflecting vendor terms and production payment cadence.</t>
        </is>
      </c>
      <c r="C20" s="21" t="inlineStr">
        <is>
          <t>LULU balance sheet (10-K)</t>
        </is>
      </c>
      <c r="D20" s="22" t="inlineStr">
        <is>
          <t>Ctrl+F "Accounts payable" → 331,421 ÷ "Cost of goods sold" 4,818,468 = 6.9%</t>
        </is>
      </c>
      <c r="E20" s="32" t="n">
        <v>172732</v>
      </c>
      <c r="F20" s="32" t="n">
        <v>348441</v>
      </c>
      <c r="G20" s="32" t="n">
        <v>271406</v>
      </c>
      <c r="H20" s="32" t="n">
        <v>331421</v>
      </c>
      <c r="I20" s="26">
        <f>'Income Statement'!I5*'Assumptions'!I19</f>
        <v/>
      </c>
      <c r="J20" s="26">
        <f>'Income Statement'!J5*'Assumptions'!J19</f>
        <v/>
      </c>
      <c r="K20" s="26">
        <f>'Income Statement'!K5*'Assumptions'!K19</f>
        <v/>
      </c>
      <c r="L20" s="26">
        <f>'Income Statement'!L5*'Assumptions'!L19</f>
        <v/>
      </c>
      <c r="M20" s="26">
        <f>'Income Statement'!M5*'Assumptions'!M19</f>
        <v/>
      </c>
    </row>
    <row r="21" ht="28" customHeight="1">
      <c r="A21" s="19" t="inlineStr">
        <is>
          <t>Accrued liabilities</t>
        </is>
      </c>
      <c r="B21" s="20" t="inlineStr">
        <is>
          <t>Accrued liabilities 5.8% of revenue; stable comp, marketing, and operating accrual ratio.</t>
        </is>
      </c>
      <c r="C21" s="21" t="inlineStr">
        <is>
          <t>LULU balance sheet (10-K)</t>
        </is>
      </c>
      <c r="D21" s="22" t="inlineStr">
        <is>
          <t>Ctrl+F "Accrued liabilities and other" → 662,982 ÷ "Net revenue" 11,102,600 = 6.0%</t>
        </is>
      </c>
      <c r="E21" s="32" t="n">
        <v>399223</v>
      </c>
      <c r="F21" s="32" t="n">
        <v>348555</v>
      </c>
      <c r="G21" s="32" t="n">
        <v>559463</v>
      </c>
      <c r="H21" s="32" t="n">
        <v>662982</v>
      </c>
      <c r="I21" s="26">
        <f>'Income Statement'!I4*'Assumptions'!I20</f>
        <v/>
      </c>
      <c r="J21" s="26">
        <f>'Income Statement'!J4*'Assumptions'!J20</f>
        <v/>
      </c>
      <c r="K21" s="26">
        <f>'Income Statement'!K4*'Assumptions'!K20</f>
        <v/>
      </c>
      <c r="L21" s="26">
        <f>'Income Statement'!L4*'Assumptions'!L20</f>
        <v/>
      </c>
      <c r="M21" s="26">
        <f>'Income Statement'!M4*'Assumptions'!M20</f>
        <v/>
      </c>
    </row>
    <row r="22" ht="28" customHeight="1">
      <c r="A22" s="19" t="inlineStr">
        <is>
          <t>Operating lease liabilities (current)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32" t="n">
        <v>207972</v>
      </c>
      <c r="F22" s="32" t="n">
        <v>249270</v>
      </c>
      <c r="G22" s="32" t="n">
        <v>275154</v>
      </c>
      <c r="H22" s="32" t="n">
        <v>298724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 ht="28" customHeight="1">
      <c r="A23" s="19" t="inlineStr">
        <is>
          <t>Other current liabilities</t>
        </is>
      </c>
      <c r="B23" s="20" t="inlineStr">
        <is>
          <t>OCL 5.5% = FY25 current liabilities minus AP, accrued, and current leases (residual ~594k); not the 45,954 'other' line alone.</t>
        </is>
      </c>
      <c r="C23" s="21" t="inlineStr">
        <is>
          <t>LULU balance sheet (10-K)</t>
        </is>
      </c>
      <c r="D23" s="22" t="inlineStr">
        <is>
          <t>Ctrl+F "Total current liabilities" 1,887,548 − "Accounts payable" 331,421 − "Accrued liabilities and other" 662,982 − "Current lease liabilities" 298,724 ≈ 594,421 (5.4%)</t>
        </is>
      </c>
      <c r="E23" s="25" t="n">
        <v>712271</v>
      </c>
      <c r="F23" s="25" t="n">
        <v>684995</v>
      </c>
      <c r="G23" s="25" t="n">
        <v>733607</v>
      </c>
      <c r="H23" s="25" t="n">
        <v>594421</v>
      </c>
      <c r="I23" s="26">
        <f>'Income Statement'!I4*'Assumptions'!I26</f>
        <v/>
      </c>
      <c r="J23" s="26">
        <f>'Income Statement'!J4*'Assumptions'!J26</f>
        <v/>
      </c>
      <c r="K23" s="26">
        <f>'Income Statement'!K4*'Assumptions'!K26</f>
        <v/>
      </c>
      <c r="L23" s="26">
        <f>'Income Statement'!L4*'Assumptions'!L26</f>
        <v/>
      </c>
      <c r="M23" s="26">
        <f>'Income Statement'!M4*'Assumptions'!M26</f>
        <v/>
      </c>
    </row>
    <row r="24">
      <c r="A24" s="33" t="inlineStr">
        <is>
          <t>Total current liabilities</t>
        </is>
      </c>
      <c r="E24" s="43" t="n">
        <v>1492198</v>
      </c>
      <c r="F24" s="43" t="n">
        <v>1631261</v>
      </c>
      <c r="G24" s="43" t="n">
        <v>1839630</v>
      </c>
      <c r="H24" s="43" t="n">
        <v>1887548</v>
      </c>
      <c r="I24" s="34">
        <f>I20+I21+I22+I23</f>
        <v/>
      </c>
      <c r="J24" s="34">
        <f>J20+J21+J22+J23</f>
        <v/>
      </c>
      <c r="K24" s="34">
        <f>K20+K21+K22+K23</f>
        <v/>
      </c>
      <c r="L24" s="34">
        <f>L20+L21+L22+L23</f>
        <v/>
      </c>
      <c r="M24" s="34">
        <f>M20+M21+M22+M23</f>
        <v/>
      </c>
    </row>
    <row r="25">
      <c r="A25" s="42" t="inlineStr">
        <is>
          <t>Non-current liabilities:</t>
        </is>
      </c>
    </row>
    <row r="26" ht="28" customHeight="1">
      <c r="A26" s="19" t="inlineStr">
        <is>
          <t>Operating lease liabilities (non-current)</t>
        </is>
      </c>
      <c r="B26" s="20" t="inlineStr">
        <is>
          <t>Non-current lease liabilities 13.5% of revenue; long-term store lease commitments per 10-K.</t>
        </is>
      </c>
      <c r="C26" s="21" t="inlineStr">
        <is>
          <t>LULU lease disclosures (10-K)</t>
        </is>
      </c>
      <c r="D26" s="22" t="inlineStr">
        <is>
          <t>Ctrl+F "Non-current lease liabilities" → 1,499,717 ÷ "Net revenue" 11,102,600 = 13.5%</t>
        </is>
      </c>
      <c r="E26" s="32" t="n">
        <v>862362</v>
      </c>
      <c r="F26" s="32" t="n">
        <v>1154012</v>
      </c>
      <c r="G26" s="32" t="n">
        <v>1300637</v>
      </c>
      <c r="H26" s="32" t="n">
        <v>1499717</v>
      </c>
      <c r="I26" s="26">
        <f>'Income Statement'!I4*'Assumptions'!I25</f>
        <v/>
      </c>
      <c r="J26" s="26">
        <f>'Income Statement'!J4*'Assumptions'!J25</f>
        <v/>
      </c>
      <c r="K26" s="26">
        <f>'Income Statement'!K4*'Assumptions'!K25</f>
        <v/>
      </c>
      <c r="L26" s="26">
        <f>'Income Statement'!L4*'Assumptions'!L25</f>
        <v/>
      </c>
      <c r="M26" s="26">
        <f>'Income Statement'!M4*'Assumptions'!M25</f>
        <v/>
      </c>
    </row>
    <row r="27">
      <c r="A27" s="19" t="inlineStr">
        <is>
          <t>Deferred income taxes</t>
        </is>
      </c>
      <c r="E27" s="32" t="n">
        <v>55084</v>
      </c>
      <c r="F27" s="32" t="n">
        <v>29522</v>
      </c>
      <c r="G27" s="32" t="n">
        <v>98188</v>
      </c>
      <c r="H27" s="32" t="n">
        <v>52278</v>
      </c>
      <c r="I27" s="25">
        <f>H27</f>
        <v/>
      </c>
      <c r="J27" s="25">
        <f>I27</f>
        <v/>
      </c>
      <c r="K27" s="25">
        <f>J27</f>
        <v/>
      </c>
      <c r="L27" s="25">
        <f>K27</f>
        <v/>
      </c>
      <c r="M27" s="25">
        <f>L27</f>
        <v/>
      </c>
    </row>
    <row r="28" ht="28" customHeight="1">
      <c r="A28" s="19" t="inlineStr">
        <is>
          <t>Other non-current liabilities</t>
        </is>
      </c>
      <c r="B28" s="20" t="inlineStr">
        <is>
          <t>Other non-current liabilities 0.5% of revenue; minor long-term accruals and provisions.</t>
        </is>
      </c>
      <c r="C28" s="21" t="inlineStr">
        <is>
          <t>LULU balance sheet (10-K)</t>
        </is>
      </c>
      <c r="D28" s="22" t="inlineStr">
        <is>
          <t>Ctrl+F "Other non-current liabilities" → 55,360 ÷ "Net revenue" 11,102,600 = 0.5%</t>
        </is>
      </c>
      <c r="E28" s="25" t="n">
        <v>48595</v>
      </c>
      <c r="F28" s="25" t="n">
        <v>45065</v>
      </c>
      <c r="G28" s="25" t="n">
        <v>40790</v>
      </c>
      <c r="H28" s="25" t="n">
        <v>55360</v>
      </c>
      <c r="I28" s="26">
        <f>'Income Statement'!I4*'Assumptions'!I27</f>
        <v/>
      </c>
      <c r="J28" s="26">
        <f>'Income Statement'!J4*'Assumptions'!J27</f>
        <v/>
      </c>
      <c r="K28" s="26">
        <f>'Income Statement'!K4*'Assumptions'!K27</f>
        <v/>
      </c>
      <c r="L28" s="26">
        <f>'Income Statement'!L4*'Assumptions'!L27</f>
        <v/>
      </c>
      <c r="M28" s="26">
        <f>'Income Statement'!M4*'Assumptions'!M27</f>
        <v/>
      </c>
    </row>
    <row r="29">
      <c r="A29" s="33" t="inlineStr">
        <is>
          <t>TOTAL LIABILITIES</t>
        </is>
      </c>
      <c r="E29" s="43" t="n">
        <v>2458239</v>
      </c>
      <c r="F29" s="43" t="n">
        <v>2859860</v>
      </c>
      <c r="G29" s="43" t="n">
        <v>3279245</v>
      </c>
      <c r="H29" s="43" t="n">
        <v>3494903</v>
      </c>
      <c r="I29" s="34">
        <f>I24+I26+I27+I28</f>
        <v/>
      </c>
      <c r="J29" s="34">
        <f>J24+J26+J27+J28</f>
        <v/>
      </c>
      <c r="K29" s="34">
        <f>K24+K26+K27+K28</f>
        <v/>
      </c>
      <c r="L29" s="34">
        <f>L24+L26+L27+L28</f>
        <v/>
      </c>
      <c r="M29" s="34">
        <f>M24+M26+M27+M28</f>
        <v/>
      </c>
    </row>
    <row r="31">
      <c r="A31" s="42" t="inlineStr">
        <is>
          <t>Shareholders' equity:</t>
        </is>
      </c>
    </row>
    <row r="32" ht="28" customHeight="1">
      <c r="A32" s="19" t="inlineStr">
        <is>
          <t>Common stock &amp; additional paid-in capital</t>
        </is>
      </c>
      <c r="B32" s="20" t="inlineStr">
        <is>
          <t>$62M SBC holds the FY25 10-K run-rate (Stock-based compensation expense 62,203).</t>
        </is>
      </c>
      <c r="C32" s="21" t="inlineStr">
        <is>
          <t>LULU CF statement (10-K)</t>
        </is>
      </c>
      <c r="D32" s="22" t="inlineStr">
        <is>
          <t>Ctrl+F "Stock-based compensation expense" → 62,203 on this 10-K HTML. Model $62,000.</t>
        </is>
      </c>
      <c r="E32" s="32" t="n">
        <v>475256</v>
      </c>
      <c r="F32" s="32" t="n">
        <v>575975</v>
      </c>
      <c r="G32" s="32" t="n">
        <v>638771</v>
      </c>
      <c r="H32" s="32" t="n">
        <v>669949</v>
      </c>
      <c r="I32" s="26">
        <f>H32+'Assumptions'!I15</f>
        <v/>
      </c>
      <c r="J32" s="26">
        <f>I32+'Assumptions'!J15</f>
        <v/>
      </c>
      <c r="K32" s="26">
        <f>J32+'Assumptions'!K15</f>
        <v/>
      </c>
      <c r="L32" s="26">
        <f>K32+'Assumptions'!L15</f>
        <v/>
      </c>
      <c r="M32" s="26">
        <f>L32+'Assumptions'!M15</f>
        <v/>
      </c>
    </row>
    <row r="33" ht="28" customHeight="1">
      <c r="A33" s="19" t="inlineStr">
        <is>
          <t>Retained earnings</t>
        </is>
      </c>
      <c r="B33" s="20" t="inlineStr">
        <is>
          <t>$500M annual repurchases; continued capital return at moderated pace vs FY24–25 peak buyback levels.</t>
        </is>
      </c>
      <c r="C33" s="21" t="inlineStr">
        <is>
          <t>LULU CF: share repurchases (10-K)</t>
        </is>
      </c>
      <c r="D33" s="22" t="inlineStr">
        <is>
          <t>Ctrl+F "Repurchase of common stock" → ( 1,178,349 ) ($000) FY25; model (500,000)/yr</t>
        </is>
      </c>
      <c r="E33" s="32" t="n">
        <v>2926127</v>
      </c>
      <c r="F33" s="32" t="n">
        <v>3920362</v>
      </c>
      <c r="G33" s="32" t="n">
        <v>4109717</v>
      </c>
      <c r="H33" s="32" t="n">
        <v>4522581</v>
      </c>
      <c r="I33" s="26">
        <f>H33+'Income Statement'!I14-'Assumptions'!I29</f>
        <v/>
      </c>
      <c r="J33" s="26">
        <f>I33+'Income Statement'!J14-'Assumptions'!J29</f>
        <v/>
      </c>
      <c r="K33" s="26">
        <f>J33+'Income Statement'!K14-'Assumptions'!K29</f>
        <v/>
      </c>
      <c r="L33" s="26">
        <f>K33+'Income Statement'!L14-'Assumptions'!L29</f>
        <v/>
      </c>
      <c r="M33" s="26">
        <f>L33+'Income Statement'!M14-'Assumptions'!M29</f>
        <v/>
      </c>
    </row>
    <row r="34">
      <c r="A34" s="19" t="inlineStr">
        <is>
          <t>Accumulated other comprehensive loss</t>
        </is>
      </c>
      <c r="E34" s="32" t="n">
        <v>-252584</v>
      </c>
      <c r="F34" s="32" t="n">
        <v>-264256</v>
      </c>
      <c r="G34" s="32" t="n">
        <v>-424441</v>
      </c>
      <c r="H34" s="32" t="n">
        <v>-230690</v>
      </c>
      <c r="I34" s="25">
        <f>H34</f>
        <v/>
      </c>
      <c r="J34" s="25">
        <f>I34</f>
        <v/>
      </c>
      <c r="K34" s="25">
        <f>J34</f>
        <v/>
      </c>
      <c r="L34" s="25">
        <f>K34</f>
        <v/>
      </c>
      <c r="M34" s="25">
        <f>L34</f>
        <v/>
      </c>
    </row>
    <row r="35">
      <c r="A35" s="33" t="inlineStr">
        <is>
          <t>TOTAL SHAREHOLDERS' EQUITY</t>
        </is>
      </c>
      <c r="E35" s="43" t="n">
        <v>3148799</v>
      </c>
      <c r="F35" s="43" t="n">
        <v>4232081</v>
      </c>
      <c r="G35" s="43" t="n">
        <v>4324047</v>
      </c>
      <c r="H35" s="43" t="n">
        <v>4961840</v>
      </c>
      <c r="I35" s="34">
        <f>I32+I33+I34</f>
        <v/>
      </c>
      <c r="J35" s="34">
        <f>J32+J33+J34</f>
        <v/>
      </c>
      <c r="K35" s="34">
        <f>K32+K33+K34</f>
        <v/>
      </c>
      <c r="L35" s="34">
        <f>L32+L33+L34</f>
        <v/>
      </c>
      <c r="M35" s="34">
        <f>M32+M33+M34</f>
        <v/>
      </c>
    </row>
    <row r="36">
      <c r="A36" s="33" t="inlineStr">
        <is>
          <t>TOTAL LIABILITIES &amp; EQUITY</t>
        </is>
      </c>
      <c r="E36" s="35">
        <f>E29+E35</f>
        <v/>
      </c>
      <c r="F36" s="35">
        <f>F29+F35</f>
        <v/>
      </c>
      <c r="G36" s="35">
        <f>G29+G35</f>
        <v/>
      </c>
      <c r="H36" s="35">
        <f>H29+H35</f>
        <v/>
      </c>
      <c r="I36" s="35">
        <f>I29+I35</f>
        <v/>
      </c>
      <c r="J36" s="35">
        <f>J29+J35</f>
        <v/>
      </c>
      <c r="K36" s="35">
        <f>K29+K35</f>
        <v/>
      </c>
      <c r="L36" s="35">
        <f>L29+L35</f>
        <v/>
      </c>
      <c r="M36" s="35">
        <f>M29+M35</f>
        <v/>
      </c>
    </row>
    <row r="38">
      <c r="A38" s="39" t="inlineStr">
        <is>
          <t>Balance check (Assets − L&amp;E)</t>
        </is>
      </c>
      <c r="E38" s="45">
        <f>E16-E36</f>
        <v/>
      </c>
      <c r="F38" s="45">
        <f>F16-F36</f>
        <v/>
      </c>
      <c r="G38" s="45">
        <f>G16-G36</f>
        <v/>
      </c>
      <c r="H38" s="45">
        <f>H16-H36</f>
        <v/>
      </c>
      <c r="I38" s="45">
        <f>I16-I36</f>
        <v/>
      </c>
      <c r="J38" s="45">
        <f>J16-J36</f>
        <v/>
      </c>
      <c r="K38" s="45">
        <f>K16-K36</f>
        <v/>
      </c>
      <c r="L38" s="45">
        <f>L16-L36</f>
        <v/>
      </c>
      <c r="M38" s="45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accounts receivable</t>
        </is>
      </c>
      <c r="B8" s="20" t="inlineStr">
        <is>
          <t>AR 1.7% of sales = FY25 Accounts receivable, net 190,657 / 11,102,600. Wholesale and marketplace receivables; hold the FY25 mix.</t>
        </is>
      </c>
      <c r="C8" s="21" t="inlineStr">
        <is>
          <t>LULU FY2025 10-K: Accounts receivable, net</t>
        </is>
      </c>
      <c r="D8" s="22" t="inlineStr">
        <is>
          <t>Ctrl+F "Accounts receivable, net" (one hit on the BS) → 190,657 ($000). 190,657 / 11,102,600 = 1.7% of sales. Model holds 1.7%.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inventories</t>
        </is>
      </c>
      <c r="B9" s="20" t="inlineStr">
        <is>
          <t>Inventory 33–34% of COGS; slight normalization from FY25 build as Americas demand softens and clears.</t>
        </is>
      </c>
      <c r="C9" s="21" t="inlineStr">
        <is>
          <t>LULU balance sheet (10-K)</t>
        </is>
      </c>
      <c r="D9" s="22" t="inlineStr">
        <is>
          <t>Ctrl+F "Inventories" → 1,700,753 ÷ "Cost of goods sold" 4,818,468 = 35.3%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other current assets</t>
        </is>
      </c>
      <c r="B10" s="20" t="inlineStr">
        <is>
          <t>OCA 5.1% is current assets minus cash, AR, and inventory (prepaids / tax receivables). AR is its own line, not inside OCA.</t>
        </is>
      </c>
      <c r="C10" s="21" t="inlineStr">
        <is>
          <t>LULU balance sheet (10-K)</t>
        </is>
      </c>
      <c r="D10" s="22" t="inlineStr">
        <is>
          <t>OCA = "Total current assets" 4,262,701 − cash 1,807,202 − "Accounts receivable, net" 190,657 − "Inventories" 1,700,753 = 564,089 (5.1% of sales). AR is not inside this residual.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Sheet'!I9-'Balance Sheet'!H9)</f>
        <v/>
      </c>
      <c r="J10" s="26">
        <f>-('Balance Sheet'!J9-'Balance Sheet'!I9)</f>
        <v/>
      </c>
      <c r="K10" s="26">
        <f>-('Balance Sheet'!K9-'Balance Sheet'!J9)</f>
        <v/>
      </c>
      <c r="L10" s="26">
        <f>-('Balance Sheet'!L9-'Balance Sheet'!K9)</f>
        <v/>
      </c>
      <c r="M10" s="26">
        <f>-('Balance Sheet'!M9-'Balance Sheet'!L9)</f>
        <v/>
      </c>
    </row>
    <row r="11" ht="28" customHeight="1">
      <c r="A11" s="19" t="inlineStr">
        <is>
          <t xml:space="preserve">  (Incr.)/decr. in ROU assets</t>
        </is>
      </c>
      <c r="B11" s="20" t="inlineStr">
        <is>
          <t>ROU assets 14.7% of revenue; lease-intensive store model, stable vs FY25 operating lease footprint.</t>
        </is>
      </c>
      <c r="C11" s="21" t="inlineStr">
        <is>
          <t>LULU lease disclosures (10-K)</t>
        </is>
      </c>
      <c r="D11" s="22" t="inlineStr">
        <is>
          <t>Ctrl+F "Right-of-use lease assets" → 1,630,181 ÷ "Net revenue" 11,102,600 = 14.7%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Sheet'!I13-'Balance Sheet'!H13)</f>
        <v/>
      </c>
      <c r="J11" s="26">
        <f>-('Balance Sheet'!J13-'Balance Sheet'!I13)</f>
        <v/>
      </c>
      <c r="K11" s="26">
        <f>-('Balance Sheet'!K13-'Balance Sheet'!J13)</f>
        <v/>
      </c>
      <c r="L11" s="26">
        <f>-('Balance Sheet'!L13-'Balance Sheet'!K13)</f>
        <v/>
      </c>
      <c r="M11" s="26">
        <f>-('Balance Sheet'!M13-'Balance Sheet'!L13)</f>
        <v/>
      </c>
    </row>
    <row r="12" ht="28" customHeight="1">
      <c r="A12" s="19" t="inlineStr">
        <is>
          <t xml:space="preserve">  (Incr.)/decr. in other non-current assets</t>
        </is>
      </c>
      <c r="B12" s="20" t="inlineStr">
        <is>
          <t>ONCA 3.0% = FY25 total assets − CA − PPE − ROU − GW (338,947); matches earnings 'deferred taxes and other NC assets'.</t>
        </is>
      </c>
      <c r="C12" s="21" t="inlineStr">
        <is>
          <t>LULU balance sheet (10-K)</t>
        </is>
      </c>
      <c r="D12" s="22" t="inlineStr">
        <is>
          <t>Ctrl+F "Total assets" 8,456,743 − current assets − "Property and equipment, net" − "Right-of-use lease assets" − goodwill/intangibles = 338,947 (3.0%)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-('Balance Sheet'!I15-'Balance Sheet'!H15)</f>
        <v/>
      </c>
      <c r="J12" s="26">
        <f>-('Balance Sheet'!J15-'Balance Sheet'!I15)</f>
        <v/>
      </c>
      <c r="K12" s="26">
        <f>-('Balance Sheet'!K15-'Balance Sheet'!J15)</f>
        <v/>
      </c>
      <c r="L12" s="26">
        <f>-('Balance Sheet'!L15-'Balance Sheet'!K15)</f>
        <v/>
      </c>
      <c r="M12" s="26">
        <f>-('Balance Sheet'!M15-'Balance Sheet'!L15)</f>
        <v/>
      </c>
    </row>
    <row r="13" ht="28" customHeight="1">
      <c r="A13" s="19" t="inlineStr">
        <is>
          <t xml:space="preserve">  Incr./(decr.) in accounts payable</t>
        </is>
      </c>
      <c r="B13" s="20" t="inlineStr">
        <is>
          <t>AP 6.8% of COGS; holds near FY25 level reflecting vendor terms and production payment cadence.</t>
        </is>
      </c>
      <c r="C13" s="21" t="inlineStr">
        <is>
          <t>LULU balance sheet (10-K)</t>
        </is>
      </c>
      <c r="D13" s="22" t="inlineStr">
        <is>
          <t>Ctrl+F "Accounts payable" → 331,421 ÷ "Cost of goods sold" 4,818,468 = 6.9%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accrued liabilities</t>
        </is>
      </c>
      <c r="B14" s="20" t="inlineStr">
        <is>
          <t>Accrued liabilities 5.8% of revenue; stable comp, marketing, and operating accrual ratio.</t>
        </is>
      </c>
      <c r="C14" s="21" t="inlineStr">
        <is>
          <t>LULU balance sheet (10-K)</t>
        </is>
      </c>
      <c r="D14" s="22" t="inlineStr">
        <is>
          <t>Ctrl+F "Accrued liabilities and other" → 662,982 ÷ "Net revenue" 11,102,600 = 6.0%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Sheet'!I21-'Balance Sheet'!H21)</f>
        <v/>
      </c>
      <c r="J14" s="26">
        <f>('Balance Sheet'!J21-'Balance Sheet'!I21)</f>
        <v/>
      </c>
      <c r="K14" s="26">
        <f>('Balance Sheet'!K21-'Balance Sheet'!J21)</f>
        <v/>
      </c>
      <c r="L14" s="26">
        <f>('Balance Sheet'!L21-'Balance Sheet'!K21)</f>
        <v/>
      </c>
      <c r="M14" s="26">
        <f>('Balance Sheet'!M21-'Balance Sheet'!L21)</f>
        <v/>
      </c>
    </row>
    <row r="15" ht="28" customHeight="1">
      <c r="A15" s="19" t="inlineStr">
        <is>
          <t xml:space="preserve">  Incr./(decr.) in other current liabilities</t>
        </is>
      </c>
      <c r="B15" s="20" t="inlineStr">
        <is>
          <t>OCL 5.5% = FY25 current liabilities minus AP, accrued, and current leases (residual ~594k); not the 45,954 'other' line alone.</t>
        </is>
      </c>
      <c r="C15" s="21" t="inlineStr">
        <is>
          <t>LULU balance sheet (10-K)</t>
        </is>
      </c>
      <c r="D15" s="22" t="inlineStr">
        <is>
          <t>Ctrl+F "Total current liabilities" 1,887,548 − "Accounts payable" 331,421 − "Accrued liabilities and other" 662,982 − "Current lease liabilities" 298,724 ≈ 594,421 (5.4%)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Sheet'!I23-'Balance Sheet'!H23)</f>
        <v/>
      </c>
      <c r="J15" s="26">
        <f>('Balance Sheet'!J23-'Balance Sheet'!I23)</f>
        <v/>
      </c>
      <c r="K15" s="26">
        <f>('Balance Sheet'!K23-'Balance Sheet'!J23)</f>
        <v/>
      </c>
      <c r="L15" s="26">
        <f>('Balance Sheet'!L23-'Balance Sheet'!K23)</f>
        <v/>
      </c>
      <c r="M15" s="26">
        <f>('Balance Sheet'!M23-'Balance Sheet'!L23)</f>
        <v/>
      </c>
    </row>
    <row r="16" ht="28" customHeight="1">
      <c r="A16" s="19" t="inlineStr">
        <is>
          <t xml:space="preserve">  Incr./(decr.) in operating lease liab.</t>
        </is>
      </c>
      <c r="B16" s="20" t="inlineStr">
        <is>
          <t>Current lease liabilities 2.7% of revenue; short-term portion of operating lease obligations.</t>
        </is>
      </c>
      <c r="C16" s="21" t="inlineStr">
        <is>
          <t>LULU lease disclosures (10-K)</t>
        </is>
      </c>
      <c r="D16" s="22" t="inlineStr">
        <is>
          <t>Ctrl+F "Current lease liabilities" → 298,724 ÷ "Net revenue" 11,102,600 = 2.7%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6">
        <f>('Balance Sheet'!I22-'Balance Sheet'!H22)+('Balance Sheet'!I26-'Balance Sheet'!H26)</f>
        <v/>
      </c>
      <c r="J16" s="26">
        <f>('Balance Sheet'!J22-'Balance Sheet'!I22)+('Balance Sheet'!J26-'Balance Sheet'!I26)</f>
        <v/>
      </c>
      <c r="K16" s="26">
        <f>('Balance Sheet'!K22-'Balance Sheet'!J22)+('Balance Sheet'!K26-'Balance Sheet'!J26)</f>
        <v/>
      </c>
      <c r="L16" s="26">
        <f>('Balance Sheet'!L22-'Balance Sheet'!K22)+('Balance Sheet'!L26-'Balance Sheet'!K26)</f>
        <v/>
      </c>
      <c r="M16" s="26">
        <f>('Balance Sheet'!M22-'Balance Sheet'!L22)+('Balance Sheet'!M26-'Balance Sheet'!L26)</f>
        <v/>
      </c>
    </row>
    <row r="17">
      <c r="A17" s="19" t="inlineStr">
        <is>
          <t xml:space="preserve">  Incr./(decr.) in deferred income taxes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Incr./(decr.) in other non-current liab.</t>
        </is>
      </c>
      <c r="E18" s="46" t="inlineStr">
        <is>
          <t>—</t>
        </is>
      </c>
      <c r="F18" s="46" t="inlineStr">
        <is>
          <t>—</t>
        </is>
      </c>
      <c r="G18" s="46" t="inlineStr">
        <is>
          <t>—</t>
        </is>
      </c>
      <c r="H18" s="46" t="inlineStr">
        <is>
          <t>—</t>
        </is>
      </c>
      <c r="I18" s="25">
        <f>('Balance Sheet'!I28-'Balance Sheet'!H28)</f>
        <v/>
      </c>
      <c r="J18" s="25">
        <f>('Balance Sheet'!J28-'Balance Sheet'!I28)</f>
        <v/>
      </c>
      <c r="K18" s="25">
        <f>('Balance Sheet'!K28-'Balance Sheet'!J28)</f>
        <v/>
      </c>
      <c r="L18" s="25">
        <f>('Balance Sheet'!L28-'Balance Sheet'!K28)</f>
        <v/>
      </c>
      <c r="M18" s="25">
        <f>('Balance Sheet'!M28-'Balance Sheet'!L28)</f>
        <v/>
      </c>
    </row>
    <row r="19">
      <c r="A19" s="19" t="inlineStr">
        <is>
          <t xml:space="preserve">  Working capital &amp; other (reported, net)</t>
        </is>
      </c>
      <c r="E19" s="25">
        <f>E20-E5-E6-E7</f>
        <v/>
      </c>
      <c r="F19" s="25">
        <f>F20-F5-F6-F7</f>
        <v/>
      </c>
      <c r="G19" s="25">
        <f>G20-G5-G6-G7</f>
        <v/>
      </c>
      <c r="H19" s="25">
        <f>H20-H5-H6-H7</f>
        <v/>
      </c>
    </row>
    <row r="20">
      <c r="A20" s="33" t="inlineStr">
        <is>
          <t>Net cash from operating activities</t>
        </is>
      </c>
      <c r="E20" s="43" t="n">
        <v>966463</v>
      </c>
      <c r="F20" s="43" t="n">
        <v>2296164</v>
      </c>
      <c r="G20" s="43" t="n">
        <v>2272713</v>
      </c>
      <c r="H20" s="43" t="n">
        <v>1602477</v>
      </c>
      <c r="I20" s="34">
        <f>I5+I6+I7+SUM(I8:I18)</f>
        <v/>
      </c>
      <c r="J20" s="34">
        <f>J5+J6+J7+SUM(J8:J18)</f>
        <v/>
      </c>
      <c r="K20" s="34">
        <f>K5+K6+K7+SUM(K8:K18)</f>
        <v/>
      </c>
      <c r="L20" s="34">
        <f>L5+L6+L7+SUM(L8:L18)</f>
        <v/>
      </c>
      <c r="M20" s="34">
        <f>M5+M6+M7+SUM(M8:M18)</f>
        <v/>
      </c>
    </row>
    <row r="22">
      <c r="A22" s="17" t="inlineStr">
        <is>
          <t>INVESTING ACTIVITIES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150" customHeight="1">
      <c r="A23" s="19" t="inlineStr">
        <is>
          <t>Capital expenditures</t>
        </is>
      </c>
      <c r="B23" s="20" t="inlineStr">
        <is>
          <t>FY26 7.0% is $735M / $10.4B, not / FY25 $11.1B. Since 7.0% steps toward FY25 6.1%, we assume a fade: 7.0 / 6.0 / 5.5 / 5.0 / 5.0.</t>
        </is>
      </c>
      <c r="C23" s="21" t="inlineStr">
        <is>
          <t>LULU CF statement (10-K)</t>
        </is>
      </c>
      <c r="D23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2" t="n">
        <v>-638657</v>
      </c>
      <c r="F23" s="32" t="n">
        <v>-651865</v>
      </c>
      <c r="G23" s="32" t="n">
        <v>-689232</v>
      </c>
      <c r="H23" s="32" t="n">
        <v>-680802</v>
      </c>
      <c r="I23" s="26">
        <f>-'Income Statement'!I4*'Assumptions'!I14</f>
        <v/>
      </c>
      <c r="J23" s="26">
        <f>-'Income Statement'!J4*'Assumptions'!J14</f>
        <v/>
      </c>
      <c r="K23" s="26">
        <f>-'Income Statement'!K4*'Assumptions'!K14</f>
        <v/>
      </c>
      <c r="L23" s="26">
        <f>-'Income Statement'!L4*'Assumptions'!L14</f>
        <v/>
      </c>
      <c r="M23" s="26">
        <f>-'Income Statement'!M4*'Assumptions'!M14</f>
        <v/>
      </c>
    </row>
    <row r="24">
      <c r="A24" s="33" t="inlineStr">
        <is>
          <t>Net cash from investing activities</t>
        </is>
      </c>
      <c r="E24" s="43" t="n">
        <v>-569937</v>
      </c>
      <c r="F24" s="43" t="n">
        <v>-654132</v>
      </c>
      <c r="G24" s="43" t="n">
        <v>-798174</v>
      </c>
      <c r="H24" s="43" t="n">
        <v>-662118</v>
      </c>
      <c r="I24" s="34">
        <f>I23</f>
        <v/>
      </c>
      <c r="J24" s="34">
        <f>J23</f>
        <v/>
      </c>
      <c r="K24" s="34">
        <f>K23</f>
        <v/>
      </c>
      <c r="L24" s="34">
        <f>L23</f>
        <v/>
      </c>
      <c r="M24" s="34">
        <f>M23</f>
        <v/>
      </c>
    </row>
    <row r="25">
      <c r="A25" s="29" t="inlineStr">
        <is>
          <t xml:space="preserve">  (Projections: investing ≈ capex; excl. M&amp;A / securities)</t>
        </is>
      </c>
    </row>
    <row r="27">
      <c r="A27" s="17" t="inlineStr">
        <is>
          <t>FINANCING ACTIVITIES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Repurchase of common stock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32" t="n">
        <v>-444001</v>
      </c>
      <c r="F28" s="32" t="n">
        <v>-558652</v>
      </c>
      <c r="G28" s="32" t="n">
        <v>-1636879</v>
      </c>
      <c r="H28" s="32" t="n">
        <v>-1178349</v>
      </c>
      <c r="I28" s="26">
        <f>-'Assumptions'!I29</f>
        <v/>
      </c>
      <c r="J28" s="26">
        <f>-'Assumptions'!J29</f>
        <v/>
      </c>
      <c r="K28" s="26">
        <f>-'Assumptions'!K29</f>
        <v/>
      </c>
      <c r="L28" s="26">
        <f>-'Assumptions'!L29</f>
        <v/>
      </c>
      <c r="M28" s="26">
        <f>-'Assumptions'!M29</f>
        <v/>
      </c>
    </row>
    <row r="29">
      <c r="A29" s="33" t="inlineStr">
        <is>
          <t>Net cash from financing activities</t>
        </is>
      </c>
      <c r="E29" s="43" t="n">
        <v>-467487</v>
      </c>
      <c r="F29" s="43" t="n">
        <v>-548828</v>
      </c>
      <c r="G29" s="43" t="n">
        <v>-1652508</v>
      </c>
      <c r="H29" s="43" t="n">
        <v>-1208656</v>
      </c>
      <c r="I29" s="34">
        <f>I28</f>
        <v/>
      </c>
      <c r="J29" s="34">
        <f>J28</f>
        <v/>
      </c>
      <c r="K29" s="34">
        <f>K28</f>
        <v/>
      </c>
      <c r="L29" s="34">
        <f>L28</f>
        <v/>
      </c>
      <c r="M29" s="34">
        <f>M28</f>
        <v/>
      </c>
    </row>
    <row r="30">
      <c r="A30" s="29" t="inlineStr">
        <is>
          <t xml:space="preserve">  (Projections: financing ≈ buybacks; SBC non-cash in equity)</t>
        </is>
      </c>
    </row>
    <row r="32">
      <c r="A32" s="33" t="inlineStr">
        <is>
          <t>Net change in cash</t>
        </is>
      </c>
      <c r="E32" s="34">
        <f>E20+E24+E29</f>
        <v/>
      </c>
      <c r="F32" s="34">
        <f>F20+F24+F29</f>
        <v/>
      </c>
      <c r="G32" s="34">
        <f>G20+G24+G29</f>
        <v/>
      </c>
      <c r="H32" s="34">
        <f>H20+H24+H29</f>
        <v/>
      </c>
      <c r="I32" s="34">
        <f>I20+I24+I29</f>
        <v/>
      </c>
      <c r="J32" s="34">
        <f>J20+J24+J29</f>
        <v/>
      </c>
      <c r="K32" s="34">
        <f>K20+K24+K29</f>
        <v/>
      </c>
      <c r="L32" s="34">
        <f>L20+L24+L29</f>
        <v/>
      </c>
      <c r="M32" s="34">
        <f>M20+M24+M29</f>
        <v/>
      </c>
    </row>
    <row r="33">
      <c r="A33" s="19" t="inlineStr">
        <is>
          <t>Cash, beginning of year</t>
        </is>
      </c>
      <c r="E33" s="32" t="n">
        <v>1150517</v>
      </c>
      <c r="F33" s="32" t="n">
        <v>1154867</v>
      </c>
      <c r="G33" s="32" t="n">
        <v>2243971</v>
      </c>
      <c r="H33" s="32" t="n">
        <v>1984336</v>
      </c>
      <c r="I33" s="25">
        <f>H34</f>
        <v/>
      </c>
      <c r="J33" s="25">
        <f>I34</f>
        <v/>
      </c>
      <c r="K33" s="25">
        <f>J34</f>
        <v/>
      </c>
      <c r="L33" s="25">
        <f>K34</f>
        <v/>
      </c>
      <c r="M33" s="25">
        <f>L34</f>
        <v/>
      </c>
    </row>
    <row r="34">
      <c r="A34" s="33" t="inlineStr">
        <is>
          <t>Cash, end of year</t>
        </is>
      </c>
      <c r="E34" s="44" t="n">
        <v>1154867</v>
      </c>
      <c r="F34" s="44" t="n">
        <v>2243971</v>
      </c>
      <c r="G34" s="44" t="n">
        <v>1984336</v>
      </c>
      <c r="H34" s="44" t="n">
        <v>1807202</v>
      </c>
      <c r="I34" s="35">
        <f>I33+I32</f>
        <v/>
      </c>
      <c r="J34" s="35">
        <f>J33+J32</f>
        <v/>
      </c>
      <c r="K34" s="35">
        <f>K33+K32</f>
        <v/>
      </c>
      <c r="L34" s="35">
        <f>L33+L32</f>
        <v/>
      </c>
      <c r="M34" s="35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2026-09-06T21:54:27Z</dcterms:created>
  <dcterms:modified xmlns:dcterms="http://purl.org/dc/terms/" xmlns:xsi="http://www.w3.org/2001/XMLSchema-instance" xsi:type="dcterms:W3CDTF">2026-09-06T21:54:27Z</dcterms:modified>
</cp:coreProperties>
</file>
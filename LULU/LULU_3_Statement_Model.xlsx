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Relationship Type="http://schemas.openxmlformats.org/officeDocument/2006/relationships/hyperlink" Target="https://www.sec.gov/cgi-bin/viewer?action=view&amp;cik=1397187&amp;accession_number=0001397187-23-000012&amp;xbrl_type=v" TargetMode="External" Id="rId37"/><Relationship Type="http://schemas.openxmlformats.org/officeDocument/2006/relationships/hyperlink" Target="https://www.sec.gov/cgi-bin/viewer?action=view&amp;cik=1397187&amp;accession_number=0001397187-24-000010&amp;xbrl_type=v" TargetMode="External" Id="rId38"/><Relationship Type="http://schemas.openxmlformats.org/officeDocument/2006/relationships/hyperlink" Target="https://www.sec.gov/cgi-bin/viewer?action=view&amp;cik=1397187&amp;accession_number=0001397187-25-000013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Relationship Type="http://schemas.openxmlformats.org/officeDocument/2006/relationships/hyperlink" Target="https://www.sec.gov/cgi-bin/viewer?action=view&amp;cik=1397187&amp;accession_number=0001397187-23-000012&amp;xbrl_type=v" TargetMode="External" Id="rId45"/><Relationship Type="http://schemas.openxmlformats.org/officeDocument/2006/relationships/hyperlink" Target="https://www.sec.gov/cgi-bin/viewer?action=view&amp;cik=1397187&amp;accession_number=0001397187-24-000010&amp;xbrl_type=v" TargetMode="External" Id="rId46"/><Relationship Type="http://schemas.openxmlformats.org/officeDocument/2006/relationships/hyperlink" Target="https://www.sec.gov/cgi-bin/viewer?action=view&amp;cik=1397187&amp;accession_number=0001397187-25-000013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3-000012&amp;xbrl_type=v" TargetMode="External" Id="rId53"/><Relationship Type="http://schemas.openxmlformats.org/officeDocument/2006/relationships/hyperlink" Target="https://www.sec.gov/cgi-bin/viewer?action=view&amp;cik=1397187&amp;accession_number=0001397187-24-000010&amp;xbrl_type=v" TargetMode="External" Id="rId54"/><Relationship Type="http://schemas.openxmlformats.org/officeDocument/2006/relationships/hyperlink" Target="https://www.sec.gov/cgi-bin/viewer?action=view&amp;cik=1397187&amp;accession_number=0001397187-25-000013&amp;xbrl_type=v" TargetMode="External" Id="rId55"/><Relationship Type="http://schemas.openxmlformats.org/officeDocument/2006/relationships/hyperlink" Target="https://www.sec.gov/cgi-bin/viewer?action=view&amp;cik=1397187&amp;accession_number=0001397187-26-000020&amp;xbrl_type=v" TargetMode="External" Id="rId56"/><Relationship Type="http://schemas.openxmlformats.org/officeDocument/2006/relationships/hyperlink" Target="https://www.sec.gov/cgi-bin/viewer?action=view&amp;cik=1397187&amp;accession_number=0001397187-23-000012&amp;xbrl_type=v" TargetMode="External" Id="rId57"/><Relationship Type="http://schemas.openxmlformats.org/officeDocument/2006/relationships/hyperlink" Target="https://www.sec.gov/cgi-bin/viewer?action=view&amp;cik=1397187&amp;accession_number=0001397187-24-000010&amp;xbrl_type=v" TargetMode="External" Id="rId58"/><Relationship Type="http://schemas.openxmlformats.org/officeDocument/2006/relationships/hyperlink" Target="https://www.sec.gov/cgi-bin/viewer?action=view&amp;cik=1397187&amp;accession_number=0001397187-25-000013&amp;xbrl_type=v" TargetMode="External" Id="rId59"/><Relationship Type="http://schemas.openxmlformats.org/officeDocument/2006/relationships/hyperlink" Target="https://www.sec.gov/cgi-bin/viewer?action=view&amp;cik=1397187&amp;accession_number=0001397187-26-000020&amp;xbrl_type=v" TargetMode="External" Id="rId60"/><Relationship Type="http://schemas.openxmlformats.org/officeDocument/2006/relationships/hyperlink" Target="https://www.sec.gov/cgi-bin/viewer?action=view&amp;cik=1397187&amp;accession_number=0001397187-23-000012&amp;xbrl_type=v" TargetMode="External" Id="rId61"/><Relationship Type="http://schemas.openxmlformats.org/officeDocument/2006/relationships/hyperlink" Target="https://www.sec.gov/cgi-bin/viewer?action=view&amp;cik=1397187&amp;accession_number=0001397187-24-000010&amp;xbrl_type=v" TargetMode="External" Id="rId62"/><Relationship Type="http://schemas.openxmlformats.org/officeDocument/2006/relationships/hyperlink" Target="https://www.sec.gov/cgi-bin/viewer?action=view&amp;cik=1397187&amp;accession_number=0001397187-25-000013&amp;xbrl_type=v" TargetMode="External" Id="rId63"/><Relationship Type="http://schemas.openxmlformats.org/officeDocument/2006/relationships/hyperlink" Target="https://www.sec.gov/cgi-bin/viewer?action=view&amp;cik=1397187&amp;accession_number=0001397187-26-000020&amp;xbrl_type=v" TargetMode="External" Id="rId64"/><Relationship Type="http://schemas.openxmlformats.org/officeDocument/2006/relationships/hyperlink" Target="https://www.sec.gov/cgi-bin/viewer?action=view&amp;cik=1397187&amp;accession_number=0001397187-23-000012&amp;xbrl_type=v" TargetMode="External" Id="rId65"/><Relationship Type="http://schemas.openxmlformats.org/officeDocument/2006/relationships/hyperlink" Target="https://www.sec.gov/cgi-bin/viewer?action=view&amp;cik=1397187&amp;accession_number=0001397187-24-000010&amp;xbrl_type=v" TargetMode="External" Id="rId66"/><Relationship Type="http://schemas.openxmlformats.org/officeDocument/2006/relationships/hyperlink" Target="https://www.sec.gov/cgi-bin/viewer?action=view&amp;cik=1397187&amp;accession_number=0001397187-25-000013&amp;xbrl_type=v" TargetMode="External" Id="rId67"/><Relationship Type="http://schemas.openxmlformats.org/officeDocument/2006/relationships/hyperlink" Target="https://www.sec.gov/cgi-bin/viewer?action=view&amp;cik=1397187&amp;accession_number=0001397187-26-000020&amp;xbrl_type=v" TargetMode="External" Id="rId68"/><Relationship Type="http://schemas.openxmlformats.org/officeDocument/2006/relationships/hyperlink" Target="https://www.sec.gov/cgi-bin/viewer?action=view&amp;cik=1397187&amp;accession_number=0001397187-23-000012&amp;xbrl_type=v" TargetMode="External" Id="rId69"/><Relationship Type="http://schemas.openxmlformats.org/officeDocument/2006/relationships/hyperlink" Target="https://www.sec.gov/cgi-bin/viewer?action=view&amp;cik=1397187&amp;accession_number=0001397187-24-000010&amp;xbrl_type=v" TargetMode="External" Id="rId70"/><Relationship Type="http://schemas.openxmlformats.org/officeDocument/2006/relationships/hyperlink" Target="https://www.sec.gov/cgi-bin/viewer?action=view&amp;cik=1397187&amp;accession_number=0001397187-25-000013&amp;xbrl_type=v" TargetMode="External" Id="rId71"/><Relationship Type="http://schemas.openxmlformats.org/officeDocument/2006/relationships/hyperlink" Target="https://www.sec.gov/cgi-bin/viewer?action=view&amp;cik=1397187&amp;accession_number=0001397187-26-000020&amp;xbrl_type=v" TargetMode="External" Id="rId72"/><Relationship Type="http://schemas.openxmlformats.org/officeDocument/2006/relationships/hyperlink" Target="https://www.sec.gov/cgi-bin/viewer?action=view&amp;cik=1397187&amp;accession_number=0001397187-23-000012&amp;xbrl_type=v" TargetMode="External" Id="rId73"/><Relationship Type="http://schemas.openxmlformats.org/officeDocument/2006/relationships/hyperlink" Target="https://www.sec.gov/cgi-bin/viewer?action=view&amp;cik=1397187&amp;accession_number=0001397187-24-000010&amp;xbrl_type=v" TargetMode="External" Id="rId74"/><Relationship Type="http://schemas.openxmlformats.org/officeDocument/2006/relationships/hyperlink" Target="https://www.sec.gov/cgi-bin/viewer?action=view&amp;cik=1397187&amp;accession_number=0001397187-25-000013&amp;xbrl_type=v" TargetMode="External" Id="rId75"/><Relationship Type="http://schemas.openxmlformats.org/officeDocument/2006/relationships/hyperlink" Target="https://www.sec.gov/cgi-bin/viewer?action=view&amp;cik=1397187&amp;accession_number=0001397187-26-000020&amp;xbrl_type=v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Relationship Type="http://schemas.openxmlformats.org/officeDocument/2006/relationships/hyperlink" Target="https://www.sec.gov/cgi-bin/viewer?action=view&amp;cik=1397187&amp;accession_number=0001397187-23-000012&amp;xbrl_type=v" TargetMode="External" Id="rId37"/><Relationship Type="http://schemas.openxmlformats.org/officeDocument/2006/relationships/hyperlink" Target="https://www.sec.gov/cgi-bin/viewer?action=view&amp;cik=1397187&amp;accession_number=0001397187-24-000010&amp;xbrl_type=v" TargetMode="External" Id="rId38"/><Relationship Type="http://schemas.openxmlformats.org/officeDocument/2006/relationships/hyperlink" Target="https://www.sec.gov/cgi-bin/viewer?action=view&amp;cik=1397187&amp;accession_number=0001397187-25-000013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Justification (L) | Source (M) | Ctrl+F (N)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"10-K" → FY2025 accession 0001397187-26-000020</t>
        </is>
      </c>
    </row>
    <row r="17" ht="36" customHeight="1">
      <c r="B17" s="9" t="inlineStr">
        <is>
          <t>FY2025 Form 10-K (ended Feb 1, 2026)
Ctrl+F: "CONSOLIDATED STATEMENTS OF OPERATIONS" or "CONSOLIDATED BALANCE SHEETS"</t>
        </is>
      </c>
    </row>
    <row r="18" ht="36" customHeight="1">
      <c r="B18" s="9" t="inlineStr">
        <is>
          <t>Q2 FY2026 results &amp; FY2026 guidance (Sep 3, 2026 earnings release)
Ctrl+F: "full year 2026" | "net revenue" | "diluted earnings per share"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4" customWidth="1" min="12" max="12"/>
    <col width="22" customWidth="1" min="13" max="13"/>
    <col width="44" customWidth="1" min="14" max="14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36" customHeight="1">
      <c r="A2" s="15" t="inlineStr">
        <is>
          <t>Ctrl+F lines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Justification (~20 words)</t>
        </is>
      </c>
      <c r="M3" s="17" t="inlineStr">
        <is>
          <t>Source (click)</t>
        </is>
      </c>
      <c r="N3" s="17" t="inlineStr">
        <is>
          <t>Ctrl+F (prove number)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 ht="36" customHeight="1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 t="inlineStr">
        <is>
          <t>FY26 −6.1% matches guidance; FY27–30 step up to low-single-digit then mid-single-digit recovery path.</t>
        </is>
      </c>
      <c r="M5" s="24" t="inlineStr">
        <is>
          <t>LULU Q2 FY2026 guidance</t>
        </is>
      </c>
      <c r="N5" s="25" t="inlineStr">
        <is>
          <t>"full year 2026" → "net revenue" → "5% to 7%" decrease; FY27–30 = projection</t>
        </is>
      </c>
    </row>
    <row r="6" ht="36" customHeight="1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 t="inlineStr">
        <is>
          <t>Gross margin recovers gradually from promo pressure; 56.5% to 58.0% still below peak ~58–59% historical.</t>
        </is>
      </c>
      <c r="M6" s="24" t="inlineStr">
        <is>
          <t>LULU historical gross margin (10-K)</t>
        </is>
      </c>
      <c r="N6" s="25" t="inlineStr">
        <is>
          <t>"Gross profit" $6,284,132 ÷ "Net revenue" $11,102,600 = 56.6% FY25</t>
        </is>
      </c>
    </row>
    <row r="7" ht="36" customHeight="1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 t="inlineStr">
        <is>
          <t>SG&amp;A leverage improves slowly as revenue stabilizes; ratio declines toward 39.5% by FY2030 from cost discipline.</t>
        </is>
      </c>
      <c r="M7" s="24" t="inlineStr">
        <is>
          <t>LULU historical SG&amp;A (10-K)</t>
        </is>
      </c>
      <c r="N7" s="25" t="inlineStr">
        <is>
          <t>"Selling, general and administrative expenses" $4,066,556 ÷ revenue = 36.7%</t>
        </is>
      </c>
    </row>
    <row r="8" ht="36" customHeight="1">
      <c r="A8" s="20" t="inlineStr">
        <is>
          <t>Amortization / other opex ($)</t>
        </is>
      </c>
      <c r="C8" s="26" t="n">
        <v>406485</v>
      </c>
      <c r="D8" s="26" t="n">
        <v>79511</v>
      </c>
      <c r="E8" s="26" t="n">
        <v>2735</v>
      </c>
      <c r="F8" s="26" t="n">
        <v>6961</v>
      </c>
      <c r="G8" s="27" t="n">
        <v>7000</v>
      </c>
      <c r="H8" s="27" t="n">
        <v>7000</v>
      </c>
      <c r="I8" s="27" t="n">
        <v>7000</v>
      </c>
      <c r="J8" s="27" t="n">
        <v>7000</v>
      </c>
      <c r="K8" s="27" t="n">
        <v>7000</v>
      </c>
      <c r="L8" s="23" t="inlineStr">
        <is>
          <t>$7M annual amortization run-rate; stable intangible amortization per recent 10-K disclosure levels.</t>
        </is>
      </c>
      <c r="M8" s="24" t="inlineStr">
        <is>
          <t>LULU FY2025 10-K</t>
        </is>
      </c>
      <c r="N8" s="25" t="inlineStr">
        <is>
          <t>"Amortization of intangible assets" → FY25 $6,961 (≈$7M run-rate)</t>
        </is>
      </c>
    </row>
    <row r="9" ht="36" customHeight="1">
      <c r="A9" s="20" t="inlineStr">
        <is>
          <t>Other income, net ($)</t>
        </is>
      </c>
      <c r="C9" s="26" t="n">
        <v>4163</v>
      </c>
      <c r="D9" s="26" t="n">
        <v>43059</v>
      </c>
      <c r="E9" s="26" t="n">
        <v>70380</v>
      </c>
      <c r="F9" s="26" t="n">
        <v>28352</v>
      </c>
      <c r="G9" s="27" t="n">
        <v>130000</v>
      </c>
      <c r="H9" s="27" t="n">
        <v>60000</v>
      </c>
      <c r="I9" s="27" t="n">
        <v>75000</v>
      </c>
      <c r="J9" s="27" t="n">
        <v>95000</v>
      </c>
      <c r="K9" s="27" t="n">
        <v>115000</v>
      </c>
      <c r="L9" s="23" t="inlineStr">
        <is>
          <t>Interest income declines as cash is deployed; $130M FY26 stepping down with lower cash balances.</t>
        </is>
      </c>
      <c r="M9" s="24" t="inlineStr">
        <is>
          <t>LULU FY2025 10-K</t>
        </is>
      </c>
      <c r="N9" s="25" t="inlineStr">
        <is>
          <t>"Other income (expense), net" → FY25 $28,352 (interest income on cash)</t>
        </is>
      </c>
    </row>
    <row r="10" ht="36" customHeight="1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 t="inlineStr">
        <is>
          <t>30% effective tax rate on projections; conservative vs recent ~29% effective, allows for jurisdictional mix.</t>
        </is>
      </c>
      <c r="M10" s="24" t="inlineStr">
        <is>
          <t>LULU effective tax history (10-K)</t>
        </is>
      </c>
      <c r="N10" s="25" t="inlineStr">
        <is>
          <t>"Provision for income taxes" $659,784 ÷ "Income before income taxes" $2,238,967 = 29.5%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 ht="36" customHeight="1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 t="inlineStr">
        <is>
          <t>D&amp;A 4.5–4.6% of revenue; tracks recent depreciation intensity on PPE and lease-related amortization.</t>
        </is>
      </c>
      <c r="M12" s="24" t="inlineStr">
        <is>
          <t>LULU CF statement (10-K)</t>
        </is>
      </c>
      <c r="N12" s="25" t="inlineStr">
        <is>
          <t>"Depreciation and amortization" $496,228 ÷ "Net revenue" $11,102,600 = 4.5%</t>
        </is>
      </c>
    </row>
    <row r="13" ht="36" customHeight="1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 t="inlineStr">
        <is>
          <t>Capex fades from 5.5% to 5.0%; reflects completion of major supply-chain projects and normalized store growth.</t>
        </is>
      </c>
      <c r="M13" s="24" t="inlineStr">
        <is>
          <t>LULU CF statement (10-K)</t>
        </is>
      </c>
      <c r="N13" s="25" t="inlineStr">
        <is>
          <t>"Capital expenditures" $(680,802) ÷ "Net revenue" = 6.1%; model fades to 5.0%</t>
        </is>
      </c>
    </row>
    <row r="14" ht="36" customHeight="1">
      <c r="A14" s="20" t="inlineStr">
        <is>
          <t>Stock-based compensation ($)</t>
        </is>
      </c>
      <c r="C14" s="26" t="n">
        <v>78075</v>
      </c>
      <c r="D14" s="26" t="n">
        <v>93560</v>
      </c>
      <c r="E14" s="26" t="n">
        <v>90011</v>
      </c>
      <c r="F14" s="26" t="n">
        <v>62203</v>
      </c>
      <c r="G14" s="27" t="n">
        <v>70000</v>
      </c>
      <c r="H14" s="27" t="n">
        <v>70000</v>
      </c>
      <c r="I14" s="27" t="n">
        <v>70000</v>
      </c>
      <c r="J14" s="27" t="n">
        <v>70000</v>
      </c>
      <c r="K14" s="27" t="n">
        <v>70000</v>
      </c>
      <c r="L14" s="23" t="inlineStr">
        <is>
          <t>$70M annual SBC; modest decline from FY25 as headcount growth slows in restructuring period.</t>
        </is>
      </c>
      <c r="M14" s="24" t="inlineStr">
        <is>
          <t>LULU CF statement (10-K)</t>
        </is>
      </c>
      <c r="N14" s="25" t="inlineStr">
        <is>
          <t>"Stock-based compensation" → FY25 $62,203; model $70,000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 ht="36" customHeight="1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 t="inlineStr">
        <is>
          <t>Inventory 33–34% of COGS; slight normalization from FY25 build as Americas demand softens and clears.</t>
        </is>
      </c>
      <c r="M16" s="24" t="inlineStr">
        <is>
          <t>LULU balance sheet (10-K)</t>
        </is>
      </c>
      <c r="N16" s="25" t="inlineStr">
        <is>
          <t>"Inventories" $1,700,753 ÷ "Cost of goods sold" $4,818,468 = 35.3%</t>
        </is>
      </c>
    </row>
    <row r="17" ht="36" customHeight="1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 t="inlineStr">
        <is>
          <t>AP 6.8% of COGS; holds near FY25 level reflecting vendor terms and production payment cadence.</t>
        </is>
      </c>
      <c r="M17" s="24" t="inlineStr">
        <is>
          <t>LULU balance sheet (10-K)</t>
        </is>
      </c>
      <c r="N17" s="25" t="inlineStr">
        <is>
          <t>"Accounts payable" $331,421 ÷ "Cost of goods sold" $4,818,468 = 6.9%</t>
        </is>
      </c>
    </row>
    <row r="18" ht="36" customHeight="1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 t="inlineStr">
        <is>
          <t>Accrued liabilities 5.8% of revenue; stable comp, marketing, and operating accrual ratio.</t>
        </is>
      </c>
      <c r="M18" s="24" t="inlineStr">
        <is>
          <t>LULU balance sheet (10-K)</t>
        </is>
      </c>
      <c r="N18" s="25" t="inlineStr">
        <is>
          <t>"Accrued liabilities" $662,982 ÷ "Net revenue" $11,102,600 = 6.0%</t>
        </is>
      </c>
    </row>
    <row r="19" ht="36" customHeight="1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 t="inlineStr">
        <is>
          <t>Other current assets 6.8% of revenue; prepaid and receivable balance consistent with recent history.</t>
        </is>
      </c>
      <c r="M19" s="24" t="inlineStr">
        <is>
          <t>LULU balance sheet (10-K)</t>
        </is>
      </c>
      <c r="N19" s="25" t="inlineStr">
        <is>
          <t>"Other current assets" → derive from current assets less cash, A/R, inventory</t>
        </is>
      </c>
    </row>
    <row r="20" ht="36" customHeight="1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 t="inlineStr">
        <is>
          <t>ROU assets 14.7% of revenue; lease-intensive store model, stable vs FY25 operating lease footprint.</t>
        </is>
      </c>
      <c r="M20" s="24" t="inlineStr">
        <is>
          <t>LULU lease disclosures (10-K)</t>
        </is>
      </c>
      <c r="N20" s="25" t="inlineStr">
        <is>
          <t>"Operating lease right-of-use assets" $1,630,181 ÷ revenue = 14.7%</t>
        </is>
      </c>
    </row>
    <row r="21" ht="36" customHeight="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 t="inlineStr">
        <is>
          <t>Other non-current assets 3.0% of revenue; deferred costs and long-term deposits at normalized level.</t>
        </is>
      </c>
      <c r="M21" s="24" t="inlineStr">
        <is>
          <t>LULU balance sheet (10-K)</t>
        </is>
      </c>
      <c r="N21" s="25" t="inlineStr">
        <is>
          <t>"Other non-current assets" → total non-current assets less PP&amp;E, ROU, goodwill</t>
        </is>
      </c>
    </row>
    <row r="22" ht="36" customHeight="1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 t="inlineStr">
        <is>
          <t>Current lease liabilities 2.7% of revenue; short-term portion of operating lease obligations.</t>
        </is>
      </c>
      <c r="M22" s="24" t="inlineStr">
        <is>
          <t>LULU lease disclosures (10-K)</t>
        </is>
      </c>
      <c r="N22" s="25" t="inlineStr">
        <is>
          <t>"Current portion of operating lease liabilities" $298,724 ÷ revenue = 2.7%</t>
        </is>
      </c>
    </row>
    <row r="23" ht="36" customHeight="1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 t="inlineStr">
        <is>
          <t>Non-current lease liabilities 13.5% of revenue; long-term store lease commitments per 10-K.</t>
        </is>
      </c>
      <c r="M23" s="24" t="inlineStr">
        <is>
          <t>LULU lease disclosures (10-K)</t>
        </is>
      </c>
      <c r="N23" s="25" t="inlineStr">
        <is>
          <t>"Operating lease liabilities" $1,499,717 (non-current) ÷ revenue = 13.5%</t>
        </is>
      </c>
    </row>
    <row r="24" ht="36" customHeight="1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 t="inlineStr">
        <is>
          <t>Other current liabilities 5.5% of revenue; gift cards, deferred revenue, and other short-term obligations.</t>
        </is>
      </c>
      <c r="M24" s="24" t="inlineStr">
        <is>
          <t>LULU balance sheet (10-K)</t>
        </is>
      </c>
      <c r="N24" s="25" t="inlineStr">
        <is>
          <t>"Other current liabilities" → gift cards, deferred revenue (ex-lease) ÷ revenue</t>
        </is>
      </c>
    </row>
    <row r="25" ht="36" customHeight="1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 t="inlineStr">
        <is>
          <t>Other non-current liabilities 0.5% of revenue; minor long-term accruals and provisions.</t>
        </is>
      </c>
      <c r="M25" s="24" t="inlineStr">
        <is>
          <t>LULU balance sheet (10-K)</t>
        </is>
      </c>
      <c r="N25" s="25" t="inlineStr">
        <is>
          <t>"Other non-current liabilities" → minor long-term accruals ÷ revenue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 ht="36" customHeight="1">
      <c r="A27" s="20" t="inlineStr">
        <is>
          <t>Share repurchases ($)</t>
        </is>
      </c>
      <c r="C27" s="26" t="n">
        <v>444001</v>
      </c>
      <c r="D27" s="26" t="n">
        <v>558652</v>
      </c>
      <c r="E27" s="26" t="n">
        <v>1636879</v>
      </c>
      <c r="F27" s="26" t="n">
        <v>1178349</v>
      </c>
      <c r="G27" s="27" t="n">
        <v>500000</v>
      </c>
      <c r="H27" s="27" t="n">
        <v>500000</v>
      </c>
      <c r="I27" s="27" t="n">
        <v>500000</v>
      </c>
      <c r="J27" s="27" t="n">
        <v>500000</v>
      </c>
      <c r="K27" s="27" t="n">
        <v>500000</v>
      </c>
      <c r="L27" s="23" t="inlineStr">
        <is>
          <t>$500M annual repurchases; continued capital return at moderated pace vs FY24–25 peak buyback levels.</t>
        </is>
      </c>
      <c r="M27" s="24" t="inlineStr">
        <is>
          <t>LULU CF: share repurchases (10-K)</t>
        </is>
      </c>
      <c r="N27" s="25" t="inlineStr">
        <is>
          <t>"Repurchase of common stock" → FY25 $(1,178,349); model $(500,000)/yr</t>
        </is>
      </c>
    </row>
    <row r="28" ht="36" customHeight="1">
      <c r="A28" s="20" t="inlineStr">
        <is>
          <t>Avg repurchase price ($/sh)</t>
        </is>
      </c>
      <c r="G28" s="28" t="n">
        <v>105</v>
      </c>
      <c r="H28" s="28" t="n">
        <v>112</v>
      </c>
      <c r="I28" s="28" t="n">
        <v>120</v>
      </c>
      <c r="J28" s="28" t="n">
        <v>128</v>
      </c>
      <c r="K28" s="28" t="n">
        <v>135</v>
      </c>
      <c r="L28" s="23" t="inlineStr">
        <is>
          <t>Repurchase price rises with recovery thesis; $105 to $135 reflects assumed gradual share-price normalization.</t>
        </is>
      </c>
      <c r="M28" s="24" t="inlineStr">
        <is>
          <t>LULU avg repurchase price (10-K/est.)</t>
        </is>
      </c>
      <c r="N28" s="25" t="inlineStr">
        <is>
          <t>"Repurchase of common stock" footnote → avg price paid per share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7" r:id="rId24"/>
    <hyperlink xmlns:r="http://schemas.openxmlformats.org/officeDocument/2006/relationships" ref="M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4" customWidth="1" min="12" max="12"/>
    <col width="22" customWidth="1" min="13" max="13"/>
    <col width="44" customWidth="1" min="14" max="14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36" customHeight="1">
      <c r="A2" s="15" t="inlineStr">
        <is>
          <t>Ctrl+F lines</t>
        </is>
      </c>
      <c r="C2" s="29" t="inlineStr">
        <is>
          <t>10-K
Ctrl+F: "CONSOLIDATED STATEMENTS OF OPERATIONS" or "CONSOLIDATED BALANCE SHEETS"</t>
        </is>
      </c>
      <c r="D2" s="29" t="inlineStr">
        <is>
          <t>10-K
Ctrl+F: "CONSOLIDATED STATEMENTS OF OPERATIONS" or "CONSOLIDATED BALANCE SHEETS"</t>
        </is>
      </c>
      <c r="E2" s="29" t="inlineStr">
        <is>
          <t>10-K
Ctrl+F: "CONSOLIDATED STATEMENTS OF OPERATIONS" or "CONSOLIDATED BALANCE SHEETS"</t>
        </is>
      </c>
      <c r="F2" s="29" t="inlineStr">
        <is>
          <t>10-K
Ctrl+F: "CONSOLIDATED STATEMENTS OF OPERATIONS" or "CONSOLIDATED BALANCE SHEETS"</t>
        </is>
      </c>
      <c r="G2" s="30" t="inlineStr">
        <is>
          <t>Projected</t>
        </is>
      </c>
    </row>
    <row r="4">
      <c r="A4" s="20" t="inlineStr">
        <is>
          <t>Net revenue</t>
        </is>
      </c>
      <c r="C4" s="31" t="n">
        <v>8110518</v>
      </c>
      <c r="D4" s="31" t="n">
        <v>9619278</v>
      </c>
      <c r="E4" s="31" t="n">
        <v>10588126</v>
      </c>
      <c r="F4" s="31" t="n">
        <v>11102600</v>
      </c>
      <c r="G4" s="26">
        <f>F4*(1+'Assumptions'!G5)</f>
        <v/>
      </c>
      <c r="H4" s="26">
        <f>G4*(1+'Assumptions'!H5)</f>
        <v/>
      </c>
      <c r="I4" s="26">
        <f>H4*(1+'Assumptions'!I5)</f>
        <v/>
      </c>
      <c r="J4" s="26">
        <f>I4*(1+'Assumptions'!J5)</f>
        <v/>
      </c>
      <c r="K4" s="26">
        <f>J4*(1+'Assumptions'!K5)</f>
        <v/>
      </c>
    </row>
    <row r="5">
      <c r="A5" s="20" t="inlineStr">
        <is>
          <t>Cost of goods sold</t>
        </is>
      </c>
      <c r="C5" s="31" t="n">
        <v>3618178</v>
      </c>
      <c r="D5" s="31" t="n">
        <v>4009873</v>
      </c>
      <c r="E5" s="31" t="n">
        <v>4317315</v>
      </c>
      <c r="F5" s="31" t="n">
        <v>4818468</v>
      </c>
      <c r="G5" s="26">
        <f>G4*(1-'Assumptions'!G6)</f>
        <v/>
      </c>
      <c r="H5" s="26">
        <f>H4*(1-'Assumptions'!H6)</f>
        <v/>
      </c>
      <c r="I5" s="26">
        <f>I4*(1-'Assumptions'!I6)</f>
        <v/>
      </c>
      <c r="J5" s="26">
        <f>J4*(1-'Assumptions'!J6)</f>
        <v/>
      </c>
      <c r="K5" s="26">
        <f>K4*(1-'Assumptions'!K6)</f>
        <v/>
      </c>
    </row>
    <row r="6">
      <c r="A6" s="32" t="inlineStr">
        <is>
          <t>Gross profit</t>
        </is>
      </c>
      <c r="C6" s="33">
        <f>C4-C5</f>
        <v/>
      </c>
      <c r="D6" s="33">
        <f>D4-D5</f>
        <v/>
      </c>
      <c r="E6" s="33">
        <f>E4-E5</f>
        <v/>
      </c>
      <c r="F6" s="33">
        <f>F4-F5</f>
        <v/>
      </c>
      <c r="G6" s="33">
        <f>G4-G5</f>
        <v/>
      </c>
      <c r="H6" s="33">
        <f>H4-H5</f>
        <v/>
      </c>
      <c r="I6" s="33">
        <f>I4-I5</f>
        <v/>
      </c>
      <c r="J6" s="33">
        <f>J4-J5</f>
        <v/>
      </c>
      <c r="K6" s="33">
        <f>K4-K5</f>
        <v/>
      </c>
    </row>
    <row r="7">
      <c r="A7" s="20" t="inlineStr">
        <is>
          <t>Selling, general &amp; administrative</t>
        </is>
      </c>
      <c r="C7" s="31" t="n">
        <v>2757447</v>
      </c>
      <c r="D7" s="31" t="n">
        <v>3397218</v>
      </c>
      <c r="E7" s="31" t="n">
        <v>3762379</v>
      </c>
      <c r="F7" s="31" t="n">
        <v>4066556</v>
      </c>
      <c r="G7" s="26">
        <f>G4*'Assumptions'!G7</f>
        <v/>
      </c>
      <c r="H7" s="26">
        <f>H4*'Assumptions'!H7</f>
        <v/>
      </c>
      <c r="I7" s="26">
        <f>I4*'Assumptions'!I7</f>
        <v/>
      </c>
      <c r="J7" s="26">
        <f>J4*'Assumptions'!J7</f>
        <v/>
      </c>
      <c r="K7" s="26">
        <f>K4*'Assumptions'!K7</f>
        <v/>
      </c>
    </row>
    <row r="8">
      <c r="A8" s="20" t="inlineStr">
        <is>
          <t>Amortization of intangibles / other</t>
        </is>
      </c>
      <c r="C8" s="31" t="n">
        <v>406485</v>
      </c>
      <c r="D8" s="31" t="n">
        <v>79511</v>
      </c>
      <c r="E8" s="31" t="n">
        <v>2735</v>
      </c>
      <c r="F8" s="31" t="n">
        <v>6961</v>
      </c>
      <c r="G8" s="26">
        <f>'Assumptions'!G8</f>
        <v/>
      </c>
      <c r="H8" s="26">
        <f>'Assumptions'!H8</f>
        <v/>
      </c>
      <c r="I8" s="26">
        <f>'Assumptions'!I8</f>
        <v/>
      </c>
      <c r="J8" s="26">
        <f>'Assumptions'!J8</f>
        <v/>
      </c>
      <c r="K8" s="26">
        <f>'Assumptions'!K8</f>
        <v/>
      </c>
    </row>
    <row r="9">
      <c r="A9" s="32" t="inlineStr">
        <is>
          <t>Operating income (EBIT)</t>
        </is>
      </c>
      <c r="C9" s="33">
        <f>C6-C7-C8</f>
        <v/>
      </c>
      <c r="D9" s="33">
        <f>D6-D7-D8</f>
        <v/>
      </c>
      <c r="E9" s="33">
        <f>E6-E7-E8</f>
        <v/>
      </c>
      <c r="F9" s="33">
        <f>F6-F7-F8</f>
        <v/>
      </c>
      <c r="G9" s="33">
        <f>G6-G7-G8</f>
        <v/>
      </c>
      <c r="H9" s="33">
        <f>H6-H7-H8</f>
        <v/>
      </c>
      <c r="I9" s="33">
        <f>I6-I7-I8</f>
        <v/>
      </c>
      <c r="J9" s="33">
        <f>J6-J7-J8</f>
        <v/>
      </c>
      <c r="K9" s="33">
        <f>K6-K7-K8</f>
        <v/>
      </c>
    </row>
    <row r="10">
      <c r="A10" s="20" t="inlineStr">
        <is>
          <t>Other income, net</t>
        </is>
      </c>
      <c r="C10" s="31" t="n">
        <v>4163</v>
      </c>
      <c r="D10" s="31" t="n">
        <v>43059</v>
      </c>
      <c r="E10" s="31" t="n">
        <v>70380</v>
      </c>
      <c r="F10" s="31" t="n">
        <v>28352</v>
      </c>
      <c r="G10" s="26">
        <f>'Assumptions'!G9</f>
        <v/>
      </c>
      <c r="H10" s="26">
        <f>'Assumptions'!H9</f>
        <v/>
      </c>
      <c r="I10" s="26">
        <f>'Assumptions'!I9</f>
        <v/>
      </c>
      <c r="J10" s="26">
        <f>'Assumptions'!J9</f>
        <v/>
      </c>
      <c r="K10" s="26">
        <f>'Assumptions'!K9</f>
        <v/>
      </c>
    </row>
    <row r="11">
      <c r="A11" s="32" t="inlineStr">
        <is>
          <t>Pre-tax income</t>
        </is>
      </c>
      <c r="C11" s="33">
        <f>C9+C10</f>
        <v/>
      </c>
      <c r="D11" s="33">
        <f>D9+D10</f>
        <v/>
      </c>
      <c r="E11" s="33">
        <f>E9+E10</f>
        <v/>
      </c>
      <c r="F11" s="33">
        <f>F9+F10</f>
        <v/>
      </c>
      <c r="G11" s="33">
        <f>G9+G10</f>
        <v/>
      </c>
      <c r="H11" s="33">
        <f>H9+H10</f>
        <v/>
      </c>
      <c r="I11" s="33">
        <f>I9+I10</f>
        <v/>
      </c>
      <c r="J11" s="33">
        <f>J9+J10</f>
        <v/>
      </c>
      <c r="K11" s="33">
        <f>K9+K10</f>
        <v/>
      </c>
    </row>
    <row r="12">
      <c r="A12" s="20" t="inlineStr">
        <is>
          <t>Income tax expense</t>
        </is>
      </c>
      <c r="C12" s="31" t="n">
        <v>477771</v>
      </c>
      <c r="D12" s="31" t="n">
        <v>625545</v>
      </c>
      <c r="E12" s="31" t="n">
        <v>761461</v>
      </c>
      <c r="F12" s="31" t="n">
        <v>659784</v>
      </c>
      <c r="G12" s="26">
        <f>G11*'Assumptions'!G10</f>
        <v/>
      </c>
      <c r="H12" s="26">
        <f>H11*'Assumptions'!H10</f>
        <v/>
      </c>
      <c r="I12" s="26">
        <f>I11*'Assumptions'!I10</f>
        <v/>
      </c>
      <c r="J12" s="26">
        <f>J11*'Assumptions'!J10</f>
        <v/>
      </c>
      <c r="K12" s="26">
        <f>K11*'Assumptions'!K10</f>
        <v/>
      </c>
    </row>
    <row r="13">
      <c r="A13" s="32" t="inlineStr">
        <is>
          <t>Net income</t>
        </is>
      </c>
      <c r="C13" s="34">
        <f>C11-C12</f>
        <v/>
      </c>
      <c r="D13" s="34">
        <f>D11-D12</f>
        <v/>
      </c>
      <c r="E13" s="34">
        <f>E11-E12</f>
        <v/>
      </c>
      <c r="F13" s="34">
        <f>F11-F12</f>
        <v/>
      </c>
      <c r="G13" s="34">
        <f>G11-G12</f>
        <v/>
      </c>
      <c r="H13" s="34">
        <f>H11-H12</f>
        <v/>
      </c>
      <c r="I13" s="34">
        <f>I11-I12</f>
        <v/>
      </c>
      <c r="J13" s="34">
        <f>J11-J12</f>
        <v/>
      </c>
      <c r="K13" s="34">
        <f>K11-K12</f>
        <v/>
      </c>
    </row>
    <row r="15">
      <c r="A15" s="20" t="inlineStr">
        <is>
          <t>Diluted weighted-avg shares (000)</t>
        </is>
      </c>
      <c r="C15" s="31" t="n">
        <v>128017</v>
      </c>
      <c r="D15" s="31" t="n">
        <v>127060</v>
      </c>
      <c r="E15" s="31" t="n">
        <v>123935</v>
      </c>
      <c r="F15" s="31" t="n">
        <v>119068</v>
      </c>
      <c r="G15" s="26">
        <f>F15-'Assumptions'!G27/'Assumptions'!G28</f>
        <v/>
      </c>
      <c r="H15" s="26">
        <f>G15-'Assumptions'!H27/'Assumptions'!H28</f>
        <v/>
      </c>
      <c r="I15" s="26">
        <f>H15-'Assumptions'!I27/'Assumptions'!I28</f>
        <v/>
      </c>
      <c r="J15" s="26">
        <f>I15-'Assumptions'!J27/'Assumptions'!J28</f>
        <v/>
      </c>
      <c r="K15" s="26">
        <f>J15-'Assumptions'!K27/'Assumptions'!K28</f>
        <v/>
      </c>
    </row>
    <row r="16">
      <c r="A16" s="32" t="inlineStr">
        <is>
          <t>Diluted EPS ($)</t>
        </is>
      </c>
      <c r="C16" s="35" t="n">
        <v>6.68</v>
      </c>
      <c r="D16" s="35" t="n">
        <v>12.2</v>
      </c>
      <c r="E16" s="35" t="n">
        <v>14.64</v>
      </c>
      <c r="F16" s="35" t="n">
        <v>13.26</v>
      </c>
      <c r="G16" s="36">
        <f>G13/G15</f>
        <v/>
      </c>
      <c r="H16" s="36">
        <f>H13/H15</f>
        <v/>
      </c>
      <c r="I16" s="36">
        <f>I13/I15</f>
        <v/>
      </c>
      <c r="J16" s="36">
        <f>J13/J15</f>
        <v/>
      </c>
      <c r="K16" s="36">
        <f>K13/K15</f>
        <v/>
      </c>
    </row>
    <row r="18">
      <c r="A18" s="37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8" t="inlineStr">
        <is>
          <t>Gross margin %</t>
        </is>
      </c>
      <c r="C19" s="39">
        <f>C6/C4</f>
        <v/>
      </c>
      <c r="D19" s="39">
        <f>D6/D4</f>
        <v/>
      </c>
      <c r="E19" s="39">
        <f>E6/E4</f>
        <v/>
      </c>
      <c r="F19" s="39">
        <f>F6/F4</f>
        <v/>
      </c>
      <c r="G19" s="39">
        <f>G6/G4</f>
        <v/>
      </c>
      <c r="H19" s="39">
        <f>H6/H4</f>
        <v/>
      </c>
      <c r="I19" s="39">
        <f>I6/I4</f>
        <v/>
      </c>
      <c r="J19" s="39">
        <f>J6/J4</f>
        <v/>
      </c>
      <c r="K19" s="39">
        <f>K6/K4</f>
        <v/>
      </c>
    </row>
    <row r="20">
      <c r="A20" s="38" t="inlineStr">
        <is>
          <t>Operating margin %</t>
        </is>
      </c>
      <c r="C20" s="39">
        <f>C9/C4</f>
        <v/>
      </c>
      <c r="D20" s="39">
        <f>D9/D4</f>
        <v/>
      </c>
      <c r="E20" s="39">
        <f>E9/E4</f>
        <v/>
      </c>
      <c r="F20" s="39">
        <f>F9/F4</f>
        <v/>
      </c>
      <c r="G20" s="39">
        <f>G9/G4</f>
        <v/>
      </c>
      <c r="H20" s="39">
        <f>H9/H4</f>
        <v/>
      </c>
      <c r="I20" s="39">
        <f>I9/I4</f>
        <v/>
      </c>
      <c r="J20" s="39">
        <f>J9/J4</f>
        <v/>
      </c>
      <c r="K20" s="39">
        <f>K9/K4</f>
        <v/>
      </c>
    </row>
    <row r="21">
      <c r="A21" s="38" t="inlineStr">
        <is>
          <t>Net margin %</t>
        </is>
      </c>
      <c r="C21" s="39">
        <f>C13/C4</f>
        <v/>
      </c>
      <c r="D21" s="39">
        <f>D13/D4</f>
        <v/>
      </c>
      <c r="E21" s="39">
        <f>E13/E4</f>
        <v/>
      </c>
      <c r="F21" s="39">
        <f>F13/F4</f>
        <v/>
      </c>
      <c r="G21" s="39">
        <f>G13/G4</f>
        <v/>
      </c>
      <c r="H21" s="39">
        <f>H13/H4</f>
        <v/>
      </c>
      <c r="I21" s="39">
        <f>I13/I4</f>
        <v/>
      </c>
      <c r="J21" s="39">
        <f>J13/J4</f>
        <v/>
      </c>
      <c r="K21" s="39">
        <f>K13/K4</f>
        <v/>
      </c>
    </row>
    <row r="22">
      <c r="A22" s="38" t="inlineStr">
        <is>
          <t>Revenue growth %</t>
        </is>
      </c>
      <c r="C22" s="40" t="inlineStr">
        <is>
          <t>n/a</t>
        </is>
      </c>
      <c r="D22" s="39">
        <f>D4/C4-1</f>
        <v/>
      </c>
      <c r="E22" s="39">
        <f>E4/D4-1</f>
        <v/>
      </c>
      <c r="F22" s="39">
        <f>F4/E4-1</f>
        <v/>
      </c>
      <c r="G22" s="39">
        <f>G4/F4-1</f>
        <v/>
      </c>
      <c r="H22" s="39">
        <f>H4/G4-1</f>
        <v/>
      </c>
      <c r="I22" s="39">
        <f>I4/H4-1</f>
        <v/>
      </c>
      <c r="J22" s="39">
        <f>J4/I4-1</f>
        <v/>
      </c>
      <c r="K22" s="39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4" customWidth="1" min="12" max="12"/>
    <col width="22" customWidth="1" min="13" max="13"/>
    <col width="44" customWidth="1" min="14" max="14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36" customHeight="1">
      <c r="A2" s="15" t="inlineStr">
        <is>
          <t>Ctrl+F lines</t>
        </is>
      </c>
      <c r="C2" s="29" t="inlineStr">
        <is>
          <t>10-K
Ctrl+F: "CONSOLIDATED STATEMENTS OF OPERATIONS" or "CONSOLIDATED BALANCE SHEETS"</t>
        </is>
      </c>
      <c r="D2" s="29" t="inlineStr">
        <is>
          <t>10-K
Ctrl+F: "CONSOLIDATED STATEMENTS OF OPERATIONS" or "CONSOLIDATED BALANCE SHEETS"</t>
        </is>
      </c>
      <c r="E2" s="29" t="inlineStr">
        <is>
          <t>10-K
Ctrl+F: "CONSOLIDATED STATEMENTS OF OPERATIONS" or "CONSOLIDATED BALANCE SHEETS"</t>
        </is>
      </c>
      <c r="F2" s="29" t="inlineStr">
        <is>
          <t>10-K
Ctrl+F: "CONSOLIDATED STATEMENTS OF OPERATIONS" or "CONSOLIDATED BALANCE SHEETS"</t>
        </is>
      </c>
      <c r="G2" s="30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41" t="inlineStr">
        <is>
          <t>Current assets:</t>
        </is>
      </c>
    </row>
    <row r="6">
      <c r="A6" s="20" t="inlineStr">
        <is>
          <t>Cash &amp; cash equivalents</t>
        </is>
      </c>
      <c r="C6" s="31" t="n">
        <v>1154867</v>
      </c>
      <c r="D6" s="31" t="n">
        <v>2243971</v>
      </c>
      <c r="E6" s="31" t="n">
        <v>1984336</v>
      </c>
      <c r="F6" s="31" t="n">
        <v>1807202</v>
      </c>
      <c r="G6" s="26">
        <f>'Cash Flow'!G33</f>
        <v/>
      </c>
      <c r="H6" s="26">
        <f>'Cash Flow'!H33</f>
        <v/>
      </c>
      <c r="I6" s="26">
        <f>'Cash Flow'!I33</f>
        <v/>
      </c>
      <c r="J6" s="26">
        <f>'Cash Flow'!J33</f>
        <v/>
      </c>
      <c r="K6" s="26">
        <f>'Cash Flow'!K33</f>
        <v/>
      </c>
    </row>
    <row r="7">
      <c r="A7" s="20" t="inlineStr">
        <is>
          <t>Inventories</t>
        </is>
      </c>
      <c r="C7" s="31" t="n">
        <v>1447367</v>
      </c>
      <c r="D7" s="31" t="n">
        <v>1323602</v>
      </c>
      <c r="E7" s="31" t="n">
        <v>1442081</v>
      </c>
      <c r="F7" s="31" t="n">
        <v>1700753</v>
      </c>
      <c r="G7" s="26">
        <f>'Income Statement'!G5*'Assumptions'!G16</f>
        <v/>
      </c>
      <c r="H7" s="26">
        <f>'Income Statement'!H5*'Assumptions'!H16</f>
        <v/>
      </c>
      <c r="I7" s="26">
        <f>'Income Statement'!I5*'Assumptions'!I16</f>
        <v/>
      </c>
      <c r="J7" s="26">
        <f>'Income Statement'!J5*'Assumptions'!J16</f>
        <v/>
      </c>
      <c r="K7" s="26">
        <f>'Income Statement'!K5*'Assumptions'!K16</f>
        <v/>
      </c>
    </row>
    <row r="8">
      <c r="A8" s="20" t="inlineStr">
        <is>
          <t>Other current assets</t>
        </is>
      </c>
      <c r="C8" s="26" t="n">
        <v>557219</v>
      </c>
      <c r="D8" s="26" t="n">
        <v>493004</v>
      </c>
      <c r="E8" s="26" t="n">
        <v>553885</v>
      </c>
      <c r="F8" s="26" t="n">
        <v>754746</v>
      </c>
      <c r="G8" s="26">
        <f>'Income Statement'!G4*'Assumptions'!G19</f>
        <v/>
      </c>
      <c r="H8" s="26">
        <f>'Income Statement'!H4*'Assumptions'!H19</f>
        <v/>
      </c>
      <c r="I8" s="26">
        <f>'Income Statement'!I4*'Assumptions'!I19</f>
        <v/>
      </c>
      <c r="J8" s="26">
        <f>'Income Statement'!J4*'Assumptions'!J19</f>
        <v/>
      </c>
      <c r="K8" s="26">
        <f>'Income Statement'!K4*'Assumptions'!K19</f>
        <v/>
      </c>
    </row>
    <row r="9">
      <c r="A9" s="32" t="inlineStr">
        <is>
          <t>Total current assets</t>
        </is>
      </c>
      <c r="C9" s="42" t="n">
        <v>3159453</v>
      </c>
      <c r="D9" s="42" t="n">
        <v>4060577</v>
      </c>
      <c r="E9" s="42" t="n">
        <v>3980302</v>
      </c>
      <c r="F9" s="42" t="n">
        <v>4262701</v>
      </c>
      <c r="G9" s="33">
        <f>G6+G7+G8</f>
        <v/>
      </c>
      <c r="H9" s="33">
        <f>H6+H7+H8</f>
        <v/>
      </c>
      <c r="I9" s="33">
        <f>I6+I7+I8</f>
        <v/>
      </c>
      <c r="J9" s="33">
        <f>J6+J7+J8</f>
        <v/>
      </c>
      <c r="K9" s="33">
        <f>K6+K7+K8</f>
        <v/>
      </c>
    </row>
    <row r="10">
      <c r="A10" s="41" t="inlineStr">
        <is>
          <t>Non-current assets:</t>
        </is>
      </c>
    </row>
    <row r="11">
      <c r="A11" s="20" t="inlineStr">
        <is>
          <t>Property &amp; equipment, net</t>
        </is>
      </c>
      <c r="C11" s="31" t="n">
        <v>1269614</v>
      </c>
      <c r="D11" s="31" t="n">
        <v>1545811</v>
      </c>
      <c r="E11" s="31" t="n">
        <v>1780617</v>
      </c>
      <c r="F11" s="31" t="n">
        <v>2033720</v>
      </c>
      <c r="G11" s="26">
        <f>F11+'Income Statement'!G4*'Assumptions'!G13-'Income Statement'!G4*'Assumptions'!G12</f>
        <v/>
      </c>
      <c r="H11" s="26">
        <f>G11+'Income Statement'!H4*'Assumptions'!H13-'Income Statement'!H4*'Assumptions'!H12</f>
        <v/>
      </c>
      <c r="I11" s="26">
        <f>H11+'Income Statement'!I4*'Assumptions'!I13-'Income Statement'!I4*'Assumptions'!I12</f>
        <v/>
      </c>
      <c r="J11" s="26">
        <f>I11+'Income Statement'!J4*'Assumptions'!J13-'Income Statement'!J4*'Assumptions'!J12</f>
        <v/>
      </c>
      <c r="K11" s="26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31" t="n">
        <v>969419</v>
      </c>
      <c r="D12" s="31" t="n">
        <v>1265610</v>
      </c>
      <c r="E12" s="31" t="n">
        <v>1416256</v>
      </c>
      <c r="F12" s="31" t="n">
        <v>1630181</v>
      </c>
      <c r="G12" s="26">
        <f>'Income Statement'!G4*'Assumptions'!G20</f>
        <v/>
      </c>
      <c r="H12" s="26">
        <f>'Income Statement'!H4*'Assumptions'!H20</f>
        <v/>
      </c>
      <c r="I12" s="26">
        <f>'Income Statement'!I4*'Assumptions'!I20</f>
        <v/>
      </c>
      <c r="J12" s="26">
        <f>'Income Statement'!J4*'Assumptions'!J20</f>
        <v/>
      </c>
      <c r="K12" s="26">
        <f>'Income Statement'!K4*'Assumptions'!K20</f>
        <v/>
      </c>
    </row>
    <row r="13">
      <c r="A13" s="20" t="inlineStr">
        <is>
          <t>Goodwill &amp; intangible assets</t>
        </is>
      </c>
      <c r="C13" s="31" t="n">
        <v>46105</v>
      </c>
      <c r="D13" s="31" t="n">
        <v>24083</v>
      </c>
      <c r="E13" s="31" t="n">
        <v>171191</v>
      </c>
      <c r="F13" s="31" t="n">
        <v>191194</v>
      </c>
      <c r="G13" s="26">
        <f>F13</f>
        <v/>
      </c>
      <c r="H13" s="26">
        <f>G13</f>
        <v/>
      </c>
      <c r="I13" s="26">
        <f>H13</f>
        <v/>
      </c>
      <c r="J13" s="26">
        <f>I13</f>
        <v/>
      </c>
      <c r="K13" s="26">
        <f>J13</f>
        <v/>
      </c>
    </row>
    <row r="14">
      <c r="A14" s="20" t="inlineStr">
        <is>
          <t>Other non-current assets</t>
        </is>
      </c>
      <c r="C14" s="26" t="n">
        <v>162447</v>
      </c>
      <c r="D14" s="26" t="n">
        <v>195860</v>
      </c>
      <c r="E14" s="26" t="n">
        <v>254926</v>
      </c>
      <c r="F14" s="26" t="n">
        <v>338947</v>
      </c>
      <c r="G14" s="26">
        <f>'Income Statement'!G4*'Assumptions'!G21</f>
        <v/>
      </c>
      <c r="H14" s="26">
        <f>'Income Statement'!H4*'Assumptions'!H21</f>
        <v/>
      </c>
      <c r="I14" s="26">
        <f>'Income Statement'!I4*'Assumptions'!I21</f>
        <v/>
      </c>
      <c r="J14" s="26">
        <f>'Income Statement'!J4*'Assumptions'!J21</f>
        <v/>
      </c>
      <c r="K14" s="26">
        <f>'Income Statement'!K4*'Assumptions'!K21</f>
        <v/>
      </c>
    </row>
    <row r="15">
      <c r="A15" s="32" t="inlineStr">
        <is>
          <t>TOTAL ASSETS</t>
        </is>
      </c>
      <c r="C15" s="43" t="n">
        <v>5607038</v>
      </c>
      <c r="D15" s="43" t="n">
        <v>7091941</v>
      </c>
      <c r="E15" s="43" t="n">
        <v>7603292</v>
      </c>
      <c r="F15" s="43" t="n">
        <v>8456743</v>
      </c>
      <c r="G15" s="34">
        <f>G9+G11+G12+G13+G14</f>
        <v/>
      </c>
      <c r="H15" s="34">
        <f>H9+H11+H12+H13+H14</f>
        <v/>
      </c>
      <c r="I15" s="34">
        <f>I9+I11+I12+I13+I14</f>
        <v/>
      </c>
      <c r="J15" s="34">
        <f>J9+J11+J12+J13+J14</f>
        <v/>
      </c>
      <c r="K15" s="34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41" t="inlineStr">
        <is>
          <t>Current liabilities:</t>
        </is>
      </c>
    </row>
    <row r="19">
      <c r="A19" s="20" t="inlineStr">
        <is>
          <t>Accounts payable</t>
        </is>
      </c>
      <c r="C19" s="31" t="n">
        <v>172732</v>
      </c>
      <c r="D19" s="31" t="n">
        <v>348441</v>
      </c>
      <c r="E19" s="31" t="n">
        <v>271406</v>
      </c>
      <c r="F19" s="31" t="n">
        <v>331421</v>
      </c>
      <c r="G19" s="26">
        <f>'Income Statement'!G5*'Assumptions'!G17</f>
        <v/>
      </c>
      <c r="H19" s="26">
        <f>'Income Statement'!H5*'Assumptions'!H17</f>
        <v/>
      </c>
      <c r="I19" s="26">
        <f>'Income Statement'!I5*'Assumptions'!I17</f>
        <v/>
      </c>
      <c r="J19" s="26">
        <f>'Income Statement'!J5*'Assumptions'!J17</f>
        <v/>
      </c>
      <c r="K19" s="26">
        <f>'Income Statement'!K5*'Assumptions'!K17</f>
        <v/>
      </c>
    </row>
    <row r="20">
      <c r="A20" s="20" t="inlineStr">
        <is>
          <t>Accrued liabilities</t>
        </is>
      </c>
      <c r="C20" s="31" t="n">
        <v>399223</v>
      </c>
      <c r="D20" s="31" t="n">
        <v>348555</v>
      </c>
      <c r="E20" s="31" t="n">
        <v>559463</v>
      </c>
      <c r="F20" s="31" t="n">
        <v>662982</v>
      </c>
      <c r="G20" s="26">
        <f>'Income Statement'!G4*'Assumptions'!G18</f>
        <v/>
      </c>
      <c r="H20" s="26">
        <f>'Income Statement'!H4*'Assumptions'!H18</f>
        <v/>
      </c>
      <c r="I20" s="26">
        <f>'Income Statement'!I4*'Assumptions'!I18</f>
        <v/>
      </c>
      <c r="J20" s="26">
        <f>'Income Statement'!J4*'Assumptions'!J18</f>
        <v/>
      </c>
      <c r="K20" s="26">
        <f>'Income Statement'!K4*'Assumptions'!K18</f>
        <v/>
      </c>
    </row>
    <row r="21">
      <c r="A21" s="20" t="inlineStr">
        <is>
          <t>Operating lease liabilities (current)</t>
        </is>
      </c>
      <c r="C21" s="31" t="n">
        <v>207972</v>
      </c>
      <c r="D21" s="31" t="n">
        <v>249270</v>
      </c>
      <c r="E21" s="31" t="n">
        <v>275154</v>
      </c>
      <c r="F21" s="31" t="n">
        <v>298724</v>
      </c>
      <c r="G21" s="26">
        <f>'Income Statement'!G4*'Assumptions'!G22</f>
        <v/>
      </c>
      <c r="H21" s="26">
        <f>'Income Statement'!H4*'Assumptions'!H22</f>
        <v/>
      </c>
      <c r="I21" s="26">
        <f>'Income Statement'!I4*'Assumptions'!I22</f>
        <v/>
      </c>
      <c r="J21" s="26">
        <f>'Income Statement'!J4*'Assumptions'!J22</f>
        <v/>
      </c>
      <c r="K21" s="26">
        <f>'Income Statement'!K4*'Assumptions'!K22</f>
        <v/>
      </c>
    </row>
    <row r="22">
      <c r="A22" s="20" t="inlineStr">
        <is>
          <t>Other current liabilities</t>
        </is>
      </c>
      <c r="C22" s="26" t="n">
        <v>712271</v>
      </c>
      <c r="D22" s="26" t="n">
        <v>684995</v>
      </c>
      <c r="E22" s="26" t="n">
        <v>733607</v>
      </c>
      <c r="F22" s="26" t="n">
        <v>594421</v>
      </c>
      <c r="G22" s="26">
        <f>'Income Statement'!G4*'Assumptions'!G24</f>
        <v/>
      </c>
      <c r="H22" s="26">
        <f>'Income Statement'!H4*'Assumptions'!H24</f>
        <v/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</row>
    <row r="23">
      <c r="A23" s="32" t="inlineStr">
        <is>
          <t>Total current liabilities</t>
        </is>
      </c>
      <c r="C23" s="42" t="n">
        <v>1492198</v>
      </c>
      <c r="D23" s="42" t="n">
        <v>1631261</v>
      </c>
      <c r="E23" s="42" t="n">
        <v>1839630</v>
      </c>
      <c r="F23" s="42" t="n">
        <v>1887548</v>
      </c>
      <c r="G23" s="33">
        <f>G19+G20+G21+G22</f>
        <v/>
      </c>
      <c r="H23" s="33">
        <f>H19+H20+H21+H22</f>
        <v/>
      </c>
      <c r="I23" s="33">
        <f>I19+I20+I21+I22</f>
        <v/>
      </c>
      <c r="J23" s="33">
        <f>J19+J20+J21+J22</f>
        <v/>
      </c>
      <c r="K23" s="33">
        <f>K19+K20+K21+K22</f>
        <v/>
      </c>
    </row>
    <row r="24">
      <c r="A24" s="41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31" t="n">
        <v>862362</v>
      </c>
      <c r="D25" s="31" t="n">
        <v>1154012</v>
      </c>
      <c r="E25" s="31" t="n">
        <v>1300637</v>
      </c>
      <c r="F25" s="31" t="n">
        <v>1499717</v>
      </c>
      <c r="G25" s="26">
        <f>'Income Statement'!G4*'Assumptions'!G23</f>
        <v/>
      </c>
      <c r="H25" s="26">
        <f>'Income Statement'!H4*'Assumptions'!H23</f>
        <v/>
      </c>
      <c r="I25" s="26">
        <f>'Income Statement'!I4*'Assumptions'!I23</f>
        <v/>
      </c>
      <c r="J25" s="26">
        <f>'Income Statement'!J4*'Assumptions'!J23</f>
        <v/>
      </c>
      <c r="K25" s="26">
        <f>'Income Statement'!K4*'Assumptions'!K23</f>
        <v/>
      </c>
    </row>
    <row r="26">
      <c r="A26" s="20" t="inlineStr">
        <is>
          <t>Deferred income taxes</t>
        </is>
      </c>
      <c r="C26" s="31" t="n">
        <v>55084</v>
      </c>
      <c r="D26" s="31" t="n">
        <v>29522</v>
      </c>
      <c r="E26" s="31" t="n">
        <v>98188</v>
      </c>
      <c r="F26" s="31" t="n">
        <v>52278</v>
      </c>
      <c r="G26" s="26">
        <f>F26</f>
        <v/>
      </c>
      <c r="H26" s="26">
        <f>G26</f>
        <v/>
      </c>
      <c r="I26" s="26">
        <f>H26</f>
        <v/>
      </c>
      <c r="J26" s="26">
        <f>I26</f>
        <v/>
      </c>
      <c r="K26" s="26">
        <f>J26</f>
        <v/>
      </c>
    </row>
    <row r="27">
      <c r="A27" s="20" t="inlineStr">
        <is>
          <t>Other non-current liabilities</t>
        </is>
      </c>
      <c r="C27" s="26" t="n">
        <v>48595</v>
      </c>
      <c r="D27" s="26" t="n">
        <v>45065</v>
      </c>
      <c r="E27" s="26" t="n">
        <v>40790</v>
      </c>
      <c r="F27" s="26" t="n">
        <v>55360</v>
      </c>
      <c r="G27" s="26">
        <f>'Income Statement'!G4*'Assumptions'!G25</f>
        <v/>
      </c>
      <c r="H27" s="26">
        <f>'Income Statement'!H4*'Assumptions'!H25</f>
        <v/>
      </c>
      <c r="I27" s="26">
        <f>'Income Statement'!I4*'Assumptions'!I25</f>
        <v/>
      </c>
      <c r="J27" s="26">
        <f>'Income Statement'!J4*'Assumptions'!J25</f>
        <v/>
      </c>
      <c r="K27" s="26">
        <f>'Income Statement'!K4*'Assumptions'!K25</f>
        <v/>
      </c>
    </row>
    <row r="28">
      <c r="A28" s="32" t="inlineStr">
        <is>
          <t>TOTAL LIABILITIES</t>
        </is>
      </c>
      <c r="C28" s="42" t="n">
        <v>2458239</v>
      </c>
      <c r="D28" s="42" t="n">
        <v>2859860</v>
      </c>
      <c r="E28" s="42" t="n">
        <v>3279245</v>
      </c>
      <c r="F28" s="42" t="n">
        <v>3494903</v>
      </c>
      <c r="G28" s="33">
        <f>G23+G25+G26+G27</f>
        <v/>
      </c>
      <c r="H28" s="33">
        <f>H23+H25+H26+H27</f>
        <v/>
      </c>
      <c r="I28" s="33">
        <f>I23+I25+I26+I27</f>
        <v/>
      </c>
      <c r="J28" s="33">
        <f>J23+J25+J26+J27</f>
        <v/>
      </c>
      <c r="K28" s="33">
        <f>K23+K25+K26+K27</f>
        <v/>
      </c>
    </row>
    <row r="30">
      <c r="A30" s="41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31" t="n">
        <v>475256</v>
      </c>
      <c r="D31" s="31" t="n">
        <v>575975</v>
      </c>
      <c r="E31" s="31" t="n">
        <v>638771</v>
      </c>
      <c r="F31" s="31" t="n">
        <v>669949</v>
      </c>
      <c r="G31" s="26">
        <f>F31+'Assumptions'!G14</f>
        <v/>
      </c>
      <c r="H31" s="26">
        <f>G31+'Assumptions'!H14</f>
        <v/>
      </c>
      <c r="I31" s="26">
        <f>H31+'Assumptions'!I14</f>
        <v/>
      </c>
      <c r="J31" s="26">
        <f>I31+'Assumptions'!J14</f>
        <v/>
      </c>
      <c r="K31" s="26">
        <f>J31+'Assumptions'!K14</f>
        <v/>
      </c>
    </row>
    <row r="32">
      <c r="A32" s="20" t="inlineStr">
        <is>
          <t>Retained earnings</t>
        </is>
      </c>
      <c r="C32" s="31" t="n">
        <v>2926127</v>
      </c>
      <c r="D32" s="31" t="n">
        <v>3920362</v>
      </c>
      <c r="E32" s="31" t="n">
        <v>4109717</v>
      </c>
      <c r="F32" s="31" t="n">
        <v>4522581</v>
      </c>
      <c r="G32" s="26">
        <f>F32+'Income Statement'!G13-'Assumptions'!G27</f>
        <v/>
      </c>
      <c r="H32" s="26">
        <f>G32+'Income Statement'!H13-'Assumptions'!H27</f>
        <v/>
      </c>
      <c r="I32" s="26">
        <f>H32+'Income Statement'!I13-'Assumptions'!I27</f>
        <v/>
      </c>
      <c r="J32" s="26">
        <f>I32+'Income Statement'!J13-'Assumptions'!J27</f>
        <v/>
      </c>
      <c r="K32" s="26">
        <f>J32+'Income Statement'!K13-'Assumptions'!K27</f>
        <v/>
      </c>
    </row>
    <row r="33">
      <c r="A33" s="20" t="inlineStr">
        <is>
          <t>Accumulated other comprehensive loss</t>
        </is>
      </c>
      <c r="C33" s="31" t="n">
        <v>-252584</v>
      </c>
      <c r="D33" s="31" t="n">
        <v>-264256</v>
      </c>
      <c r="E33" s="31" t="n">
        <v>-424441</v>
      </c>
      <c r="F33" s="31" t="n">
        <v>-230690</v>
      </c>
      <c r="G33" s="26">
        <f>F33</f>
        <v/>
      </c>
      <c r="H33" s="26">
        <f>G33</f>
        <v/>
      </c>
      <c r="I33" s="26">
        <f>H33</f>
        <v/>
      </c>
      <c r="J33" s="26">
        <f>I33</f>
        <v/>
      </c>
      <c r="K33" s="26">
        <f>J33</f>
        <v/>
      </c>
    </row>
    <row r="34">
      <c r="A34" s="32" t="inlineStr">
        <is>
          <t>TOTAL SHAREHOLDERS' EQUITY</t>
        </is>
      </c>
      <c r="C34" s="42" t="n">
        <v>3148799</v>
      </c>
      <c r="D34" s="42" t="n">
        <v>4232081</v>
      </c>
      <c r="E34" s="42" t="n">
        <v>4324047</v>
      </c>
      <c r="F34" s="42" t="n">
        <v>4961840</v>
      </c>
      <c r="G34" s="33">
        <f>G31+G32+G33</f>
        <v/>
      </c>
      <c r="H34" s="33">
        <f>H31+H32+H33</f>
        <v/>
      </c>
      <c r="I34" s="33">
        <f>I31+I32+I33</f>
        <v/>
      </c>
      <c r="J34" s="33">
        <f>J31+J32+J33</f>
        <v/>
      </c>
      <c r="K34" s="33">
        <f>K31+K32+K33</f>
        <v/>
      </c>
    </row>
    <row r="35">
      <c r="A35" s="32" t="inlineStr">
        <is>
          <t>TOTAL LIABILITIES &amp; EQUITY</t>
        </is>
      </c>
      <c r="C35" s="34">
        <f>C28+C34</f>
        <v/>
      </c>
      <c r="D35" s="34">
        <f>D28+D34</f>
        <v/>
      </c>
      <c r="E35" s="34">
        <f>E28+E34</f>
        <v/>
      </c>
      <c r="F35" s="34">
        <f>F28+F34</f>
        <v/>
      </c>
      <c r="G35" s="34">
        <f>G28+G34</f>
        <v/>
      </c>
      <c r="H35" s="34">
        <f>H28+H34</f>
        <v/>
      </c>
      <c r="I35" s="34">
        <f>I28+I34</f>
        <v/>
      </c>
      <c r="J35" s="34">
        <f>J28+J34</f>
        <v/>
      </c>
      <c r="K35" s="34">
        <f>K28+K34</f>
        <v/>
      </c>
    </row>
    <row r="37">
      <c r="A37" s="38" t="inlineStr">
        <is>
          <t>Balance check (Assets − L&amp;E)</t>
        </is>
      </c>
      <c r="C37" s="44">
        <f>C15-C35</f>
        <v/>
      </c>
      <c r="D37" s="44">
        <f>D15-D35</f>
        <v/>
      </c>
      <c r="E37" s="44">
        <f>E15-E35</f>
        <v/>
      </c>
      <c r="F37" s="44">
        <f>F15-F35</f>
        <v/>
      </c>
      <c r="G37" s="44">
        <f>G15-G35</f>
        <v/>
      </c>
      <c r="H37" s="44">
        <f>H15-H35</f>
        <v/>
      </c>
      <c r="I37" s="44">
        <f>I15-I35</f>
        <v/>
      </c>
      <c r="J37" s="44">
        <f>J15-J35</f>
        <v/>
      </c>
      <c r="K37" s="44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4" customWidth="1" min="12" max="12"/>
    <col width="22" customWidth="1" min="13" max="13"/>
    <col width="44" customWidth="1" min="14" max="14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 ht="36" customHeight="1">
      <c r="A2" s="15" t="inlineStr">
        <is>
          <t>Ctrl+F lines</t>
        </is>
      </c>
      <c r="C2" s="29" t="inlineStr">
        <is>
          <t>10-K
Ctrl+F: "CONSOLIDATED STATEMENTS OF OPERATIONS" or "CONSOLIDATED BALANCE SHEETS"</t>
        </is>
      </c>
      <c r="D2" s="29" t="inlineStr">
        <is>
          <t>10-K
Ctrl+F: "CONSOLIDATED STATEMENTS OF OPERATIONS" or "CONSOLIDATED BALANCE SHEETS"</t>
        </is>
      </c>
      <c r="E2" s="29" t="inlineStr">
        <is>
          <t>10-K
Ctrl+F: "CONSOLIDATED STATEMENTS OF OPERATIONS" or "CONSOLIDATED BALANCE SHEETS"</t>
        </is>
      </c>
      <c r="F2" s="29" t="inlineStr">
        <is>
          <t>10-K
Ctrl+F: "CONSOLIDATED STATEMENTS OF OPERATIONS" or "CONSOLIDATED BALANCE SHEETS"</t>
        </is>
      </c>
      <c r="G2" s="30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31" t="n">
        <v>854800</v>
      </c>
      <c r="D5" s="31" t="n">
        <v>1550190</v>
      </c>
      <c r="E5" s="31" t="n">
        <v>1814616</v>
      </c>
      <c r="F5" s="31" t="n">
        <v>1579183</v>
      </c>
      <c r="G5" s="26">
        <f>'Income Statement'!G13</f>
        <v/>
      </c>
      <c r="H5" s="26">
        <f>'Income Statement'!H13</f>
        <v/>
      </c>
      <c r="I5" s="26">
        <f>'Income Statement'!I13</f>
        <v/>
      </c>
      <c r="J5" s="26">
        <f>'Income Statement'!J13</f>
        <v/>
      </c>
      <c r="K5" s="26">
        <f>'Income Statement'!K13</f>
        <v/>
      </c>
    </row>
    <row r="6">
      <c r="A6" s="20" t="inlineStr">
        <is>
          <t>Depreciation &amp; amortization</t>
        </is>
      </c>
      <c r="C6" s="31" t="n">
        <v>291791</v>
      </c>
      <c r="D6" s="31" t="n">
        <v>379384</v>
      </c>
      <c r="E6" s="31" t="n">
        <v>446524</v>
      </c>
      <c r="F6" s="31" t="n">
        <v>496228</v>
      </c>
      <c r="G6" s="26">
        <f>'Income Statement'!G4*'Assumptions'!G12</f>
        <v/>
      </c>
      <c r="H6" s="26">
        <f>'Income Statement'!H4*'Assumptions'!H12</f>
        <v/>
      </c>
      <c r="I6" s="26">
        <f>'Income Statement'!I4*'Assumptions'!I12</f>
        <v/>
      </c>
      <c r="J6" s="26">
        <f>'Income Statement'!J4*'Assumptions'!J12</f>
        <v/>
      </c>
      <c r="K6" s="26">
        <f>'Income Statement'!K4*'Assumptions'!K12</f>
        <v/>
      </c>
    </row>
    <row r="7">
      <c r="A7" s="20" t="inlineStr">
        <is>
          <t>Stock-based compensation</t>
        </is>
      </c>
      <c r="C7" s="31" t="n">
        <v>78075</v>
      </c>
      <c r="D7" s="31" t="n">
        <v>93560</v>
      </c>
      <c r="E7" s="31" t="n">
        <v>90011</v>
      </c>
      <c r="F7" s="31" t="n">
        <v>62203</v>
      </c>
      <c r="G7" s="26">
        <f>'Assumptions'!G14</f>
        <v/>
      </c>
      <c r="H7" s="26">
        <f>'Assumptions'!H14</f>
        <v/>
      </c>
      <c r="I7" s="26">
        <f>'Assumptions'!I14</f>
        <v/>
      </c>
      <c r="J7" s="26">
        <f>'Assumptions'!J14</f>
        <v/>
      </c>
      <c r="K7" s="26">
        <f>'Assumptions'!K14</f>
        <v/>
      </c>
    </row>
    <row r="8">
      <c r="A8" s="20" t="inlineStr">
        <is>
          <t xml:space="preserve">  (Incr.)/decr. in inventories</t>
        </is>
      </c>
      <c r="C8" s="45" t="inlineStr">
        <is>
          <t>—</t>
        </is>
      </c>
      <c r="D8" s="45" t="inlineStr">
        <is>
          <t>—</t>
        </is>
      </c>
      <c r="E8" s="45" t="inlineStr">
        <is>
          <t>—</t>
        </is>
      </c>
      <c r="F8" s="45" t="inlineStr">
        <is>
          <t>—</t>
        </is>
      </c>
      <c r="G8" s="26">
        <f>-('Balance Sheet'!G7-'Balance Sheet'!F7)</f>
        <v/>
      </c>
      <c r="H8" s="26">
        <f>-('Balance Sheet'!H7-'Balance Sheet'!G7)</f>
        <v/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5" t="inlineStr">
        <is>
          <t>—</t>
        </is>
      </c>
      <c r="D9" s="45" t="inlineStr">
        <is>
          <t>—</t>
        </is>
      </c>
      <c r="E9" s="45" t="inlineStr">
        <is>
          <t>—</t>
        </is>
      </c>
      <c r="F9" s="45" t="inlineStr">
        <is>
          <t>—</t>
        </is>
      </c>
      <c r="G9" s="26">
        <f>-('Balance Sheet'!G8-'Balance Sheet'!F8)</f>
        <v/>
      </c>
      <c r="H9" s="26">
        <f>-('Balance Sheet'!H8-'Balance Sheet'!G8)</f>
        <v/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</row>
    <row r="10">
      <c r="A10" s="20" t="inlineStr">
        <is>
          <t xml:space="preserve">  (Incr.)/decr. in ROU assets</t>
        </is>
      </c>
      <c r="C10" s="45" t="inlineStr">
        <is>
          <t>—</t>
        </is>
      </c>
      <c r="D10" s="45" t="inlineStr">
        <is>
          <t>—</t>
        </is>
      </c>
      <c r="E10" s="45" t="inlineStr">
        <is>
          <t>—</t>
        </is>
      </c>
      <c r="F10" s="45" t="inlineStr">
        <is>
          <t>—</t>
        </is>
      </c>
      <c r="G10" s="26">
        <f>-('Balance Sheet'!G12-'Balance Sheet'!F12)</f>
        <v/>
      </c>
      <c r="H10" s="26">
        <f>-('Balance Sheet'!H12-'Balance Sheet'!G12)</f>
        <v/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5" t="inlineStr">
        <is>
          <t>—</t>
        </is>
      </c>
      <c r="D11" s="45" t="inlineStr">
        <is>
          <t>—</t>
        </is>
      </c>
      <c r="E11" s="45" t="inlineStr">
        <is>
          <t>—</t>
        </is>
      </c>
      <c r="F11" s="45" t="inlineStr">
        <is>
          <t>—</t>
        </is>
      </c>
      <c r="G11" s="26">
        <f>-('Balance Sheet'!G14-'Balance Sheet'!F14)</f>
        <v/>
      </c>
      <c r="H11" s="26">
        <f>-('Balance Sheet'!H14-'Balance Sheet'!G14)</f>
        <v/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5" t="inlineStr">
        <is>
          <t>—</t>
        </is>
      </c>
      <c r="D12" s="45" t="inlineStr">
        <is>
          <t>—</t>
        </is>
      </c>
      <c r="E12" s="45" t="inlineStr">
        <is>
          <t>—</t>
        </is>
      </c>
      <c r="F12" s="45" t="inlineStr">
        <is>
          <t>—</t>
        </is>
      </c>
      <c r="G12" s="26">
        <f>('Balance Sheet'!G19-'Balance Sheet'!F19)</f>
        <v/>
      </c>
      <c r="H12" s="26">
        <f>('Balance Sheet'!H19-'Balance Sheet'!G19)</f>
        <v/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5" t="inlineStr">
        <is>
          <t>—</t>
        </is>
      </c>
      <c r="D13" s="45" t="inlineStr">
        <is>
          <t>—</t>
        </is>
      </c>
      <c r="E13" s="45" t="inlineStr">
        <is>
          <t>—</t>
        </is>
      </c>
      <c r="F13" s="45" t="inlineStr">
        <is>
          <t>—</t>
        </is>
      </c>
      <c r="G13" s="26">
        <f>('Balance Sheet'!G20-'Balance Sheet'!F20)</f>
        <v/>
      </c>
      <c r="H13" s="26">
        <f>('Balance Sheet'!H20-'Balance Sheet'!G20)</f>
        <v/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5" t="inlineStr">
        <is>
          <t>—</t>
        </is>
      </c>
      <c r="D14" s="45" t="inlineStr">
        <is>
          <t>—</t>
        </is>
      </c>
      <c r="E14" s="45" t="inlineStr">
        <is>
          <t>—</t>
        </is>
      </c>
      <c r="F14" s="45" t="inlineStr">
        <is>
          <t>—</t>
        </is>
      </c>
      <c r="G14" s="26">
        <f>('Balance Sheet'!G22-'Balance Sheet'!F22)</f>
        <v/>
      </c>
      <c r="H14" s="26">
        <f>('Balance Sheet'!H22-'Balance Sheet'!G22)</f>
        <v/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5" t="inlineStr">
        <is>
          <t>—</t>
        </is>
      </c>
      <c r="D15" s="45" t="inlineStr">
        <is>
          <t>—</t>
        </is>
      </c>
      <c r="E15" s="45" t="inlineStr">
        <is>
          <t>—</t>
        </is>
      </c>
      <c r="F15" s="45" t="inlineStr">
        <is>
          <t>—</t>
        </is>
      </c>
      <c r="G15" s="26">
        <f>('Balance Sheet'!G21-'Balance Sheet'!F21)+('Balance Sheet'!G25-'Balance Sheet'!F25)</f>
        <v/>
      </c>
      <c r="H15" s="26">
        <f>('Balance Sheet'!H21-'Balance Sheet'!G21)+('Balance Sheet'!H25-'Balance Sheet'!G25)</f>
        <v/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5" t="inlineStr">
        <is>
          <t>—</t>
        </is>
      </c>
      <c r="D16" s="45" t="inlineStr">
        <is>
          <t>—</t>
        </is>
      </c>
      <c r="E16" s="45" t="inlineStr">
        <is>
          <t>—</t>
        </is>
      </c>
      <c r="F16" s="45" t="inlineStr">
        <is>
          <t>—</t>
        </is>
      </c>
      <c r="G16" s="26">
        <f>('Balance Sheet'!G26-'Balance Sheet'!F26)</f>
        <v/>
      </c>
      <c r="H16" s="26">
        <f>('Balance Sheet'!H26-'Balance Sheet'!G26)</f>
        <v/>
      </c>
      <c r="I16" s="26">
        <f>('Balance Sheet'!I26-'Balance Sheet'!H26)</f>
        <v/>
      </c>
      <c r="J16" s="26">
        <f>('Balance Sheet'!J26-'Balance Sheet'!I26)</f>
        <v/>
      </c>
      <c r="K16" s="26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5" t="inlineStr">
        <is>
          <t>—</t>
        </is>
      </c>
      <c r="D17" s="45" t="inlineStr">
        <is>
          <t>—</t>
        </is>
      </c>
      <c r="E17" s="45" t="inlineStr">
        <is>
          <t>—</t>
        </is>
      </c>
      <c r="F17" s="45" t="inlineStr">
        <is>
          <t>—</t>
        </is>
      </c>
      <c r="G17" s="26">
        <f>('Balance Sheet'!G27-'Balance Sheet'!F27)</f>
        <v/>
      </c>
      <c r="H17" s="26">
        <f>('Balance Sheet'!H27-'Balance Sheet'!G27)</f>
        <v/>
      </c>
      <c r="I17" s="26">
        <f>('Balance Sheet'!I27-'Balance Sheet'!H27)</f>
        <v/>
      </c>
      <c r="J17" s="26">
        <f>('Balance Sheet'!J27-'Balance Sheet'!I27)</f>
        <v/>
      </c>
      <c r="K17" s="26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6">
        <f>C19-C5-C6-C7</f>
        <v/>
      </c>
      <c r="D18" s="26">
        <f>D19-D5-D6-D7</f>
        <v/>
      </c>
      <c r="E18" s="26">
        <f>E19-E5-E6-E7</f>
        <v/>
      </c>
      <c r="F18" s="26">
        <f>F19-F5-F6-F7</f>
        <v/>
      </c>
    </row>
    <row r="19">
      <c r="A19" s="32" t="inlineStr">
        <is>
          <t>Net cash from operating activities</t>
        </is>
      </c>
      <c r="C19" s="42" t="n">
        <v>966463</v>
      </c>
      <c r="D19" s="42" t="n">
        <v>2296164</v>
      </c>
      <c r="E19" s="42" t="n">
        <v>2272713</v>
      </c>
      <c r="F19" s="42" t="n">
        <v>1602477</v>
      </c>
      <c r="G19" s="33">
        <f>G5+G6+G7+SUM(G8:G17)</f>
        <v/>
      </c>
      <c r="H19" s="33">
        <f>H5+H6+H7+SUM(H8:H17)</f>
        <v/>
      </c>
      <c r="I19" s="33">
        <f>I5+I6+I7+SUM(I8:I17)</f>
        <v/>
      </c>
      <c r="J19" s="33">
        <f>J5+J6+J7+SUM(J8:J17)</f>
        <v/>
      </c>
      <c r="K19" s="33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31" t="n">
        <v>-638657</v>
      </c>
      <c r="D22" s="31" t="n">
        <v>-651865</v>
      </c>
      <c r="E22" s="31" t="n">
        <v>-689232</v>
      </c>
      <c r="F22" s="31" t="n">
        <v>-680802</v>
      </c>
      <c r="G22" s="26">
        <f>-'Income Statement'!G4*'Assumptions'!G13</f>
        <v/>
      </c>
      <c r="H22" s="26">
        <f>-'Income Statement'!H4*'Assumptions'!H13</f>
        <v/>
      </c>
      <c r="I22" s="26">
        <f>-'Income Statement'!I4*'Assumptions'!I13</f>
        <v/>
      </c>
      <c r="J22" s="26">
        <f>-'Income Statement'!J4*'Assumptions'!J13</f>
        <v/>
      </c>
      <c r="K22" s="26">
        <f>-'Income Statement'!K4*'Assumptions'!K13</f>
        <v/>
      </c>
    </row>
    <row r="23">
      <c r="A23" s="32" t="inlineStr">
        <is>
          <t>Net cash from investing activities</t>
        </is>
      </c>
      <c r="C23" s="42" t="n">
        <v>-569937</v>
      </c>
      <c r="D23" s="42" t="n">
        <v>-654132</v>
      </c>
      <c r="E23" s="42" t="n">
        <v>-798174</v>
      </c>
      <c r="F23" s="42" t="n">
        <v>-662118</v>
      </c>
      <c r="G23" s="33">
        <f>G22</f>
        <v/>
      </c>
      <c r="H23" s="33">
        <f>H22</f>
        <v/>
      </c>
      <c r="I23" s="33">
        <f>I22</f>
        <v/>
      </c>
      <c r="J23" s="33">
        <f>J22</f>
        <v/>
      </c>
      <c r="K23" s="33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31" t="n">
        <v>-444001</v>
      </c>
      <c r="D27" s="31" t="n">
        <v>-558652</v>
      </c>
      <c r="E27" s="31" t="n">
        <v>-1636879</v>
      </c>
      <c r="F27" s="31" t="n">
        <v>-1178349</v>
      </c>
      <c r="G27" s="26">
        <f>-'Assumptions'!G27</f>
        <v/>
      </c>
      <c r="H27" s="26">
        <f>-'Assumptions'!H27</f>
        <v/>
      </c>
      <c r="I27" s="26">
        <f>-'Assumptions'!I27</f>
        <v/>
      </c>
      <c r="J27" s="26">
        <f>-'Assumptions'!J27</f>
        <v/>
      </c>
      <c r="K27" s="26">
        <f>-'Assumptions'!K27</f>
        <v/>
      </c>
    </row>
    <row r="28">
      <c r="A28" s="32" t="inlineStr">
        <is>
          <t>Net cash from financing activities</t>
        </is>
      </c>
      <c r="C28" s="42" t="n">
        <v>-467487</v>
      </c>
      <c r="D28" s="42" t="n">
        <v>-548828</v>
      </c>
      <c r="E28" s="42" t="n">
        <v>-1652508</v>
      </c>
      <c r="F28" s="42" t="n">
        <v>-1208656</v>
      </c>
      <c r="G28" s="33">
        <f>G27</f>
        <v/>
      </c>
      <c r="H28" s="33">
        <f>H27</f>
        <v/>
      </c>
      <c r="I28" s="33">
        <f>I27</f>
        <v/>
      </c>
      <c r="J28" s="33">
        <f>J27</f>
        <v/>
      </c>
      <c r="K28" s="33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2" t="inlineStr">
        <is>
          <t>Net change in cash</t>
        </is>
      </c>
      <c r="C31" s="33">
        <f>C19+C23+C28</f>
        <v/>
      </c>
      <c r="D31" s="33">
        <f>D19+D23+D28</f>
        <v/>
      </c>
      <c r="E31" s="33">
        <f>E19+E23+E28</f>
        <v/>
      </c>
      <c r="F31" s="33">
        <f>F19+F23+F28</f>
        <v/>
      </c>
      <c r="G31" s="33">
        <f>G19+G23+G28</f>
        <v/>
      </c>
      <c r="H31" s="33">
        <f>H19+H23+H28</f>
        <v/>
      </c>
      <c r="I31" s="33">
        <f>I19+I23+I28</f>
        <v/>
      </c>
      <c r="J31" s="33">
        <f>J19+J23+J28</f>
        <v/>
      </c>
      <c r="K31" s="33">
        <f>K19+K23+K28</f>
        <v/>
      </c>
    </row>
    <row r="32">
      <c r="A32" s="20" t="inlineStr">
        <is>
          <t>Cash, beginning of year</t>
        </is>
      </c>
      <c r="C32" s="31" t="n">
        <v>1150517</v>
      </c>
      <c r="D32" s="31" t="n">
        <v>1154867</v>
      </c>
      <c r="E32" s="31" t="n">
        <v>2243971</v>
      </c>
      <c r="F32" s="31" t="n">
        <v>1984336</v>
      </c>
      <c r="G32" s="26">
        <f>'Balance Sheet'!F6</f>
        <v/>
      </c>
      <c r="H32" s="26">
        <f>G33</f>
        <v/>
      </c>
      <c r="I32" s="26">
        <f>H33</f>
        <v/>
      </c>
      <c r="J32" s="26">
        <f>I33</f>
        <v/>
      </c>
      <c r="K32" s="26">
        <f>J33</f>
        <v/>
      </c>
    </row>
    <row r="33">
      <c r="A33" s="32" t="inlineStr">
        <is>
          <t>Cash, end of year</t>
        </is>
      </c>
      <c r="C33" s="43" t="n">
        <v>1154867</v>
      </c>
      <c r="D33" s="43" t="n">
        <v>2243971</v>
      </c>
      <c r="E33" s="43" t="n">
        <v>1984336</v>
      </c>
      <c r="F33" s="43" t="n">
        <v>1807202</v>
      </c>
      <c r="G33" s="34">
        <f>G32+G31</f>
        <v/>
      </c>
      <c r="H33" s="34">
        <f>H32+H31</f>
        <v/>
      </c>
      <c r="I33" s="34">
        <f>I32+I31</f>
        <v/>
      </c>
      <c r="J33" s="34">
        <f>J32+J31</f>
        <v/>
      </c>
      <c r="K33" s="34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2026-09-06T19:34:24Z</dcterms:created>
  <dcterms:modified xmlns:dcterms="http://purl.org/dc/terms/" xmlns:xsi="http://www.w3.org/2001/XMLSchema-instance" xsi:type="dcterms:W3CDTF">2026-09-06T19:34:24Z</dcterms:modified>
</cp:coreProperties>
</file>
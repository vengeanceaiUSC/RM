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corporate.lululemon.com/newsroom/press-releases/2026/09-03-2026-210528733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nasdaq.com/market-activity/stocks/lulu" TargetMode="External" Id="rId2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3000012/lulu-20230129.htm" TargetMode="External" Id="rId6"/><Relationship Type="http://schemas.openxmlformats.org/officeDocument/2006/relationships/hyperlink" Target="https://www.sec.gov/Archives/edgar/data/1397187/000139718724000010/lulu-20240128.htm" TargetMode="External" Id="rId7"/><Relationship Type="http://schemas.openxmlformats.org/officeDocument/2006/relationships/hyperlink" Target="https://www.sec.gov/Archives/edgar/data/1397187/000139718725000013/lulu-20250202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3000012/lulu-20230129.htm" TargetMode="External" Id="rId11"/><Relationship Type="http://schemas.openxmlformats.org/officeDocument/2006/relationships/hyperlink" Target="https://www.sec.gov/Archives/edgar/data/1397187/000139718724000010/lulu-20240128.htm" TargetMode="External" Id="rId12"/><Relationship Type="http://schemas.openxmlformats.org/officeDocument/2006/relationships/hyperlink" Target="https://www.sec.gov/Archives/edgar/data/1397187/000139718725000013/lulu-20250202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Archives/edgar/data/1397187/000139718723000012/lulu-20230129.htm" TargetMode="External" Id="rId16"/><Relationship Type="http://schemas.openxmlformats.org/officeDocument/2006/relationships/hyperlink" Target="https://www.sec.gov/Archives/edgar/data/1397187/000139718724000010/lulu-20240128.htm" TargetMode="External" Id="rId17"/><Relationship Type="http://schemas.openxmlformats.org/officeDocument/2006/relationships/hyperlink" Target="https://www.sec.gov/Archives/edgar/data/1397187/000139718725000013/lulu-20250202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corporate.lululemon.com/newsroom/press-releases/2026/09-03-2026-210528733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3000012/lulu-20230129.htm" TargetMode="External" Id="rId26"/><Relationship Type="http://schemas.openxmlformats.org/officeDocument/2006/relationships/hyperlink" Target="https://www.sec.gov/Archives/edgar/data/1397187/000139718724000010/lulu-20240128.htm" TargetMode="External" Id="rId27"/><Relationship Type="http://schemas.openxmlformats.org/officeDocument/2006/relationships/hyperlink" Target="https://www.sec.gov/Archives/edgar/data/1397187/000139718725000013/lulu-20250202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Archives/edgar/data/1397187/000139718723000012/lulu-20230129.htm" TargetMode="External" Id="rId31"/><Relationship Type="http://schemas.openxmlformats.org/officeDocument/2006/relationships/hyperlink" Target="https://www.sec.gov/Archives/edgar/data/1397187/000139718724000010/lulu-20240128.htm" TargetMode="External" Id="rId32"/><Relationship Type="http://schemas.openxmlformats.org/officeDocument/2006/relationships/hyperlink" Target="https://www.sec.gov/Archives/edgar/data/1397187/000139718725000013/lulu-20250202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corporate.lululemon.com/newsroom/press-releases/2026/09-03-2026-210528733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3000012/lulu-20230129.htm" TargetMode="External" Id="rId20"/><Relationship Type="http://schemas.openxmlformats.org/officeDocument/2006/relationships/hyperlink" Target="https://www.sec.gov/Archives/edgar/data/1397187/000139718724000010/lulu-20240128.htm" TargetMode="External" Id="rId21"/><Relationship Type="http://schemas.openxmlformats.org/officeDocument/2006/relationships/hyperlink" Target="https://www.sec.gov/Archives/edgar/data/1397187/000139718725000013/lulu-20250202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3000012/lulu-20230129.htm" TargetMode="External" Id="rId34"/><Relationship Type="http://schemas.openxmlformats.org/officeDocument/2006/relationships/hyperlink" Target="https://www.sec.gov/Archives/edgar/data/1397187/000139718724000010/lulu-20240128.htm" TargetMode="External" Id="rId35"/><Relationship Type="http://schemas.openxmlformats.org/officeDocument/2006/relationships/hyperlink" Target="https://www.sec.gov/Archives/edgar/data/1397187/000139718725000013/lulu-20250202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3000012/lulu-20230129.htm" TargetMode="External" Id="rId39"/><Relationship Type="http://schemas.openxmlformats.org/officeDocument/2006/relationships/hyperlink" Target="https://www.sec.gov/Archives/edgar/data/1397187/000139718724000010/lulu-20240128.htm" TargetMode="External" Id="rId40"/><Relationship Type="http://schemas.openxmlformats.org/officeDocument/2006/relationships/hyperlink" Target="https://www.sec.gov/Archives/edgar/data/1397187/000139718725000013/lulu-20250202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3000012/lulu-20230129.htm" TargetMode="External" Id="rId44"/><Relationship Type="http://schemas.openxmlformats.org/officeDocument/2006/relationships/hyperlink" Target="https://www.sec.gov/Archives/edgar/data/1397187/000139718724000010/lulu-20240128.htm" TargetMode="External" Id="rId45"/><Relationship Type="http://schemas.openxmlformats.org/officeDocument/2006/relationships/hyperlink" Target="https://www.sec.gov/Archives/edgar/data/1397187/000139718725000013/lulu-20250202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3000012/lulu-20230129.htm" TargetMode="External" Id="rId59"/><Relationship Type="http://schemas.openxmlformats.org/officeDocument/2006/relationships/hyperlink" Target="https://www.sec.gov/Archives/edgar/data/1397187/000139718724000010/lulu-20240128.htm" TargetMode="External" Id="rId60"/><Relationship Type="http://schemas.openxmlformats.org/officeDocument/2006/relationships/hyperlink" Target="https://www.sec.gov/Archives/edgar/data/1397187/000139718725000013/lulu-20250202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3000012/lulu-20230129.htm" TargetMode="External" Id="rId63"/><Relationship Type="http://schemas.openxmlformats.org/officeDocument/2006/relationships/hyperlink" Target="https://www.sec.gov/Archives/edgar/data/1397187/000139718724000010/lulu-20240128.htm" TargetMode="External" Id="rId64"/><Relationship Type="http://schemas.openxmlformats.org/officeDocument/2006/relationships/hyperlink" Target="https://www.sec.gov/Archives/edgar/data/1397187/000139718725000013/lulu-20250202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Relationship Type="http://schemas.openxmlformats.org/officeDocument/2006/relationships/hyperlink" Target="https://www.sec.gov/Archives/edgar/data/1397187/000139718723000012/lulu-20230129.htm" TargetMode="External" Id="rId68"/><Relationship Type="http://schemas.openxmlformats.org/officeDocument/2006/relationships/hyperlink" Target="https://www.sec.gov/Archives/edgar/data/1397187/000139718724000010/lulu-20240128.htm" TargetMode="External" Id="rId69"/><Relationship Type="http://schemas.openxmlformats.org/officeDocument/2006/relationships/hyperlink" Target="https://www.sec.gov/Archives/edgar/data/1397187/000139718725000013/lulu-20250202.htm" TargetMode="External" Id="rId70"/><Relationship Type="http://schemas.openxmlformats.org/officeDocument/2006/relationships/hyperlink" Target="https://www.sec.gov/Archives/edgar/data/1397187/000139718726000020/lulu-20260201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Relationship Type="http://schemas.openxmlformats.org/officeDocument/2006/relationships/hyperlink" Target="https://www.sec.gov/Archives/edgar/data/1397187/000139718726000020/lulu-20260201.htm" TargetMode="External" Id="rId77"/><Relationship Type="http://schemas.openxmlformats.org/officeDocument/2006/relationships/hyperlink" Target="https://www.sec.gov/Archives/edgar/data/1397187/000139718723000012/lulu-20230129.htm" TargetMode="External" Id="rId78"/><Relationship Type="http://schemas.openxmlformats.org/officeDocument/2006/relationships/hyperlink" Target="https://www.sec.gov/Archives/edgar/data/1397187/000139718724000010/lulu-20240128.htm" TargetMode="External" Id="rId79"/><Relationship Type="http://schemas.openxmlformats.org/officeDocument/2006/relationships/hyperlink" Target="https://www.sec.gov/Archives/edgar/data/1397187/000139718725000013/lulu-20250202.htm" TargetMode="External" Id="rId80"/><Relationship Type="http://schemas.openxmlformats.org/officeDocument/2006/relationships/hyperlink" Target="https://www.sec.gov/Archives/edgar/data/1397187/000139718726000020/lulu-20260201.htm" TargetMode="External" Id="rId81"/><Relationship Type="http://schemas.openxmlformats.org/officeDocument/2006/relationships/hyperlink" Target="https://www.sec.gov/Archives/edgar/data/1397187/000139718723000012/lulu-20230129.htm" TargetMode="External" Id="rId82"/><Relationship Type="http://schemas.openxmlformats.org/officeDocument/2006/relationships/hyperlink" Target="https://www.sec.gov/Archives/edgar/data/1397187/000139718724000010/lulu-20240128.htm" TargetMode="External" Id="rId83"/><Relationship Type="http://schemas.openxmlformats.org/officeDocument/2006/relationships/hyperlink" Target="https://www.sec.gov/Archives/edgar/data/1397187/000139718725000013/lulu-20250202.htm" TargetMode="External" Id="rId84"/><Relationship Type="http://schemas.openxmlformats.org/officeDocument/2006/relationships/hyperlink" Target="https://www.sec.gov/Archives/edgar/data/1397187/000139718726000020/lulu-20260201.htm" TargetMode="External" Id="rId85"/><Relationship Type="http://schemas.openxmlformats.org/officeDocument/2006/relationships/hyperlink" Target="https://www.sec.gov/Archives/edgar/data/1397187/000139718723000012/lulu-20230129.htm" TargetMode="External" Id="rId86"/><Relationship Type="http://schemas.openxmlformats.org/officeDocument/2006/relationships/hyperlink" Target="https://www.sec.gov/Archives/edgar/data/1397187/000139718724000010/lulu-20240128.htm" TargetMode="External" Id="rId87"/><Relationship Type="http://schemas.openxmlformats.org/officeDocument/2006/relationships/hyperlink" Target="https://www.sec.gov/Archives/edgar/data/1397187/000139718725000013/lulu-20250202.htm" TargetMode="External" Id="rId88"/><Relationship Type="http://schemas.openxmlformats.org/officeDocument/2006/relationships/hyperlink" Target="https://www.sec.gov/Archives/edgar/data/1397187/000139718726000020/lulu-20260201.htm" TargetMode="External" Id="rId8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3000012/lulu-20230129.htm" TargetMode="External" Id="rId27"/><Relationship Type="http://schemas.openxmlformats.org/officeDocument/2006/relationships/hyperlink" Target="https://www.sec.gov/Archives/edgar/data/1397187/000139718724000010/lulu-20240128.htm" TargetMode="External" Id="rId28"/><Relationship Type="http://schemas.openxmlformats.org/officeDocument/2006/relationships/hyperlink" Target="https://www.sec.gov/Archives/edgar/data/1397187/000139718725000013/lulu-20250202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3000012/lulu-20230129.htm" TargetMode="External" Id="rId32"/><Relationship Type="http://schemas.openxmlformats.org/officeDocument/2006/relationships/hyperlink" Target="https://www.sec.gov/Archives/edgar/data/1397187/000139718724000010/lulu-20240128.htm" TargetMode="External" Id="rId33"/><Relationship Type="http://schemas.openxmlformats.org/officeDocument/2006/relationships/hyperlink" Target="https://www.sec.gov/Archives/edgar/data/1397187/000139718725000013/lulu-20250202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3000012/lulu-20230129.htm" TargetMode="External" Id="rId53"/><Relationship Type="http://schemas.openxmlformats.org/officeDocument/2006/relationships/hyperlink" Target="https://www.sec.gov/Archives/edgar/data/1397187/000139718724000010/lulu-20240128.htm" TargetMode="External" Id="rId54"/><Relationship Type="http://schemas.openxmlformats.org/officeDocument/2006/relationships/hyperlink" Target="https://www.sec.gov/Archives/edgar/data/1397187/000139718725000013/lulu-20250202.htm" TargetMode="External" Id="rId55"/><Relationship Type="http://schemas.openxmlformats.org/officeDocument/2006/relationships/hyperlink" Target="https://www.sec.gov/Archives/edgar/data/1397187/000139718726000020/lulu-20260201.htm" TargetMode="External" Id="rId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"Net revenue" → 11,102,600 or "Depreciation and amortization" → 496,228 on this 10-K HTML file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36" customHeight="1">
      <c r="A5" s="19" t="inlineStr">
        <is>
          <t>Revenue growth %</t>
        </is>
      </c>
      <c r="B5" s="20" t="inlineStr">
        <is>
          <t>FY26 −6.1% is guidance midpoint. FY27 +2.6% then +2.3% tracks StockAnalysis next-year +2.64% and 3Y forecast 2.26%.</t>
        </is>
      </c>
      <c r="C5" s="21" t="inlineStr">
        <is>
          <t>StockAnalysis: LULU revenue forecast (FY27–30)</t>
        </is>
      </c>
      <c r="D5" s="22" t="inlineStr">
        <is>
          <t>FY26: earnings release Ctrl+F "decline of 5% to 7%". FY27–30: this page Ctrl+F "Revenue Growth Forecast (3Y)" → 2.26%. Model 2.3%.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0.026</v>
      </c>
      <c r="K5" s="24" t="n">
        <v>0.023</v>
      </c>
      <c r="L5" s="24" t="n">
        <v>0.023</v>
      </c>
      <c r="M5" s="24" t="n">
        <v>0.023</v>
      </c>
    </row>
    <row r="6" ht="36" customHeight="1">
      <c r="A6" s="19" t="inlineStr">
        <is>
          <t>Gross margin % (clean, ex-refunds)</t>
        </is>
      </c>
      <c r="B6" s="20" t="inlineStr">
        <is>
          <t>Clean GM 56.5%→58.0% (ex-refunds), still below peak ~58–59%. FY26 COGS is then reduced by the $134.5M IEEPA refund.</t>
        </is>
      </c>
      <c r="C6" s="21" t="inlineStr">
        <is>
          <t>LULU historical gross margin (10-K)</t>
        </is>
      </c>
      <c r="D6" s="22" t="inlineStr">
        <is>
          <t>Ctrl+F "Gross profit" → 6,284,132 ÷ "Net revenue" 11,102,600 = 56.6% FY25 anchor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36" customHeight="1">
      <c r="A7" s="19" t="inlineStr">
        <is>
          <t>IEEPA tariff refunds ($k, FY26 only)</t>
        </is>
      </c>
      <c r="B7" s="20" t="inlineStr">
        <is>
          <t>Add back $134.5M in FY26 only — already recognized (reduced COGS). +130bps on FY26 sales, not +560bps (that was Q2-only).</t>
        </is>
      </c>
      <c r="C7" s="21" t="inlineStr">
        <is>
          <t>Q2 FY2026 release: $134.5M IEEPA tariff refunds</t>
        </is>
      </c>
      <c r="D7" s="22" t="inlineStr">
        <is>
          <t>Ctrl+F "134.5 million" → IEEPA tariff refunds reduced COGS. Add this dollar amount to FY26 EBIT only. Full-year boost = 134.5 / FY26 sales ≈ 1.3ppt, not 5.6ppt.</t>
        </is>
      </c>
      <c r="E7" s="25" t="n">
        <v>0</v>
      </c>
      <c r="F7" s="25" t="n">
        <v>0</v>
      </c>
      <c r="G7" s="25" t="n">
        <v>0</v>
      </c>
      <c r="H7" s="25" t="n">
        <v>0</v>
      </c>
      <c r="I7" s="26" t="n">
        <v>134500</v>
      </c>
      <c r="J7" s="26" t="n">
        <v>0</v>
      </c>
      <c r="K7" s="26" t="n">
        <v>0</v>
      </c>
      <c r="L7" s="26" t="n">
        <v>0</v>
      </c>
      <c r="M7" s="26" t="n">
        <v>0</v>
      </c>
    </row>
    <row r="8" ht="36" customHeight="1">
      <c r="A8" s="19" t="inlineStr">
        <is>
          <t>SG&amp;A % of revenue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23" t="n">
        <v>0.3399840799317627</v>
      </c>
      <c r="F8" s="23" t="n">
        <v>0.3531676701723352</v>
      </c>
      <c r="G8" s="23" t="n">
        <v>0.355339462337339</v>
      </c>
      <c r="H8" s="23" t="n">
        <v>0.3662706032821141</v>
      </c>
      <c r="I8" s="24" t="n">
        <v>0.425</v>
      </c>
      <c r="J8" s="24" t="n">
        <v>0.415</v>
      </c>
      <c r="K8" s="24" t="n">
        <v>0.405</v>
      </c>
      <c r="L8" s="24" t="n">
        <v>0.4</v>
      </c>
      <c r="M8" s="24" t="n">
        <v>0.395</v>
      </c>
    </row>
    <row r="9" ht="36" customHeight="1">
      <c r="A9" s="19" t="inlineStr">
        <is>
          <t>Amortization / other opex ($)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25" t="n">
        <v>406485</v>
      </c>
      <c r="F9" s="25" t="n">
        <v>79511</v>
      </c>
      <c r="G9" s="25" t="n">
        <v>2735</v>
      </c>
      <c r="H9" s="25" t="n">
        <v>6961</v>
      </c>
      <c r="I9" s="26" t="n">
        <v>7000</v>
      </c>
      <c r="J9" s="26" t="n">
        <v>7000</v>
      </c>
      <c r="K9" s="26" t="n">
        <v>7000</v>
      </c>
      <c r="L9" s="26" t="n">
        <v>7000</v>
      </c>
      <c r="M9" s="26" t="n">
        <v>7000</v>
      </c>
    </row>
    <row r="10" ht="36" customHeight="1">
      <c r="A10" s="19" t="inlineStr">
        <is>
          <t>Other income, net ($)</t>
        </is>
      </c>
      <c r="B10" s="20" t="inlineStr">
        <is>
          <t>FY26 $45M other income annualizes YTD $22,829; then steps down as cash is deployed (FY25 was only $28,352).</t>
        </is>
      </c>
      <c r="C10" s="21" t="inlineStr">
        <is>
          <t>Q2 FY2026 YTD other income (earnings)</t>
        </is>
      </c>
      <c r="D10" s="22" t="inlineStr">
        <is>
          <t>Ctrl+F "22,829" → YTD other income ($000) on the earnings P&amp;L. FY26 model $45,000 annualizes that run-rate.</t>
        </is>
      </c>
      <c r="E10" s="25" t="n">
        <v>4163</v>
      </c>
      <c r="F10" s="25" t="n">
        <v>43059</v>
      </c>
      <c r="G10" s="25" t="n">
        <v>70380</v>
      </c>
      <c r="H10" s="25" t="n">
        <v>28352</v>
      </c>
      <c r="I10" s="26" t="n">
        <v>45000</v>
      </c>
      <c r="J10" s="26" t="n">
        <v>40000</v>
      </c>
      <c r="K10" s="26" t="n">
        <v>35000</v>
      </c>
      <c r="L10" s="26" t="n">
        <v>30000</v>
      </c>
      <c r="M10" s="26" t="n">
        <v>25000</v>
      </c>
    </row>
    <row r="11" ht="36" customHeight="1">
      <c r="A11" s="19" t="inlineStr">
        <is>
          <t>Effective tax rate %</t>
        </is>
      </c>
      <c r="B11" s="20" t="inlineStr">
        <is>
          <t>30% effective tax rate on projections; conservative vs recent ~29% effective, allows for jurisdictional mix.</t>
        </is>
      </c>
      <c r="C11" s="21" t="inlineStr">
        <is>
          <t>LULU Q2 FY2026 outlook (≈30% tax)</t>
        </is>
      </c>
      <c r="D11" s="22" t="inlineStr">
        <is>
          <t>Ctrl+F "a tax rate of approximately 30%" on the earnings outlook; FY25 10-K 29.5%. 3-statement model 30%</t>
        </is>
      </c>
      <c r="E11" s="23" t="n">
        <v>0.3585332413807594</v>
      </c>
      <c r="F11" s="23" t="n">
        <v>0.287509738088508</v>
      </c>
      <c r="G11" s="23" t="n">
        <v>0.2955893787336326</v>
      </c>
      <c r="H11" s="23" t="n">
        <v>0.2946823244826744</v>
      </c>
      <c r="I11" s="24" t="n">
        <v>0.3</v>
      </c>
      <c r="J11" s="24" t="n">
        <v>0.3</v>
      </c>
      <c r="K11" s="24" t="n">
        <v>0.3</v>
      </c>
      <c r="L11" s="24" t="n">
        <v>0.3</v>
      </c>
      <c r="M11" s="24" t="n">
        <v>0.3</v>
      </c>
    </row>
    <row r="12">
      <c r="A12" s="17" t="inlineStr">
        <is>
          <t>CAPITAL &amp; NON-CASH ITEMS</t>
        </is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</row>
    <row r="13" ht="36" customHeight="1">
      <c r="A13" s="19" t="inlineStr">
        <is>
          <t>D&amp;A % of revenue</t>
        </is>
      </c>
      <c r="B13" s="20" t="inlineStr">
        <is>
          <t>D&amp;A 4.5–4.6% of revenue; tracks recent depreciation intensity on PPE and lease-related amortization.</t>
        </is>
      </c>
      <c r="C13" s="21" t="inlineStr">
        <is>
          <t>LULU CF statement (10-K)</t>
        </is>
      </c>
      <c r="D13" s="22" t="inlineStr">
        <is>
          <t>Ctrl+F "Depreciation and amortization" → 496,228 ÷ "Net revenue" 11,102,600 = 4.5%</t>
        </is>
      </c>
      <c r="E13" s="23" t="n">
        <v>0.03597686362326056</v>
      </c>
      <c r="F13" s="23" t="n">
        <v>0.03943996628437186</v>
      </c>
      <c r="G13" s="23" t="n">
        <v>0.04217214642137806</v>
      </c>
      <c r="H13" s="23" t="n">
        <v>0.04469475618323636</v>
      </c>
      <c r="I13" s="24" t="n">
        <v>0.046</v>
      </c>
      <c r="J13" s="24" t="n">
        <v>0.046</v>
      </c>
      <c r="K13" s="24" t="n">
        <v>0.045</v>
      </c>
      <c r="L13" s="24" t="n">
        <v>0.045</v>
      </c>
      <c r="M13" s="24" t="n">
        <v>0.045</v>
      </c>
    </row>
    <row r="14" ht="36" customHeight="1">
      <c r="A14" s="19" t="inlineStr">
        <is>
          <t>Capex % of revenue</t>
        </is>
      </c>
      <c r="B14" s="20" t="inlineStr">
        <is>
          <t>FY26 7.0% is up vs FY25 6.1% ($735M vs $681M). Then 6.0 / 5.5 / 5.0 / 5.0 returns toward the FY25 run-rate and the 4.5% D&amp;A floor.</t>
        </is>
      </c>
      <c r="C14" s="21" t="inlineStr">
        <is>
          <t>LULU CF statement (10-K)</t>
        </is>
      </c>
      <c r="D14" s="22" t="inlineStr">
        <is>
          <t>Ctrl+F "680,802" → FY25 $680.8M / 6.1% of sales. Ctrl+F "$725.0 million and $745.0 million" → FY26 mid $735M / 7.0%. FY26 is up vs FY25, not down. Path 7.0 / 6.0 / 5.5 / 5.0 / 5.0: FY27 6.0% returns to the FY25 6.1% run-rate, then fades toward D&amp;A 4.5% (Ctrl+F "496,228").</t>
        </is>
      </c>
      <c r="E14" s="23" t="n">
        <v>0.07874429228811279</v>
      </c>
      <c r="F14" s="23" t="n">
        <v>0.06776652052264213</v>
      </c>
      <c r="G14" s="23" t="n">
        <v>0.0650948052563787</v>
      </c>
      <c r="H14" s="23" t="n">
        <v>0.06131915046925945</v>
      </c>
      <c r="I14" s="24" t="n">
        <v>0.07000000000000001</v>
      </c>
      <c r="J14" s="24" t="n">
        <v>0.06</v>
      </c>
      <c r="K14" s="24" t="n">
        <v>0.055</v>
      </c>
      <c r="L14" s="24" t="n">
        <v>0.05</v>
      </c>
      <c r="M14" s="24" t="n">
        <v>0.05</v>
      </c>
    </row>
    <row r="15" ht="36" customHeight="1">
      <c r="A15" s="19" t="inlineStr">
        <is>
          <t>Stock-based compensation ($)</t>
        </is>
      </c>
      <c r="B15" s="20" t="inlineStr">
        <is>
          <t>$62M SBC holds the FY25 10-K run-rate (Stock-based compensation expense 62,203).</t>
        </is>
      </c>
      <c r="C15" s="21" t="inlineStr">
        <is>
          <t>LULU CF statement (10-K)</t>
        </is>
      </c>
      <c r="D15" s="22" t="inlineStr">
        <is>
          <t>Ctrl+F "Stock-based compensation expense" → 62,203 on this 10-K HTML. Model $62,000.</t>
        </is>
      </c>
      <c r="E15" s="25" t="n">
        <v>78075</v>
      </c>
      <c r="F15" s="25" t="n">
        <v>93560</v>
      </c>
      <c r="G15" s="25" t="n">
        <v>90011</v>
      </c>
      <c r="H15" s="25" t="n">
        <v>62203</v>
      </c>
      <c r="I15" s="26" t="n">
        <v>62000</v>
      </c>
      <c r="J15" s="26" t="n">
        <v>62000</v>
      </c>
      <c r="K15" s="26" t="n">
        <v>62000</v>
      </c>
      <c r="L15" s="26" t="n">
        <v>62000</v>
      </c>
      <c r="M15" s="26" t="n">
        <v>62000</v>
      </c>
    </row>
    <row r="16">
      <c r="A16" s="17" t="inlineStr">
        <is>
          <t>WORKING CAPITAL &amp; BALANCE SHEET DRIVERS</t>
        </is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</row>
    <row r="17" ht="36" customHeight="1">
      <c r="A17" s="19" t="inlineStr">
        <is>
          <t>Inventories % of COGS</t>
        </is>
      </c>
      <c r="B17" s="20" t="inlineStr">
        <is>
          <t>Inventory 33–34% of COGS; slight normalization from FY25 build as Americas demand softens and clears.</t>
        </is>
      </c>
      <c r="C17" s="21" t="inlineStr">
        <is>
          <t>LULU balance sheet (10-K)</t>
        </is>
      </c>
      <c r="D17" s="22" t="inlineStr">
        <is>
          <t>Ctrl+F "Inventories" → 1,700,753 ÷ "Cost of goods sold" 4,818,468 = 35.3%</t>
        </is>
      </c>
      <c r="E17" s="23" t="n">
        <v>0.4000264774148757</v>
      </c>
      <c r="F17" s="23" t="n">
        <v>0.330085765808543</v>
      </c>
      <c r="G17" s="23" t="n">
        <v>0.3340226506520835</v>
      </c>
      <c r="H17" s="23" t="n">
        <v>0.3529655068789499</v>
      </c>
      <c r="I17" s="24" t="n">
        <v>0.34</v>
      </c>
      <c r="J17" s="24" t="n">
        <v>0.335</v>
      </c>
      <c r="K17" s="24" t="n">
        <v>0.33</v>
      </c>
      <c r="L17" s="24" t="n">
        <v>0.33</v>
      </c>
      <c r="M17" s="24" t="n">
        <v>0.33</v>
      </c>
    </row>
    <row r="18" ht="36" customHeight="1">
      <c r="A18" s="19" t="inlineStr">
        <is>
          <t>Accounts payable % of COGS</t>
        </is>
      </c>
      <c r="B18" s="20" t="inlineStr">
        <is>
          <t>AP 6.8% of COGS; holds near FY25 level reflecting vendor terms and production payment cadence.</t>
        </is>
      </c>
      <c r="C18" s="21" t="inlineStr">
        <is>
          <t>LULU balance sheet (10-K)</t>
        </is>
      </c>
      <c r="D18" s="22" t="inlineStr">
        <is>
          <t>Ctrl+F "Accounts payable" → 331,421 ÷ "Cost of goods sold" 4,818,468 = 6.9%</t>
        </is>
      </c>
      <c r="E18" s="23" t="n">
        <v>0.04774005037894764</v>
      </c>
      <c r="F18" s="23" t="n">
        <v>0.08689576951688993</v>
      </c>
      <c r="G18" s="23" t="n">
        <v>0.06286453501771355</v>
      </c>
      <c r="H18" s="23" t="n">
        <v>0.06878140521012073</v>
      </c>
      <c r="I18" s="24" t="n">
        <v>0.068</v>
      </c>
      <c r="J18" s="24" t="n">
        <v>0.068</v>
      </c>
      <c r="K18" s="24" t="n">
        <v>0.068</v>
      </c>
      <c r="L18" s="24" t="n">
        <v>0.068</v>
      </c>
      <c r="M18" s="24" t="n">
        <v>0.068</v>
      </c>
    </row>
    <row r="19" ht="36" customHeight="1">
      <c r="A19" s="19" t="inlineStr">
        <is>
          <t>Accrued liabilities % of revenue</t>
        </is>
      </c>
      <c r="B19" s="20" t="inlineStr">
        <is>
          <t>Accrued liabilities 5.8% of revenue; stable comp, marketing, and operating accrual ratio.</t>
        </is>
      </c>
      <c r="C19" s="21" t="inlineStr">
        <is>
          <t>LULU balance sheet (10-K)</t>
        </is>
      </c>
      <c r="D19" s="22" t="inlineStr">
        <is>
          <t>Ctrl+F "Accrued liabilities and other" → 662,982 ÷ "Net revenue" 11,102,600 = 6.0%</t>
        </is>
      </c>
      <c r="E19" s="23" t="n">
        <v>0.04922287331092786</v>
      </c>
      <c r="F19" s="23" t="n">
        <v>0.03623504799424655</v>
      </c>
      <c r="G19" s="23" t="n">
        <v>0.05283871763520759</v>
      </c>
      <c r="H19" s="23" t="n">
        <v>0.05971412101669879</v>
      </c>
      <c r="I19" s="24" t="n">
        <v>0.058</v>
      </c>
      <c r="J19" s="24" t="n">
        <v>0.058</v>
      </c>
      <c r="K19" s="24" t="n">
        <v>0.058</v>
      </c>
      <c r="L19" s="24" t="n">
        <v>0.058</v>
      </c>
      <c r="M19" s="24" t="n">
        <v>0.058</v>
      </c>
    </row>
    <row r="20" ht="36" customHeight="1">
      <c r="A20" s="19" t="inlineStr">
        <is>
          <t>Other current assets % of revenue</t>
        </is>
      </c>
      <c r="B20" s="20" t="inlineStr">
        <is>
          <t>OCA 6.8% = FY25 current assets 4,262,701 − cash 1,807,202 − inventories 1,700,753, as % of revenue (not the prepaid line alone).</t>
        </is>
      </c>
      <c r="C20" s="21" t="inlineStr">
        <is>
          <t>LULU balance sheet (10-K)</t>
        </is>
      </c>
      <c r="D20" s="22" t="inlineStr">
        <is>
          <t>Ctrl+F "Total current assets" → 4,262,701 minus "Cash and cash equivalents" 1,807,202 minus "Inventories" 1,700,753 = 754,746 (6.8% of revenue)</t>
        </is>
      </c>
      <c r="E20" s="23" t="n">
        <v>0.06870325668471483</v>
      </c>
      <c r="F20" s="23" t="n">
        <v>0.05125166358639391</v>
      </c>
      <c r="G20" s="23" t="n">
        <v>0.05231190108617899</v>
      </c>
      <c r="H20" s="23" t="n">
        <v>0.06797921207645057</v>
      </c>
      <c r="I20" s="24" t="n">
        <v>0.068</v>
      </c>
      <c r="J20" s="24" t="n">
        <v>0.068</v>
      </c>
      <c r="K20" s="24" t="n">
        <v>0.068</v>
      </c>
      <c r="L20" s="24" t="n">
        <v>0.068</v>
      </c>
      <c r="M20" s="24" t="n">
        <v>0.068</v>
      </c>
    </row>
    <row r="21" ht="36" customHeight="1">
      <c r="A21" s="19" t="inlineStr">
        <is>
          <t>Operating lease ROU asset % of revenue</t>
        </is>
      </c>
      <c r="B21" s="20" t="inlineStr">
        <is>
          <t>ROU assets 14.7% of revenue; lease-intensive store model, stable vs FY25 operating lease footprint.</t>
        </is>
      </c>
      <c r="C21" s="21" t="inlineStr">
        <is>
          <t>LULU lease disclosures (10-K)</t>
        </is>
      </c>
      <c r="D21" s="22" t="inlineStr">
        <is>
          <t>Ctrl+F "Right-of-use lease assets" → 1,630,181 ÷ "Net revenue" 11,102,600 = 14.7%</t>
        </is>
      </c>
      <c r="E21" s="23" t="n">
        <v>0.1195261511040355</v>
      </c>
      <c r="F21" s="23" t="n">
        <v>0.1315701656610818</v>
      </c>
      <c r="G21" s="23" t="n">
        <v>0.1337588918001165</v>
      </c>
      <c r="H21" s="23" t="n">
        <v>0.1468287608307964</v>
      </c>
      <c r="I21" s="24" t="n">
        <v>0.147</v>
      </c>
      <c r="J21" s="24" t="n">
        <v>0.147</v>
      </c>
      <c r="K21" s="24" t="n">
        <v>0.147</v>
      </c>
      <c r="L21" s="24" t="n">
        <v>0.147</v>
      </c>
      <c r="M21" s="24" t="n">
        <v>0.147</v>
      </c>
    </row>
    <row r="22" ht="36" customHeight="1">
      <c r="A22" s="19" t="inlineStr">
        <is>
          <t>Other non-current assets % of revenue</t>
        </is>
      </c>
      <c r="B22" s="20" t="inlineStr">
        <is>
          <t>ONCA 3.0% = FY25 total assets − CA − PPE − ROU − GW (338,947); matches earnings 'deferred taxes and other NC assets'.</t>
        </is>
      </c>
      <c r="C22" s="21" t="inlineStr">
        <is>
          <t>LULU balance sheet (10-K)</t>
        </is>
      </c>
      <c r="D22" s="22" t="inlineStr">
        <is>
          <t>Ctrl+F "Total assets" 8,456,743 − current assets − "Property and equipment, net" − "Right-of-use lease assets" − goodwill/intangibles = 338,947 (3.0%)</t>
        </is>
      </c>
      <c r="E22" s="23" t="n">
        <v>0.02002917692803345</v>
      </c>
      <c r="F22" s="23" t="n">
        <v>0.02036119550760462</v>
      </c>
      <c r="G22" s="23" t="n">
        <v>0.02407659296838742</v>
      </c>
      <c r="H22" s="23" t="n">
        <v>0.03052861491902797</v>
      </c>
      <c r="I22" s="24" t="n">
        <v>0.03</v>
      </c>
      <c r="J22" s="24" t="n">
        <v>0.03</v>
      </c>
      <c r="K22" s="24" t="n">
        <v>0.03</v>
      </c>
      <c r="L22" s="24" t="n">
        <v>0.03</v>
      </c>
      <c r="M22" s="24" t="n">
        <v>0.03</v>
      </c>
    </row>
    <row r="23" ht="36" customHeight="1">
      <c r="A23" s="19" t="inlineStr">
        <is>
          <t>Op lease liab (current) % of revenue</t>
        </is>
      </c>
      <c r="B23" s="20" t="inlineStr">
        <is>
          <t>Current lease liabilities 2.7% of revenue; short-term portion of operating lease obligations.</t>
        </is>
      </c>
      <c r="C23" s="21" t="inlineStr">
        <is>
          <t>LULU lease disclosures (10-K)</t>
        </is>
      </c>
      <c r="D23" s="22" t="inlineStr">
        <is>
          <t>Ctrl+F "Current lease liabilities" → 298,724 ÷ "Net revenue" 11,102,600 = 2.7%</t>
        </is>
      </c>
      <c r="E23" s="23" t="n">
        <v>0.02564225860789656</v>
      </c>
      <c r="F23" s="23" t="n">
        <v>0.02591358727754827</v>
      </c>
      <c r="G23" s="23" t="n">
        <v>0.02598703491061591</v>
      </c>
      <c r="H23" s="23" t="n">
        <v>0.02690576981968188</v>
      </c>
      <c r="I23" s="24" t="n">
        <v>0.027</v>
      </c>
      <c r="J23" s="24" t="n">
        <v>0.027</v>
      </c>
      <c r="K23" s="24" t="n">
        <v>0.027</v>
      </c>
      <c r="L23" s="24" t="n">
        <v>0.027</v>
      </c>
      <c r="M23" s="24" t="n">
        <v>0.027</v>
      </c>
    </row>
    <row r="24" ht="36" customHeight="1">
      <c r="A24" s="19" t="inlineStr">
        <is>
          <t>Op lease liab (non-current) % of revenue</t>
        </is>
      </c>
      <c r="B24" s="20" t="inlineStr">
        <is>
          <t>Non-current lease liabilities 13.5% of revenue; long-term store lease commitments per 10-K.</t>
        </is>
      </c>
      <c r="C24" s="21" t="inlineStr">
        <is>
          <t>LULU lease disclosures (10-K)</t>
        </is>
      </c>
      <c r="D24" s="22" t="inlineStr">
        <is>
          <t>Ctrl+F "Non-current lease liabilities" → 1,499,717 ÷ "Net revenue" 11,102,600 = 13.5%</t>
        </is>
      </c>
      <c r="E24" s="23" t="n">
        <v>0.1063263776740277</v>
      </c>
      <c r="F24" s="23" t="n">
        <v>0.1199686712453887</v>
      </c>
      <c r="G24" s="23" t="n">
        <v>0.1228392068624797</v>
      </c>
      <c r="H24" s="23" t="n">
        <v>0.1350779997478068</v>
      </c>
      <c r="I24" s="24" t="n">
        <v>0.135</v>
      </c>
      <c r="J24" s="24" t="n">
        <v>0.135</v>
      </c>
      <c r="K24" s="24" t="n">
        <v>0.135</v>
      </c>
      <c r="L24" s="24" t="n">
        <v>0.135</v>
      </c>
      <c r="M24" s="24" t="n">
        <v>0.135</v>
      </c>
    </row>
    <row r="25" ht="36" customHeight="1">
      <c r="A25" s="19" t="inlineStr">
        <is>
          <t>Other current liabilities % of revenue</t>
        </is>
      </c>
      <c r="B25" s="20" t="inlineStr">
        <is>
          <t>OCL 5.5% = FY25 current liabilities minus AP, accrued, and current leases (residual ~594k); not the 45,954 'other' line alone.</t>
        </is>
      </c>
      <c r="C25" s="21" t="inlineStr">
        <is>
          <t>LULU balance sheet (10-K)</t>
        </is>
      </c>
      <c r="D25" s="22" t="inlineStr">
        <is>
          <t>Ctrl+F "Total current liabilities" 1,887,548 − "Accounts payable" 331,421 − "Accrued liabilities and other" 662,982 − "Current lease liabilities" 298,724 ≈ 594,421 (5.4%)</t>
        </is>
      </c>
      <c r="E25" s="23" t="n">
        <v>0.08782065461170298</v>
      </c>
      <c r="F25" s="23" t="n">
        <v>0.0712106459549251</v>
      </c>
      <c r="G25" s="23" t="n">
        <v>0.06928582073919408</v>
      </c>
      <c r="H25" s="23" t="n">
        <v>0.05353890079801128</v>
      </c>
      <c r="I25" s="24" t="n">
        <v>0.055</v>
      </c>
      <c r="J25" s="24" t="n">
        <v>0.055</v>
      </c>
      <c r="K25" s="24" t="n">
        <v>0.055</v>
      </c>
      <c r="L25" s="24" t="n">
        <v>0.055</v>
      </c>
      <c r="M25" s="24" t="n">
        <v>0.055</v>
      </c>
    </row>
    <row r="26" ht="36" customHeight="1">
      <c r="A26" s="19" t="inlineStr">
        <is>
          <t>Other non-current liab % of revenue</t>
        </is>
      </c>
      <c r="B26" s="20" t="inlineStr">
        <is>
          <t>Other non-current liabilities 0.5% of revenue; minor long-term accruals and provisions.</t>
        </is>
      </c>
      <c r="C26" s="21" t="inlineStr">
        <is>
          <t>LULU balance sheet (10-K)</t>
        </is>
      </c>
      <c r="D26" s="22" t="inlineStr">
        <is>
          <t>Ctrl+F "Other non-current liabilities" → 55,360 ÷ "Net revenue" 11,102,600 = 0.5%</t>
        </is>
      </c>
      <c r="E26" s="23" t="n">
        <v>0.005991602509235539</v>
      </c>
      <c r="F26" s="23" t="n">
        <v>0.00468486304273564</v>
      </c>
      <c r="G26" s="23" t="n">
        <v>0.003852428654513556</v>
      </c>
      <c r="H26" s="23" t="n">
        <v>0.004986219444094176</v>
      </c>
      <c r="I26" s="24" t="n">
        <v>0.005</v>
      </c>
      <c r="J26" s="24" t="n">
        <v>0.005</v>
      </c>
      <c r="K26" s="24" t="n">
        <v>0.005</v>
      </c>
      <c r="L26" s="24" t="n">
        <v>0.005</v>
      </c>
      <c r="M26" s="24" t="n">
        <v>0.005</v>
      </c>
    </row>
    <row r="27">
      <c r="A27" s="17" t="inlineStr">
        <is>
          <t>CAPITAL RETURN</t>
        </is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</row>
    <row r="28" ht="36" customHeight="1">
      <c r="A28" s="19" t="inlineStr">
        <is>
          <t>Share repurchases ($)</t>
        </is>
      </c>
      <c r="B28" s="20" t="inlineStr">
        <is>
          <t>$500M annual repurchases; continued capital return at moderated pace vs FY24–25 peak buyback levels.</t>
        </is>
      </c>
      <c r="C28" s="21" t="inlineStr">
        <is>
          <t>LULU CF: share repurchases (10-K)</t>
        </is>
      </c>
      <c r="D28" s="22" t="inlineStr">
        <is>
          <t>Ctrl+F "Repurchase of common stock" → ( 1,178,349 ) ($000) FY25; model (500,000)/yr</t>
        </is>
      </c>
      <c r="E28" s="25" t="n">
        <v>444001</v>
      </c>
      <c r="F28" s="25" t="n">
        <v>558652</v>
      </c>
      <c r="G28" s="25" t="n">
        <v>1636879</v>
      </c>
      <c r="H28" s="25" t="n">
        <v>1178349</v>
      </c>
      <c r="I28" s="26" t="n">
        <v>500000</v>
      </c>
      <c r="J28" s="26" t="n">
        <v>500000</v>
      </c>
      <c r="K28" s="26" t="n">
        <v>500000</v>
      </c>
      <c r="L28" s="26" t="n">
        <v>500000</v>
      </c>
      <c r="M28" s="26" t="n">
        <v>500000</v>
      </c>
    </row>
    <row r="29" ht="36" customHeight="1">
      <c r="A29" s="19" t="inlineStr">
        <is>
          <t>Avg repurchase price ($/sh)</t>
        </is>
      </c>
      <c r="B29" s="20" t="inlineStr">
        <is>
          <t>FY26 repurchase price $100 matches the current quote; path $100→$130 is a recovery assumption (FY25 10-K paid $168–$199).</t>
        </is>
      </c>
      <c r="C29" s="21" t="inlineStr">
        <is>
          <t>NASDAQ LULU last sale (current price)</t>
        </is>
      </c>
      <c r="D29" s="22" t="inlineStr">
        <is>
          <t>Ctrl+F "LULU" → Last Sale / Previous Close (~$100). FY26 model repurchase price starts at $100.</t>
        </is>
      </c>
      <c r="I29" s="27" t="n">
        <v>100</v>
      </c>
      <c r="J29" s="27" t="n">
        <v>108</v>
      </c>
      <c r="K29" s="27" t="n">
        <v>115</v>
      </c>
      <c r="L29" s="27" t="n">
        <v>122</v>
      </c>
      <c r="M29" s="27" t="n">
        <v>130</v>
      </c>
    </row>
    <row r="31">
      <c r="A31" s="28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1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8" r:id="rId25"/>
    <hyperlink xmlns:r="http://schemas.openxmlformats.org/officeDocument/2006/relationships" ref="C29" r:id="rId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 ht="36" customHeight="1">
      <c r="A4" s="19" t="inlineStr">
        <is>
          <t>Net revenue</t>
        </is>
      </c>
      <c r="B4" s="20" t="inlineStr">
        <is>
          <t>FY26 −6.1% is guidance midpoint. FY27 +2.6% then +2.3% tracks StockAnalysis next-year +2.64% and 3Y forecast 2.26%.</t>
        </is>
      </c>
      <c r="C4" s="21" t="inlineStr">
        <is>
          <t>StockAnalysis: LULU revenue forecast (FY27–30)</t>
        </is>
      </c>
      <c r="D4" s="22" t="inlineStr">
        <is>
          <t>FY26: earnings release Ctrl+F "decline of 5% to 7%". FY27–30: this page Ctrl+F "Revenue Growth Forecast (3Y)" → 2.26%. Model 2.3%.</t>
        </is>
      </c>
      <c r="E4" s="31" t="n">
        <v>8110518</v>
      </c>
      <c r="F4" s="31" t="n">
        <v>9619278</v>
      </c>
      <c r="G4" s="31" t="n">
        <v>10588126</v>
      </c>
      <c r="H4" s="31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36" customHeight="1">
      <c r="A5" s="19" t="inlineStr">
        <is>
          <t>Cost of goods sold (ex-refunds)</t>
        </is>
      </c>
      <c r="B5" s="20" t="inlineStr">
        <is>
          <t>Clean GM 56.5%→58.0% (ex-refunds), still below peak ~58–59%. FY26 COGS is then reduced by the $134.5M IEEPA refund.</t>
        </is>
      </c>
      <c r="C5" s="21" t="inlineStr">
        <is>
          <t>LULU historical gross margin (10-K)</t>
        </is>
      </c>
      <c r="D5" s="22" t="inlineStr">
        <is>
          <t>Ctrl+F "Gross profit" → 6,284,132 ÷ "Net revenue" 11,102,600 = 56.6% FY25 anchor</t>
        </is>
      </c>
      <c r="E5" s="31" t="n">
        <v>3618178</v>
      </c>
      <c r="F5" s="31" t="n">
        <v>4009873</v>
      </c>
      <c r="G5" s="31" t="n">
        <v>4317315</v>
      </c>
      <c r="H5" s="31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 ht="36" customHeight="1">
      <c r="A6" s="19" t="inlineStr">
        <is>
          <t xml:space="preserve">  Less: IEEPA tariff refunds (FY26 only)</t>
        </is>
      </c>
      <c r="B6" s="20" t="inlineStr">
        <is>
          <t>Add back $134.5M in FY26 only — already recognized (reduced COGS). +130bps on FY26 sales, not +560bps (that was Q2-only).</t>
        </is>
      </c>
      <c r="C6" s="21" t="inlineStr">
        <is>
          <t>Q2 FY2026 release: $134.5M IEEPA tariff refunds</t>
        </is>
      </c>
      <c r="D6" s="22" t="inlineStr">
        <is>
          <t>Ctrl+F "134.5 million" → IEEPA tariff refunds reduced COGS. Add this dollar amount to FY26 EBIT only. Full-year boost = 134.5 / FY26 sales ≈ 1.3ppt, not 5.6ppt.</t>
        </is>
      </c>
      <c r="E6" s="31" t="n">
        <v>0</v>
      </c>
      <c r="F6" s="31" t="n">
        <v>0</v>
      </c>
      <c r="G6" s="31" t="n">
        <v>0</v>
      </c>
      <c r="H6" s="31" t="n">
        <v>0</v>
      </c>
      <c r="I6" s="26">
        <f>-'Assumptions'!I7</f>
        <v/>
      </c>
      <c r="J6" s="26">
        <f>-'Assumptions'!J7</f>
        <v/>
      </c>
      <c r="K6" s="26">
        <f>-'Assumptions'!K7</f>
        <v/>
      </c>
      <c r="L6" s="26">
        <f>-'Assumptions'!L7</f>
        <v/>
      </c>
      <c r="M6" s="26">
        <f>-'Assumptions'!M7</f>
        <v/>
      </c>
    </row>
    <row r="7">
      <c r="A7" s="32" t="inlineStr">
        <is>
          <t>Gross profit</t>
        </is>
      </c>
      <c r="E7" s="33">
        <f>E4-E5-E6</f>
        <v/>
      </c>
      <c r="F7" s="33">
        <f>F4-F5-F6</f>
        <v/>
      </c>
      <c r="G7" s="33">
        <f>G4-G5-G6</f>
        <v/>
      </c>
      <c r="H7" s="33">
        <f>H4-H5-H6</f>
        <v/>
      </c>
      <c r="I7" s="33">
        <f>I4-I5-I6</f>
        <v/>
      </c>
      <c r="J7" s="33">
        <f>J4-J5-J6</f>
        <v/>
      </c>
      <c r="K7" s="33">
        <f>K4-K5-K6</f>
        <v/>
      </c>
      <c r="L7" s="33">
        <f>L4-L5-L6</f>
        <v/>
      </c>
      <c r="M7" s="33">
        <f>M4-M5-M6</f>
        <v/>
      </c>
    </row>
    <row r="8" ht="36" customHeight="1">
      <c r="A8" s="19" t="inlineStr">
        <is>
          <t>Selling, general &amp; administrative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31" t="n">
        <v>2757447</v>
      </c>
      <c r="F8" s="31" t="n">
        <v>3397218</v>
      </c>
      <c r="G8" s="31" t="n">
        <v>3762379</v>
      </c>
      <c r="H8" s="31" t="n">
        <v>4066556</v>
      </c>
      <c r="I8" s="26">
        <f>I4*'Assumptions'!I8</f>
        <v/>
      </c>
      <c r="J8" s="26">
        <f>J4*'Assumptions'!J8</f>
        <v/>
      </c>
      <c r="K8" s="26">
        <f>K4*'Assumptions'!K8</f>
        <v/>
      </c>
      <c r="L8" s="26">
        <f>L4*'Assumptions'!L8</f>
        <v/>
      </c>
      <c r="M8" s="26">
        <f>M4*'Assumptions'!M8</f>
        <v/>
      </c>
    </row>
    <row r="9" ht="36" customHeight="1">
      <c r="A9" s="19" t="inlineStr">
        <is>
          <t>Amortization of intangibles / other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31" t="n">
        <v>406485</v>
      </c>
      <c r="F9" s="31" t="n">
        <v>79511</v>
      </c>
      <c r="G9" s="31" t="n">
        <v>2735</v>
      </c>
      <c r="H9" s="31" t="n">
        <v>6961</v>
      </c>
      <c r="I9" s="26">
        <f>'Assumptions'!I9</f>
        <v/>
      </c>
      <c r="J9" s="26">
        <f>'Assumptions'!J9</f>
        <v/>
      </c>
      <c r="K9" s="26">
        <f>'Assumptions'!K9</f>
        <v/>
      </c>
      <c r="L9" s="26">
        <f>'Assumptions'!L9</f>
        <v/>
      </c>
      <c r="M9" s="26">
        <f>'Assumptions'!M9</f>
        <v/>
      </c>
    </row>
    <row r="10">
      <c r="A10" s="32" t="inlineStr">
        <is>
          <t>Operating income (EBIT)</t>
        </is>
      </c>
      <c r="E10" s="33">
        <f>E7-E8-E9</f>
        <v/>
      </c>
      <c r="F10" s="33">
        <f>F7-F8-F9</f>
        <v/>
      </c>
      <c r="G10" s="33">
        <f>G7-G8-G9</f>
        <v/>
      </c>
      <c r="H10" s="33">
        <f>H7-H8-H9</f>
        <v/>
      </c>
      <c r="I10" s="33">
        <f>I7-I8-I9</f>
        <v/>
      </c>
      <c r="J10" s="33">
        <f>J7-J8-J9</f>
        <v/>
      </c>
      <c r="K10" s="33">
        <f>K7-K8-K9</f>
        <v/>
      </c>
      <c r="L10" s="33">
        <f>L7-L8-L9</f>
        <v/>
      </c>
      <c r="M10" s="33">
        <f>M7-M8-M9</f>
        <v/>
      </c>
    </row>
    <row r="11" ht="36" customHeight="1">
      <c r="A11" s="19" t="inlineStr">
        <is>
          <t>Other income, net</t>
        </is>
      </c>
      <c r="B11" s="20" t="inlineStr">
        <is>
          <t>FY26 $45M other income annualizes YTD $22,829; then steps down as cash is deployed (FY25 was only $28,352).</t>
        </is>
      </c>
      <c r="C11" s="21" t="inlineStr">
        <is>
          <t>Q2 FY2026 YTD other income (earnings)</t>
        </is>
      </c>
      <c r="D11" s="22" t="inlineStr">
        <is>
          <t>Ctrl+F "22,829" → YTD other income ($000) on the earnings P&amp;L. FY26 model $45,000 annualizes that run-rate.</t>
        </is>
      </c>
      <c r="E11" s="31" t="n">
        <v>4163</v>
      </c>
      <c r="F11" s="31" t="n">
        <v>43059</v>
      </c>
      <c r="G11" s="31" t="n">
        <v>70380</v>
      </c>
      <c r="H11" s="31" t="n">
        <v>28352</v>
      </c>
      <c r="I11" s="26">
        <f>'Assumptions'!I10</f>
        <v/>
      </c>
      <c r="J11" s="26">
        <f>'Assumptions'!J10</f>
        <v/>
      </c>
      <c r="K11" s="26">
        <f>'Assumptions'!K10</f>
        <v/>
      </c>
      <c r="L11" s="26">
        <f>'Assumptions'!L10</f>
        <v/>
      </c>
      <c r="M11" s="26">
        <f>'Assumptions'!M10</f>
        <v/>
      </c>
    </row>
    <row r="12">
      <c r="A12" s="32" t="inlineStr">
        <is>
          <t>Pre-tax income</t>
        </is>
      </c>
      <c r="E12" s="33">
        <f>E10+E11</f>
        <v/>
      </c>
      <c r="F12" s="33">
        <f>F10+F11</f>
        <v/>
      </c>
      <c r="G12" s="33">
        <f>G10+G11</f>
        <v/>
      </c>
      <c r="H12" s="33">
        <f>H10+H11</f>
        <v/>
      </c>
      <c r="I12" s="33">
        <f>I10+I11</f>
        <v/>
      </c>
      <c r="J12" s="33">
        <f>J10+J11</f>
        <v/>
      </c>
      <c r="K12" s="33">
        <f>K10+K11</f>
        <v/>
      </c>
      <c r="L12" s="33">
        <f>L10+L11</f>
        <v/>
      </c>
      <c r="M12" s="33">
        <f>M10+M11</f>
        <v/>
      </c>
    </row>
    <row r="13" ht="36" customHeight="1">
      <c r="A13" s="19" t="inlineStr">
        <is>
          <t>Income tax expense</t>
        </is>
      </c>
      <c r="B13" s="20" t="inlineStr">
        <is>
          <t>30% effective tax rate on projections; conservative vs recent ~29% effective, allows for jurisdictional mix.</t>
        </is>
      </c>
      <c r="C13" s="21" t="inlineStr">
        <is>
          <t>LULU Q2 FY2026 outlook (≈30% tax)</t>
        </is>
      </c>
      <c r="D13" s="22" t="inlineStr">
        <is>
          <t>Ctrl+F "a tax rate of approximately 30%" on the earnings outlook; FY25 10-K 29.5%. 3-statement model 30%</t>
        </is>
      </c>
      <c r="E13" s="31" t="n">
        <v>477771</v>
      </c>
      <c r="F13" s="31" t="n">
        <v>625545</v>
      </c>
      <c r="G13" s="31" t="n">
        <v>761461</v>
      </c>
      <c r="H13" s="31" t="n">
        <v>659784</v>
      </c>
      <c r="I13" s="26">
        <f>I12*'Assumptions'!I11</f>
        <v/>
      </c>
      <c r="J13" s="26">
        <f>J12*'Assumptions'!J11</f>
        <v/>
      </c>
      <c r="K13" s="26">
        <f>K12*'Assumptions'!K11</f>
        <v/>
      </c>
      <c r="L13" s="26">
        <f>L12*'Assumptions'!L11</f>
        <v/>
      </c>
      <c r="M13" s="26">
        <f>M12*'Assumptions'!M11</f>
        <v/>
      </c>
    </row>
    <row r="14">
      <c r="A14" s="32" t="inlineStr">
        <is>
          <t>Net income</t>
        </is>
      </c>
      <c r="E14" s="34">
        <f>E12-E13</f>
        <v/>
      </c>
      <c r="F14" s="34">
        <f>F12-F13</f>
        <v/>
      </c>
      <c r="G14" s="34">
        <f>G12-G13</f>
        <v/>
      </c>
      <c r="H14" s="34">
        <f>H12-H13</f>
        <v/>
      </c>
      <c r="I14" s="34">
        <f>I12-I13</f>
        <v/>
      </c>
      <c r="J14" s="34">
        <f>J12-J13</f>
        <v/>
      </c>
      <c r="K14" s="34">
        <f>K12-K13</f>
        <v/>
      </c>
      <c r="L14" s="34">
        <f>L12-L13</f>
        <v/>
      </c>
      <c r="M14" s="34">
        <f>M12-M13</f>
        <v/>
      </c>
    </row>
    <row r="16" ht="54" customHeight="1">
      <c r="A16" s="19" t="inlineStr">
        <is>
          <t>Diluted weighted-avg shares (000)</t>
        </is>
      </c>
      <c r="B16" s="22" t="inlineStr">
        <is>
          <t>$500M annual repurchases; continued capital return at moderated pace vs FY24–25 peak buyback levels.
Also: FY26 repurchase price $100 matches the current quote; path $100→$130 is a recovery assumption (FY25 10-K paid $168–$199).</t>
        </is>
      </c>
      <c r="C16" s="35" t="inlineStr">
        <is>
          <t>LULU CF: share repurchases (10-K)
Also: NASDAQ LULU last sale (current price)</t>
        </is>
      </c>
      <c r="D16" s="22" t="inlineStr">
        <is>
          <t>Ctrl+F "Repurchase of common stock" → ( 1,178,349 ) ($000) FY25; model (500,000)/yr
Also: Ctrl+F "LULU" → Last Sale / Previous Close (~$100). FY26 model repurchase price starts at $100.</t>
        </is>
      </c>
      <c r="E16" s="31" t="n">
        <v>128017</v>
      </c>
      <c r="F16" s="31" t="n">
        <v>127060</v>
      </c>
      <c r="G16" s="31" t="n">
        <v>123935</v>
      </c>
      <c r="H16" s="31" t="n">
        <v>119068</v>
      </c>
      <c r="I16" s="26">
        <f>H16-'Assumptions'!I28/'Assumptions'!I29</f>
        <v/>
      </c>
      <c r="J16" s="26">
        <f>I16-'Assumptions'!J28/'Assumptions'!J29</f>
        <v/>
      </c>
      <c r="K16" s="26">
        <f>J16-'Assumptions'!K28/'Assumptions'!K29</f>
        <v/>
      </c>
      <c r="L16" s="26">
        <f>K16-'Assumptions'!L28/'Assumptions'!L29</f>
        <v/>
      </c>
      <c r="M16" s="26">
        <f>L16-'Assumptions'!M28/'Assumptions'!M29</f>
        <v/>
      </c>
    </row>
    <row r="17">
      <c r="A17" s="32" t="inlineStr">
        <is>
          <t>Diluted EPS ($)</t>
        </is>
      </c>
      <c r="E17" s="36" t="n">
        <v>6.68</v>
      </c>
      <c r="F17" s="36" t="n">
        <v>12.2</v>
      </c>
      <c r="G17" s="36" t="n">
        <v>14.64</v>
      </c>
      <c r="H17" s="36" t="n">
        <v>13.26</v>
      </c>
      <c r="I17" s="37">
        <f>I14/I16</f>
        <v/>
      </c>
      <c r="J17" s="37">
        <f>J14/J16</f>
        <v/>
      </c>
      <c r="K17" s="37">
        <f>K14/K16</f>
        <v/>
      </c>
      <c r="L17" s="37">
        <f>L14/L16</f>
        <v/>
      </c>
      <c r="M17" s="37">
        <f>M14/M16</f>
        <v/>
      </c>
    </row>
    <row r="19">
      <c r="A19" s="38" t="inlineStr">
        <is>
          <t>Margins &amp; growth</t>
        </is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</row>
    <row r="20">
      <c r="A20" s="39" t="inlineStr">
        <is>
          <t>Gross margin %</t>
        </is>
      </c>
      <c r="E20" s="40">
        <f>E7/E4</f>
        <v/>
      </c>
      <c r="F20" s="40">
        <f>F7/F4</f>
        <v/>
      </c>
      <c r="G20" s="40">
        <f>G7/G4</f>
        <v/>
      </c>
      <c r="H20" s="40">
        <f>H7/H4</f>
        <v/>
      </c>
      <c r="I20" s="40">
        <f>I7/I4</f>
        <v/>
      </c>
      <c r="J20" s="40">
        <f>J7/J4</f>
        <v/>
      </c>
      <c r="K20" s="40">
        <f>K7/K4</f>
        <v/>
      </c>
      <c r="L20" s="40">
        <f>L7/L4</f>
        <v/>
      </c>
      <c r="M20" s="40">
        <f>M7/M4</f>
        <v/>
      </c>
    </row>
    <row r="21">
      <c r="A21" s="39" t="inlineStr">
        <is>
          <t>Clean operating margin % (ex-refunds)</t>
        </is>
      </c>
      <c r="E21" s="40">
        <f>(E10+E6)/E4</f>
        <v/>
      </c>
      <c r="F21" s="40">
        <f>(F10+F6)/F4</f>
        <v/>
      </c>
      <c r="G21" s="40">
        <f>(G10+G6)/G4</f>
        <v/>
      </c>
      <c r="H21" s="40">
        <f>(H10+H6)/H4</f>
        <v/>
      </c>
      <c r="I21" s="40">
        <f>(I10+I6)/I4</f>
        <v/>
      </c>
      <c r="J21" s="40">
        <f>(J10+J6)/J4</f>
        <v/>
      </c>
      <c r="K21" s="40">
        <f>(K10+K6)/K4</f>
        <v/>
      </c>
      <c r="L21" s="40">
        <f>(L10+L6)/L4</f>
        <v/>
      </c>
      <c r="M21" s="40">
        <f>(M10+M6)/M4</f>
        <v/>
      </c>
    </row>
    <row r="22">
      <c r="A22" s="39" t="inlineStr">
        <is>
          <t>Operating margin % (reported, incl. FY26 refund)</t>
        </is>
      </c>
      <c r="E22" s="40">
        <f>E10/E4</f>
        <v/>
      </c>
      <c r="F22" s="40">
        <f>F10/F4</f>
        <v/>
      </c>
      <c r="G22" s="40">
        <f>G10/G4</f>
        <v/>
      </c>
      <c r="H22" s="40">
        <f>H10/H4</f>
        <v/>
      </c>
      <c r="I22" s="40">
        <f>I10/I4</f>
        <v/>
      </c>
      <c r="J22" s="40">
        <f>J10/J4</f>
        <v/>
      </c>
      <c r="K22" s="40">
        <f>K10/K4</f>
        <v/>
      </c>
      <c r="L22" s="40">
        <f>L10/L4</f>
        <v/>
      </c>
      <c r="M22" s="40">
        <f>M10/M4</f>
        <v/>
      </c>
    </row>
    <row r="23">
      <c r="A23" s="39" t="inlineStr">
        <is>
          <t>Net margin %</t>
        </is>
      </c>
      <c r="E23" s="40">
        <f>E14/E4</f>
        <v/>
      </c>
      <c r="F23" s="40">
        <f>F14/F4</f>
        <v/>
      </c>
      <c r="G23" s="40">
        <f>G14/G4</f>
        <v/>
      </c>
      <c r="H23" s="40">
        <f>H14/H4</f>
        <v/>
      </c>
      <c r="I23" s="40">
        <f>I14/I4</f>
        <v/>
      </c>
      <c r="J23" s="40">
        <f>J14/J4</f>
        <v/>
      </c>
      <c r="K23" s="40">
        <f>K14/K4</f>
        <v/>
      </c>
      <c r="L23" s="40">
        <f>L14/L4</f>
        <v/>
      </c>
      <c r="M23" s="40">
        <f>M14/M4</f>
        <v/>
      </c>
    </row>
    <row r="24">
      <c r="A24" s="39" t="inlineStr">
        <is>
          <t>Revenue growth %</t>
        </is>
      </c>
      <c r="E24" s="41" t="inlineStr">
        <is>
          <t>n/a</t>
        </is>
      </c>
      <c r="F24" s="40">
        <f>F4/E4-1</f>
        <v/>
      </c>
      <c r="G24" s="40">
        <f>G4/F4-1</f>
        <v/>
      </c>
      <c r="H24" s="40">
        <f>H4/G4-1</f>
        <v/>
      </c>
      <c r="I24" s="40">
        <f>I4/H4-1</f>
        <v/>
      </c>
      <c r="J24" s="40">
        <f>J4/I4-1</f>
        <v/>
      </c>
      <c r="K24" s="40">
        <f>K4/J4-1</f>
        <v/>
      </c>
      <c r="L24" s="40">
        <f>L4/K4-1</f>
        <v/>
      </c>
      <c r="M24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6" r:id="rId15"/>
    <hyperlink xmlns:r="http://schemas.openxmlformats.org/officeDocument/2006/relationships" ref="E6" r:id="rId16"/>
    <hyperlink xmlns:r="http://schemas.openxmlformats.org/officeDocument/2006/relationships" ref="F6" r:id="rId17"/>
    <hyperlink xmlns:r="http://schemas.openxmlformats.org/officeDocument/2006/relationships" ref="G6" r:id="rId18"/>
    <hyperlink xmlns:r="http://schemas.openxmlformats.org/officeDocument/2006/relationships" ref="H6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9" r:id="rId25"/>
    <hyperlink xmlns:r="http://schemas.openxmlformats.org/officeDocument/2006/relationships" ref="E9" r:id="rId26"/>
    <hyperlink xmlns:r="http://schemas.openxmlformats.org/officeDocument/2006/relationships" ref="F9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C11" r:id="rId30"/>
    <hyperlink xmlns:r="http://schemas.openxmlformats.org/officeDocument/2006/relationships" ref="E11" r:id="rId31"/>
    <hyperlink xmlns:r="http://schemas.openxmlformats.org/officeDocument/2006/relationships" ref="F11" r:id="rId32"/>
    <hyperlink xmlns:r="http://schemas.openxmlformats.org/officeDocument/2006/relationships" ref="G11" r:id="rId33"/>
    <hyperlink xmlns:r="http://schemas.openxmlformats.org/officeDocument/2006/relationships" ref="H11" r:id="rId34"/>
    <hyperlink xmlns:r="http://schemas.openxmlformats.org/officeDocument/2006/relationships" ref="C13" r:id="rId35"/>
    <hyperlink xmlns:r="http://schemas.openxmlformats.org/officeDocument/2006/relationships" ref="E13" r:id="rId36"/>
    <hyperlink xmlns:r="http://schemas.openxmlformats.org/officeDocument/2006/relationships" ref="F13" r:id="rId37"/>
    <hyperlink xmlns:r="http://schemas.openxmlformats.org/officeDocument/2006/relationships" ref="G13" r:id="rId38"/>
    <hyperlink xmlns:r="http://schemas.openxmlformats.org/officeDocument/2006/relationships" ref="H13" r:id="rId39"/>
    <hyperlink xmlns:r="http://schemas.openxmlformats.org/officeDocument/2006/relationships" ref="C16" r:id="rId40"/>
    <hyperlink xmlns:r="http://schemas.openxmlformats.org/officeDocument/2006/relationships" ref="E16" r:id="rId41"/>
    <hyperlink xmlns:r="http://schemas.openxmlformats.org/officeDocument/2006/relationships" ref="F16" r:id="rId42"/>
    <hyperlink xmlns:r="http://schemas.openxmlformats.org/officeDocument/2006/relationships" ref="G16" r:id="rId43"/>
    <hyperlink xmlns:r="http://schemas.openxmlformats.org/officeDocument/2006/relationships" ref="H16" r:id="rId44"/>
    <hyperlink xmlns:r="http://schemas.openxmlformats.org/officeDocument/2006/relationships" ref="E17" r:id="rId45"/>
    <hyperlink xmlns:r="http://schemas.openxmlformats.org/officeDocument/2006/relationships" ref="F17" r:id="rId46"/>
    <hyperlink xmlns:r="http://schemas.openxmlformats.org/officeDocument/2006/relationships" ref="G17" r:id="rId47"/>
    <hyperlink xmlns:r="http://schemas.openxmlformats.org/officeDocument/2006/relationships" ref="H17" r:id="rId4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1" t="n">
        <v>1154867</v>
      </c>
      <c r="F6" s="31" t="n">
        <v>2243971</v>
      </c>
      <c r="G6" s="31" t="n">
        <v>1984336</v>
      </c>
      <c r="H6" s="31" t="n">
        <v>1807202</v>
      </c>
      <c r="I6" s="25">
        <f>'Cash Flow'!I33</f>
        <v/>
      </c>
      <c r="J6" s="25">
        <f>'Cash Flow'!J33</f>
        <v/>
      </c>
      <c r="K6" s="25">
        <f>'Cash Flow'!K33</f>
        <v/>
      </c>
      <c r="L6" s="25">
        <f>'Cash Flow'!L33</f>
        <v/>
      </c>
      <c r="M6" s="25">
        <f>'Cash Flow'!M33</f>
        <v/>
      </c>
    </row>
    <row r="7" ht="36" customHeight="1">
      <c r="A7" s="19" t="inlineStr">
        <is>
          <t>Inventories</t>
        </is>
      </c>
      <c r="B7" s="20" t="inlineStr">
        <is>
          <t>Inventory 33–34% of COGS; slight normalization from FY25 build as Americas demand softens and clears.</t>
        </is>
      </c>
      <c r="C7" s="21" t="inlineStr">
        <is>
          <t>LULU balance sheet (10-K)</t>
        </is>
      </c>
      <c r="D7" s="22" t="inlineStr">
        <is>
          <t>Ctrl+F "Inventories" → 1,700,753 ÷ "Cost of goods sold" 4,818,468 = 35.3%</t>
        </is>
      </c>
      <c r="E7" s="31" t="n">
        <v>1447367</v>
      </c>
      <c r="F7" s="31" t="n">
        <v>1323602</v>
      </c>
      <c r="G7" s="31" t="n">
        <v>1442081</v>
      </c>
      <c r="H7" s="31" t="n">
        <v>1700753</v>
      </c>
      <c r="I7" s="26">
        <f>'Income Statement'!I5*'Assumptions'!I17</f>
        <v/>
      </c>
      <c r="J7" s="26">
        <f>'Income Statement'!J5*'Assumptions'!J17</f>
        <v/>
      </c>
      <c r="K7" s="26">
        <f>'Income Statement'!K5*'Assumptions'!K17</f>
        <v/>
      </c>
      <c r="L7" s="26">
        <f>'Income Statement'!L5*'Assumptions'!L17</f>
        <v/>
      </c>
      <c r="M7" s="26">
        <f>'Income Statement'!M5*'Assumptions'!M17</f>
        <v/>
      </c>
    </row>
    <row r="8" ht="36" customHeight="1">
      <c r="A8" s="19" t="inlineStr">
        <is>
          <t>Other current assets</t>
        </is>
      </c>
      <c r="B8" s="20" t="inlineStr">
        <is>
          <t>OCA 6.8% = FY25 current assets 4,262,701 − cash 1,807,202 − inventories 1,700,753, as % of revenue (not the prepaid line alone).</t>
        </is>
      </c>
      <c r="C8" s="21" t="inlineStr">
        <is>
          <t>LULU balance sheet (10-K)</t>
        </is>
      </c>
      <c r="D8" s="22" t="inlineStr">
        <is>
          <t>Ctrl+F "Total current assets" → 4,262,701 minus "Cash and cash equivalents" 1,807,202 minus "Inventories" 1,700,753 = 754,746 (6.8% of revenue)</t>
        </is>
      </c>
      <c r="E8" s="25" t="n">
        <v>557219</v>
      </c>
      <c r="F8" s="25" t="n">
        <v>493004</v>
      </c>
      <c r="G8" s="25" t="n">
        <v>553885</v>
      </c>
      <c r="H8" s="25" t="n">
        <v>754746</v>
      </c>
      <c r="I8" s="26">
        <f>'Income Statement'!I4*'Assumptions'!I20</f>
        <v/>
      </c>
      <c r="J8" s="26">
        <f>'Income Statement'!J4*'Assumptions'!J20</f>
        <v/>
      </c>
      <c r="K8" s="26">
        <f>'Income Statement'!K4*'Assumptions'!K20</f>
        <v/>
      </c>
      <c r="L8" s="26">
        <f>'Income Statement'!L4*'Assumptions'!L20</f>
        <v/>
      </c>
      <c r="M8" s="26">
        <f>'Income Statement'!M4*'Assumptions'!M20</f>
        <v/>
      </c>
    </row>
    <row r="9">
      <c r="A9" s="32" t="inlineStr">
        <is>
          <t>Total current assets</t>
        </is>
      </c>
      <c r="E9" s="43" t="n">
        <v>3159453</v>
      </c>
      <c r="F9" s="43" t="n">
        <v>4060577</v>
      </c>
      <c r="G9" s="43" t="n">
        <v>3980302</v>
      </c>
      <c r="H9" s="43" t="n">
        <v>4262701</v>
      </c>
      <c r="I9" s="33">
        <f>I6+I7+I8</f>
        <v/>
      </c>
      <c r="J9" s="33">
        <f>J6+J7+J8</f>
        <v/>
      </c>
      <c r="K9" s="33">
        <f>K6+K7+K8</f>
        <v/>
      </c>
      <c r="L9" s="33">
        <f>L6+L7+L8</f>
        <v/>
      </c>
      <c r="M9" s="33">
        <f>M6+M7+M8</f>
        <v/>
      </c>
    </row>
    <row r="10">
      <c r="A10" s="42" t="inlineStr">
        <is>
          <t>Non-current assets:</t>
        </is>
      </c>
    </row>
    <row r="11" ht="36" customHeight="1">
      <c r="A11" s="19" t="inlineStr">
        <is>
          <t>Property &amp; equipment, net</t>
        </is>
      </c>
      <c r="B11" s="20" t="inlineStr">
        <is>
          <t>FY26 7.0% is up vs FY25 6.1% ($735M vs $681M). Then 6.0 / 5.5 / 5.0 / 5.0 returns toward the FY25 run-rate and the 4.5% D&amp;A floor.</t>
        </is>
      </c>
      <c r="C11" s="21" t="inlineStr">
        <is>
          <t>LULU CF statement (10-K)</t>
        </is>
      </c>
      <c r="D11" s="22" t="inlineStr">
        <is>
          <t>Ctrl+F "680,802" → FY25 $680.8M / 6.1% of sales. Ctrl+F "$725.0 million and $745.0 million" → FY26 mid $735M / 7.0%. FY26 is up vs FY25, not down. Path 7.0 / 6.0 / 5.5 / 5.0 / 5.0: FY27 6.0% returns to the FY25 6.1% run-rate, then fades toward D&amp;A 4.5% (Ctrl+F "496,228").</t>
        </is>
      </c>
      <c r="E11" s="31" t="n">
        <v>1269614</v>
      </c>
      <c r="F11" s="31" t="n">
        <v>1545811</v>
      </c>
      <c r="G11" s="31" t="n">
        <v>1780617</v>
      </c>
      <c r="H11" s="31" t="n">
        <v>2033720</v>
      </c>
      <c r="I11" s="26">
        <f>H11+'Income Statement'!I4*'Assumptions'!I14-'Income Statement'!I4*'Assumptions'!I13</f>
        <v/>
      </c>
      <c r="J11" s="26">
        <f>I11+'Income Statement'!J4*'Assumptions'!J14-'Income Statement'!J4*'Assumptions'!J13</f>
        <v/>
      </c>
      <c r="K11" s="26">
        <f>J11+'Income Statement'!K4*'Assumptions'!K14-'Income Statement'!K4*'Assumptions'!K13</f>
        <v/>
      </c>
      <c r="L11" s="26">
        <f>K11+'Income Statement'!L4*'Assumptions'!L14-'Income Statement'!L4*'Assumptions'!L13</f>
        <v/>
      </c>
      <c r="M11" s="26">
        <f>L11+'Income Statement'!M4*'Assumptions'!M14-'Income Statement'!M4*'Assumptions'!M13</f>
        <v/>
      </c>
    </row>
    <row r="12" ht="36" customHeight="1">
      <c r="A12" s="19" t="inlineStr">
        <is>
          <t>Operating lease right-of-use assets</t>
        </is>
      </c>
      <c r="B12" s="20" t="inlineStr">
        <is>
          <t>ROU assets 14.7% of revenue; lease-intensive store model, stable vs FY25 operating lease footprint.</t>
        </is>
      </c>
      <c r="C12" s="21" t="inlineStr">
        <is>
          <t>LULU lease disclosures (10-K)</t>
        </is>
      </c>
      <c r="D12" s="22" t="inlineStr">
        <is>
          <t>Ctrl+F "Right-of-use lease assets" → 1,630,181 ÷ "Net revenue" 11,102,600 = 14.7%</t>
        </is>
      </c>
      <c r="E12" s="31" t="n">
        <v>969419</v>
      </c>
      <c r="F12" s="31" t="n">
        <v>1265610</v>
      </c>
      <c r="G12" s="31" t="n">
        <v>1416256</v>
      </c>
      <c r="H12" s="31" t="n">
        <v>1630181</v>
      </c>
      <c r="I12" s="26">
        <f>'Income Statement'!I4*'Assumptions'!I21</f>
        <v/>
      </c>
      <c r="J12" s="26">
        <f>'Income Statement'!J4*'Assumptions'!J21</f>
        <v/>
      </c>
      <c r="K12" s="26">
        <f>'Income Statement'!K4*'Assumptions'!K21</f>
        <v/>
      </c>
      <c r="L12" s="26">
        <f>'Income Statement'!L4*'Assumptions'!L21</f>
        <v/>
      </c>
      <c r="M12" s="26">
        <f>'Income Statement'!M4*'Assumptions'!M21</f>
        <v/>
      </c>
    </row>
    <row r="13">
      <c r="A13" s="19" t="inlineStr">
        <is>
          <t>Goodwill &amp; intangible assets</t>
        </is>
      </c>
      <c r="E13" s="31" t="n">
        <v>46105</v>
      </c>
      <c r="F13" s="31" t="n">
        <v>24083</v>
      </c>
      <c r="G13" s="31" t="n">
        <v>171191</v>
      </c>
      <c r="H13" s="31" t="n">
        <v>191194</v>
      </c>
      <c r="I13" s="25">
        <f>H13</f>
        <v/>
      </c>
      <c r="J13" s="25">
        <f>I13</f>
        <v/>
      </c>
      <c r="K13" s="25">
        <f>J13</f>
        <v/>
      </c>
      <c r="L13" s="25">
        <f>K13</f>
        <v/>
      </c>
      <c r="M13" s="25">
        <f>L13</f>
        <v/>
      </c>
    </row>
    <row r="14" ht="36" customHeight="1">
      <c r="A14" s="19" t="inlineStr">
        <is>
          <t>Other non-current assets</t>
        </is>
      </c>
      <c r="B14" s="20" t="inlineStr">
        <is>
          <t>ONCA 3.0% = FY25 total assets − CA − PPE − ROU − GW (338,947); matches earnings 'deferred taxes and other NC assets'.</t>
        </is>
      </c>
      <c r="C14" s="21" t="inlineStr">
        <is>
          <t>LULU balance sheet (10-K)</t>
        </is>
      </c>
      <c r="D14" s="22" t="inlineStr">
        <is>
          <t>Ctrl+F "Total assets" 8,456,743 − current assets − "Property and equipment, net" − "Right-of-use lease assets" − goodwill/intangibles = 338,947 (3.0%)</t>
        </is>
      </c>
      <c r="E14" s="25" t="n">
        <v>162447</v>
      </c>
      <c r="F14" s="25" t="n">
        <v>195860</v>
      </c>
      <c r="G14" s="25" t="n">
        <v>254926</v>
      </c>
      <c r="H14" s="25" t="n">
        <v>338947</v>
      </c>
      <c r="I14" s="26">
        <f>'Income Statement'!I4*'Assumptions'!I22</f>
        <v/>
      </c>
      <c r="J14" s="26">
        <f>'Income Statement'!J4*'Assumptions'!J22</f>
        <v/>
      </c>
      <c r="K14" s="26">
        <f>'Income Statement'!K4*'Assumptions'!K22</f>
        <v/>
      </c>
      <c r="L14" s="26">
        <f>'Income Statement'!L4*'Assumptions'!L22</f>
        <v/>
      </c>
      <c r="M14" s="26">
        <f>'Income Statement'!M4*'Assumptions'!M22</f>
        <v/>
      </c>
    </row>
    <row r="15">
      <c r="A15" s="32" t="inlineStr">
        <is>
          <t>TOTAL ASSETS</t>
        </is>
      </c>
      <c r="E15" s="44" t="n">
        <v>5607038</v>
      </c>
      <c r="F15" s="44" t="n">
        <v>7091941</v>
      </c>
      <c r="G15" s="44" t="n">
        <v>7603292</v>
      </c>
      <c r="H15" s="44" t="n">
        <v>8456743</v>
      </c>
      <c r="I15" s="34">
        <f>I9+I11+I12+I13+I14</f>
        <v/>
      </c>
      <c r="J15" s="34">
        <f>J9+J11+J12+J13+J14</f>
        <v/>
      </c>
      <c r="K15" s="34">
        <f>K9+K11+K12+K13+K14</f>
        <v/>
      </c>
      <c r="L15" s="34">
        <f>L9+L11+L12+L13+L14</f>
        <v/>
      </c>
      <c r="M15" s="34">
        <f>M9+M11+M12+M13+M14</f>
        <v/>
      </c>
    </row>
    <row r="17">
      <c r="A17" s="17" t="inlineStr">
        <is>
          <t>LIABILITIES &amp; EQUITY</t>
        </is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</row>
    <row r="18">
      <c r="A18" s="42" t="inlineStr">
        <is>
          <t>Current liabilities:</t>
        </is>
      </c>
    </row>
    <row r="19" ht="36" customHeight="1">
      <c r="A19" s="19" t="inlineStr">
        <is>
          <t>Accounts payable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Ctrl+F "Accounts payable" → 331,421 ÷ "Cost of goods sold" 4,818,468 = 6.9%</t>
        </is>
      </c>
      <c r="E19" s="31" t="n">
        <v>172732</v>
      </c>
      <c r="F19" s="31" t="n">
        <v>348441</v>
      </c>
      <c r="G19" s="31" t="n">
        <v>271406</v>
      </c>
      <c r="H19" s="31" t="n">
        <v>331421</v>
      </c>
      <c r="I19" s="26">
        <f>'Income Statement'!I5*'Assumptions'!I18</f>
        <v/>
      </c>
      <c r="J19" s="26">
        <f>'Income Statement'!J5*'Assumptions'!J18</f>
        <v/>
      </c>
      <c r="K19" s="26">
        <f>'Income Statement'!K5*'Assumptions'!K18</f>
        <v/>
      </c>
      <c r="L19" s="26">
        <f>'Income Statement'!L5*'Assumptions'!L18</f>
        <v/>
      </c>
      <c r="M19" s="26">
        <f>'Income Statement'!M5*'Assumptions'!M18</f>
        <v/>
      </c>
    </row>
    <row r="20" ht="36" customHeight="1">
      <c r="A20" s="19" t="inlineStr">
        <is>
          <t>Accrued liabilities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Ctrl+F "Accrued liabilities and other" → 662,982 ÷ "Net revenue" 11,102,600 = 6.0%</t>
        </is>
      </c>
      <c r="E20" s="31" t="n">
        <v>399223</v>
      </c>
      <c r="F20" s="31" t="n">
        <v>348555</v>
      </c>
      <c r="G20" s="31" t="n">
        <v>559463</v>
      </c>
      <c r="H20" s="31" t="n">
        <v>662982</v>
      </c>
      <c r="I20" s="26">
        <f>'Income Statement'!I4*'Assumptions'!I19</f>
        <v/>
      </c>
      <c r="J20" s="26">
        <f>'Income Statement'!J4*'Assumptions'!J19</f>
        <v/>
      </c>
      <c r="K20" s="26">
        <f>'Income Statement'!K4*'Assumptions'!K19</f>
        <v/>
      </c>
      <c r="L20" s="26">
        <f>'Income Statement'!L4*'Assumptions'!L19</f>
        <v/>
      </c>
      <c r="M20" s="26">
        <f>'Income Statement'!M4*'Assumptions'!M19</f>
        <v/>
      </c>
    </row>
    <row r="21" ht="36" customHeight="1">
      <c r="A21" s="19" t="inlineStr">
        <is>
          <t>Operating lease liabilities (current)</t>
        </is>
      </c>
      <c r="B21" s="20" t="inlineStr">
        <is>
          <t>Current lease liabilities 2.7% of revenue; short-term portion of operating lease obligations.</t>
        </is>
      </c>
      <c r="C21" s="21" t="inlineStr">
        <is>
          <t>LULU lease disclosures (10-K)</t>
        </is>
      </c>
      <c r="D21" s="22" t="inlineStr">
        <is>
          <t>Ctrl+F "Current lease liabilities" → 298,724 ÷ "Net revenue" 11,102,600 = 2.7%</t>
        </is>
      </c>
      <c r="E21" s="31" t="n">
        <v>207972</v>
      </c>
      <c r="F21" s="31" t="n">
        <v>249270</v>
      </c>
      <c r="G21" s="31" t="n">
        <v>275154</v>
      </c>
      <c r="H21" s="31" t="n">
        <v>298724</v>
      </c>
      <c r="I21" s="26">
        <f>'Income Statement'!I4*'Assumptions'!I23</f>
        <v/>
      </c>
      <c r="J21" s="26">
        <f>'Income Statement'!J4*'Assumptions'!J23</f>
        <v/>
      </c>
      <c r="K21" s="26">
        <f>'Income Statement'!K4*'Assumptions'!K23</f>
        <v/>
      </c>
      <c r="L21" s="26">
        <f>'Income Statement'!L4*'Assumptions'!L23</f>
        <v/>
      </c>
      <c r="M21" s="26">
        <f>'Income Statement'!M4*'Assumptions'!M23</f>
        <v/>
      </c>
    </row>
    <row r="22" ht="36" customHeight="1">
      <c r="A22" s="19" t="inlineStr">
        <is>
          <t>Other current liabilities</t>
        </is>
      </c>
      <c r="B22" s="20" t="inlineStr">
        <is>
          <t>OCL 5.5% = FY25 current liabilities minus AP, accrued, and current leases (residual ~594k); not the 45,954 'other' line alone.</t>
        </is>
      </c>
      <c r="C22" s="21" t="inlineStr">
        <is>
          <t>LULU balance sheet (10-K)</t>
        </is>
      </c>
      <c r="D22" s="22" t="inlineStr">
        <is>
          <t>Ctrl+F "Total current liabilities" 1,887,548 − "Accounts payable" 331,421 − "Accrued liabilities and other" 662,982 − "Current lease liabilities" 298,724 ≈ 594,421 (5.4%)</t>
        </is>
      </c>
      <c r="E22" s="25" t="n">
        <v>712271</v>
      </c>
      <c r="F22" s="25" t="n">
        <v>684995</v>
      </c>
      <c r="G22" s="25" t="n">
        <v>733607</v>
      </c>
      <c r="H22" s="25" t="n">
        <v>594421</v>
      </c>
      <c r="I22" s="26">
        <f>'Income Statement'!I4*'Assumptions'!I25</f>
        <v/>
      </c>
      <c r="J22" s="26">
        <f>'Income Statement'!J4*'Assumptions'!J25</f>
        <v/>
      </c>
      <c r="K22" s="26">
        <f>'Income Statement'!K4*'Assumptions'!K25</f>
        <v/>
      </c>
      <c r="L22" s="26">
        <f>'Income Statement'!L4*'Assumptions'!L25</f>
        <v/>
      </c>
      <c r="M22" s="26">
        <f>'Income Statement'!M4*'Assumptions'!M25</f>
        <v/>
      </c>
    </row>
    <row r="23">
      <c r="A23" s="32" t="inlineStr">
        <is>
          <t>Total current liabilities</t>
        </is>
      </c>
      <c r="E23" s="43" t="n">
        <v>1492198</v>
      </c>
      <c r="F23" s="43" t="n">
        <v>1631261</v>
      </c>
      <c r="G23" s="43" t="n">
        <v>1839630</v>
      </c>
      <c r="H23" s="43" t="n">
        <v>1887548</v>
      </c>
      <c r="I23" s="33">
        <f>I19+I20+I21+I22</f>
        <v/>
      </c>
      <c r="J23" s="33">
        <f>J19+J20+J21+J22</f>
        <v/>
      </c>
      <c r="K23" s="33">
        <f>K19+K20+K21+K22</f>
        <v/>
      </c>
      <c r="L23" s="33">
        <f>L19+L20+L21+L22</f>
        <v/>
      </c>
      <c r="M23" s="33">
        <f>M19+M20+M21+M22</f>
        <v/>
      </c>
    </row>
    <row r="24">
      <c r="A24" s="42" t="inlineStr">
        <is>
          <t>Non-current liabilities:</t>
        </is>
      </c>
    </row>
    <row r="25" ht="36" customHeight="1">
      <c r="A25" s="19" t="inlineStr">
        <is>
          <t>Operating lease liabilities (non-current)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Ctrl+F "Non-current lease liabilities" → 1,499,717 ÷ "Net revenue" 11,102,600 = 13.5%</t>
        </is>
      </c>
      <c r="E25" s="31" t="n">
        <v>862362</v>
      </c>
      <c r="F25" s="31" t="n">
        <v>1154012</v>
      </c>
      <c r="G25" s="31" t="n">
        <v>1300637</v>
      </c>
      <c r="H25" s="31" t="n">
        <v>1499717</v>
      </c>
      <c r="I25" s="26">
        <f>'Income Statement'!I4*'Assumptions'!I24</f>
        <v/>
      </c>
      <c r="J25" s="26">
        <f>'Income Statement'!J4*'Assumptions'!J24</f>
        <v/>
      </c>
      <c r="K25" s="26">
        <f>'Income Statement'!K4*'Assumptions'!K24</f>
        <v/>
      </c>
      <c r="L25" s="26">
        <f>'Income Statement'!L4*'Assumptions'!L24</f>
        <v/>
      </c>
      <c r="M25" s="26">
        <f>'Income Statement'!M4*'Assumptions'!M24</f>
        <v/>
      </c>
    </row>
    <row r="26">
      <c r="A26" s="19" t="inlineStr">
        <is>
          <t>Deferred income taxes</t>
        </is>
      </c>
      <c r="E26" s="31" t="n">
        <v>55084</v>
      </c>
      <c r="F26" s="31" t="n">
        <v>29522</v>
      </c>
      <c r="G26" s="31" t="n">
        <v>98188</v>
      </c>
      <c r="H26" s="31" t="n">
        <v>52278</v>
      </c>
      <c r="I26" s="25">
        <f>H26</f>
        <v/>
      </c>
      <c r="J26" s="25">
        <f>I26</f>
        <v/>
      </c>
      <c r="K26" s="25">
        <f>J26</f>
        <v/>
      </c>
      <c r="L26" s="25">
        <f>K26</f>
        <v/>
      </c>
      <c r="M26" s="25">
        <f>L26</f>
        <v/>
      </c>
    </row>
    <row r="27" ht="36" customHeight="1">
      <c r="A27" s="19" t="inlineStr">
        <is>
          <t>Other non-current liabilities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Ctrl+F "Other non-current liabilities" → 55,360 ÷ "Net revenue" 11,102,600 = 0.5%</t>
        </is>
      </c>
      <c r="E27" s="25" t="n">
        <v>48595</v>
      </c>
      <c r="F27" s="25" t="n">
        <v>45065</v>
      </c>
      <c r="G27" s="25" t="n">
        <v>40790</v>
      </c>
      <c r="H27" s="25" t="n">
        <v>55360</v>
      </c>
      <c r="I27" s="26">
        <f>'Income Statement'!I4*'Assumptions'!I26</f>
        <v/>
      </c>
      <c r="J27" s="26">
        <f>'Income Statement'!J4*'Assumptions'!J26</f>
        <v/>
      </c>
      <c r="K27" s="26">
        <f>'Income Statement'!K4*'Assumptions'!K26</f>
        <v/>
      </c>
      <c r="L27" s="26">
        <f>'Income Statement'!L4*'Assumptions'!L26</f>
        <v/>
      </c>
      <c r="M27" s="26">
        <f>'Income Statement'!M4*'Assumptions'!M26</f>
        <v/>
      </c>
    </row>
    <row r="28">
      <c r="A28" s="32" t="inlineStr">
        <is>
          <t>TOTAL LIABILITIES</t>
        </is>
      </c>
      <c r="E28" s="43" t="n">
        <v>2458239</v>
      </c>
      <c r="F28" s="43" t="n">
        <v>2859860</v>
      </c>
      <c r="G28" s="43" t="n">
        <v>3279245</v>
      </c>
      <c r="H28" s="43" t="n">
        <v>3494903</v>
      </c>
      <c r="I28" s="33">
        <f>I23+I25+I26+I27</f>
        <v/>
      </c>
      <c r="J28" s="33">
        <f>J23+J25+J26+J27</f>
        <v/>
      </c>
      <c r="K28" s="33">
        <f>K23+K25+K26+K27</f>
        <v/>
      </c>
      <c r="L28" s="33">
        <f>L23+L25+L26+L27</f>
        <v/>
      </c>
      <c r="M28" s="33">
        <f>M23+M25+M26+M27</f>
        <v/>
      </c>
    </row>
    <row r="30">
      <c r="A30" s="42" t="inlineStr">
        <is>
          <t>Shareholders' equity:</t>
        </is>
      </c>
    </row>
    <row r="31" ht="36" customHeight="1">
      <c r="A31" s="19" t="inlineStr">
        <is>
          <t>Common stock &amp; additional paid-in capital</t>
        </is>
      </c>
      <c r="B31" s="20" t="inlineStr">
        <is>
          <t>$62M SBC holds the FY25 10-K run-rate (Stock-based compensation expense 62,203).</t>
        </is>
      </c>
      <c r="C31" s="21" t="inlineStr">
        <is>
          <t>LULU CF statement (10-K)</t>
        </is>
      </c>
      <c r="D31" s="22" t="inlineStr">
        <is>
          <t>Ctrl+F "Stock-based compensation expense" → 62,203 on this 10-K HTML. Model $62,000.</t>
        </is>
      </c>
      <c r="E31" s="31" t="n">
        <v>475256</v>
      </c>
      <c r="F31" s="31" t="n">
        <v>575975</v>
      </c>
      <c r="G31" s="31" t="n">
        <v>638771</v>
      </c>
      <c r="H31" s="31" t="n">
        <v>669949</v>
      </c>
      <c r="I31" s="26">
        <f>H31+'Assumptions'!I15</f>
        <v/>
      </c>
      <c r="J31" s="26">
        <f>I31+'Assumptions'!J15</f>
        <v/>
      </c>
      <c r="K31" s="26">
        <f>J31+'Assumptions'!K15</f>
        <v/>
      </c>
      <c r="L31" s="26">
        <f>K31+'Assumptions'!L15</f>
        <v/>
      </c>
      <c r="M31" s="26">
        <f>L31+'Assumptions'!M15</f>
        <v/>
      </c>
    </row>
    <row r="32" ht="36" customHeight="1">
      <c r="A32" s="19" t="inlineStr">
        <is>
          <t>Retained earnings</t>
        </is>
      </c>
      <c r="B32" s="20" t="inlineStr">
        <is>
          <t>$500M annual repurchases; continued capital return at moderated pace vs FY24–25 peak buyback levels.</t>
        </is>
      </c>
      <c r="C32" s="21" t="inlineStr">
        <is>
          <t>LULU CF: share repurchases (10-K)</t>
        </is>
      </c>
      <c r="D32" s="22" t="inlineStr">
        <is>
          <t>Ctrl+F "Repurchase of common stock" → ( 1,178,349 ) ($000) FY25; model (500,000)/yr</t>
        </is>
      </c>
      <c r="E32" s="31" t="n">
        <v>2926127</v>
      </c>
      <c r="F32" s="31" t="n">
        <v>3920362</v>
      </c>
      <c r="G32" s="31" t="n">
        <v>4109717</v>
      </c>
      <c r="H32" s="31" t="n">
        <v>4522581</v>
      </c>
      <c r="I32" s="26">
        <f>H32+'Income Statement'!I14-'Assumptions'!I28</f>
        <v/>
      </c>
      <c r="J32" s="26">
        <f>I32+'Income Statement'!J14-'Assumptions'!J28</f>
        <v/>
      </c>
      <c r="K32" s="26">
        <f>J32+'Income Statement'!K14-'Assumptions'!K28</f>
        <v/>
      </c>
      <c r="L32" s="26">
        <f>K32+'Income Statement'!L14-'Assumptions'!L28</f>
        <v/>
      </c>
      <c r="M32" s="26">
        <f>L32+'Income Statement'!M14-'Assumptions'!M28</f>
        <v/>
      </c>
    </row>
    <row r="33">
      <c r="A33" s="19" t="inlineStr">
        <is>
          <t>Accumulated other comprehensive loss</t>
        </is>
      </c>
      <c r="E33" s="31" t="n">
        <v>-252584</v>
      </c>
      <c r="F33" s="31" t="n">
        <v>-264256</v>
      </c>
      <c r="G33" s="31" t="n">
        <v>-424441</v>
      </c>
      <c r="H33" s="31" t="n">
        <v>-230690</v>
      </c>
      <c r="I33" s="25">
        <f>H33</f>
        <v/>
      </c>
      <c r="J33" s="25">
        <f>I33</f>
        <v/>
      </c>
      <c r="K33" s="25">
        <f>J33</f>
        <v/>
      </c>
      <c r="L33" s="25">
        <f>K33</f>
        <v/>
      </c>
      <c r="M33" s="25">
        <f>L33</f>
        <v/>
      </c>
    </row>
    <row r="34">
      <c r="A34" s="32" t="inlineStr">
        <is>
          <t>TOTAL SHAREHOLDERS' EQUITY</t>
        </is>
      </c>
      <c r="E34" s="43" t="n">
        <v>3148799</v>
      </c>
      <c r="F34" s="43" t="n">
        <v>4232081</v>
      </c>
      <c r="G34" s="43" t="n">
        <v>4324047</v>
      </c>
      <c r="H34" s="43" t="n">
        <v>4961840</v>
      </c>
      <c r="I34" s="33">
        <f>I31+I32+I33</f>
        <v/>
      </c>
      <c r="J34" s="33">
        <f>J31+J32+J33</f>
        <v/>
      </c>
      <c r="K34" s="33">
        <f>K31+K32+K33</f>
        <v/>
      </c>
      <c r="L34" s="33">
        <f>L31+L32+L33</f>
        <v/>
      </c>
      <c r="M34" s="33">
        <f>M31+M32+M33</f>
        <v/>
      </c>
    </row>
    <row r="35">
      <c r="A35" s="32" t="inlineStr">
        <is>
          <t>TOTAL LIABILITIES &amp; EQUITY</t>
        </is>
      </c>
      <c r="E35" s="34">
        <f>E28+E34</f>
        <v/>
      </c>
      <c r="F35" s="34">
        <f>F28+F34</f>
        <v/>
      </c>
      <c r="G35" s="34">
        <f>G28+G34</f>
        <v/>
      </c>
      <c r="H35" s="34">
        <f>H28+H34</f>
        <v/>
      </c>
      <c r="I35" s="34">
        <f>I28+I34</f>
        <v/>
      </c>
      <c r="J35" s="34">
        <f>J28+J34</f>
        <v/>
      </c>
      <c r="K35" s="34">
        <f>K28+K34</f>
        <v/>
      </c>
      <c r="L35" s="34">
        <f>L28+L34</f>
        <v/>
      </c>
      <c r="M35" s="34">
        <f>M28+M34</f>
        <v/>
      </c>
    </row>
    <row r="37">
      <c r="A37" s="39" t="inlineStr">
        <is>
          <t>Balance check (Assets − L&amp;E)</t>
        </is>
      </c>
      <c r="E37" s="45">
        <f>E15-E35</f>
        <v/>
      </c>
      <c r="F37" s="45">
        <f>F15-F35</f>
        <v/>
      </c>
      <c r="G37" s="45">
        <f>G15-G35</f>
        <v/>
      </c>
      <c r="H37" s="45">
        <f>H15-H35</f>
        <v/>
      </c>
      <c r="I37" s="45">
        <f>I15-I35</f>
        <v/>
      </c>
      <c r="J37" s="45">
        <f>J15-J35</f>
        <v/>
      </c>
      <c r="K37" s="45">
        <f>K15-K35</f>
        <v/>
      </c>
      <c r="L37" s="45">
        <f>L15-L35</f>
        <v/>
      </c>
      <c r="M37" s="45">
        <f>M15-M35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G9" r:id="rId17"/>
    <hyperlink xmlns:r="http://schemas.openxmlformats.org/officeDocument/2006/relationships" ref="H9" r:id="rId18"/>
    <hyperlink xmlns:r="http://schemas.openxmlformats.org/officeDocument/2006/relationships" ref="C11" r:id="rId19"/>
    <hyperlink xmlns:r="http://schemas.openxmlformats.org/officeDocument/2006/relationships" ref="E11" r:id="rId20"/>
    <hyperlink xmlns:r="http://schemas.openxmlformats.org/officeDocument/2006/relationships" ref="F11" r:id="rId21"/>
    <hyperlink xmlns:r="http://schemas.openxmlformats.org/officeDocument/2006/relationships" ref="G11" r:id="rId22"/>
    <hyperlink xmlns:r="http://schemas.openxmlformats.org/officeDocument/2006/relationships" ref="H11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E13" r:id="rId29"/>
    <hyperlink xmlns:r="http://schemas.openxmlformats.org/officeDocument/2006/relationships" ref="F13" r:id="rId30"/>
    <hyperlink xmlns:r="http://schemas.openxmlformats.org/officeDocument/2006/relationships" ref="G13" r:id="rId31"/>
    <hyperlink xmlns:r="http://schemas.openxmlformats.org/officeDocument/2006/relationships" ref="H13" r:id="rId32"/>
    <hyperlink xmlns:r="http://schemas.openxmlformats.org/officeDocument/2006/relationships" ref="C14" r:id="rId33"/>
    <hyperlink xmlns:r="http://schemas.openxmlformats.org/officeDocument/2006/relationships" ref="E15" r:id="rId34"/>
    <hyperlink xmlns:r="http://schemas.openxmlformats.org/officeDocument/2006/relationships" ref="F15" r:id="rId35"/>
    <hyperlink xmlns:r="http://schemas.openxmlformats.org/officeDocument/2006/relationships" ref="G15" r:id="rId36"/>
    <hyperlink xmlns:r="http://schemas.openxmlformats.org/officeDocument/2006/relationships" ref="H15" r:id="rId37"/>
    <hyperlink xmlns:r="http://schemas.openxmlformats.org/officeDocument/2006/relationships" ref="C19" r:id="rId38"/>
    <hyperlink xmlns:r="http://schemas.openxmlformats.org/officeDocument/2006/relationships" ref="E19" r:id="rId39"/>
    <hyperlink xmlns:r="http://schemas.openxmlformats.org/officeDocument/2006/relationships" ref="F19" r:id="rId40"/>
    <hyperlink xmlns:r="http://schemas.openxmlformats.org/officeDocument/2006/relationships" ref="G19" r:id="rId41"/>
    <hyperlink xmlns:r="http://schemas.openxmlformats.org/officeDocument/2006/relationships" ref="H19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3" r:id="rId54"/>
    <hyperlink xmlns:r="http://schemas.openxmlformats.org/officeDocument/2006/relationships" ref="F23" r:id="rId55"/>
    <hyperlink xmlns:r="http://schemas.openxmlformats.org/officeDocument/2006/relationships" ref="G23" r:id="rId56"/>
    <hyperlink xmlns:r="http://schemas.openxmlformats.org/officeDocument/2006/relationships" ref="H23" r:id="rId57"/>
    <hyperlink xmlns:r="http://schemas.openxmlformats.org/officeDocument/2006/relationships" ref="C25" r:id="rId58"/>
    <hyperlink xmlns:r="http://schemas.openxmlformats.org/officeDocument/2006/relationships" ref="E25" r:id="rId59"/>
    <hyperlink xmlns:r="http://schemas.openxmlformats.org/officeDocument/2006/relationships" ref="F25" r:id="rId60"/>
    <hyperlink xmlns:r="http://schemas.openxmlformats.org/officeDocument/2006/relationships" ref="G25" r:id="rId61"/>
    <hyperlink xmlns:r="http://schemas.openxmlformats.org/officeDocument/2006/relationships" ref="H25" r:id="rId62"/>
    <hyperlink xmlns:r="http://schemas.openxmlformats.org/officeDocument/2006/relationships" ref="E26" r:id="rId63"/>
    <hyperlink xmlns:r="http://schemas.openxmlformats.org/officeDocument/2006/relationships" ref="F26" r:id="rId64"/>
    <hyperlink xmlns:r="http://schemas.openxmlformats.org/officeDocument/2006/relationships" ref="G26" r:id="rId65"/>
    <hyperlink xmlns:r="http://schemas.openxmlformats.org/officeDocument/2006/relationships" ref="H26" r:id="rId66"/>
    <hyperlink xmlns:r="http://schemas.openxmlformats.org/officeDocument/2006/relationships" ref="C27" r:id="rId67"/>
    <hyperlink xmlns:r="http://schemas.openxmlformats.org/officeDocument/2006/relationships" ref="E28" r:id="rId68"/>
    <hyperlink xmlns:r="http://schemas.openxmlformats.org/officeDocument/2006/relationships" ref="F28" r:id="rId69"/>
    <hyperlink xmlns:r="http://schemas.openxmlformats.org/officeDocument/2006/relationships" ref="G28" r:id="rId70"/>
    <hyperlink xmlns:r="http://schemas.openxmlformats.org/officeDocument/2006/relationships" ref="H28" r:id="rId71"/>
    <hyperlink xmlns:r="http://schemas.openxmlformats.org/officeDocument/2006/relationships" ref="C31" r:id="rId72"/>
    <hyperlink xmlns:r="http://schemas.openxmlformats.org/officeDocument/2006/relationships" ref="E31" r:id="rId73"/>
    <hyperlink xmlns:r="http://schemas.openxmlformats.org/officeDocument/2006/relationships" ref="F31" r:id="rId74"/>
    <hyperlink xmlns:r="http://schemas.openxmlformats.org/officeDocument/2006/relationships" ref="G31" r:id="rId75"/>
    <hyperlink xmlns:r="http://schemas.openxmlformats.org/officeDocument/2006/relationships" ref="H31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E33" r:id="rId82"/>
    <hyperlink xmlns:r="http://schemas.openxmlformats.org/officeDocument/2006/relationships" ref="F33" r:id="rId83"/>
    <hyperlink xmlns:r="http://schemas.openxmlformats.org/officeDocument/2006/relationships" ref="G33" r:id="rId84"/>
    <hyperlink xmlns:r="http://schemas.openxmlformats.org/officeDocument/2006/relationships" ref="H33" r:id="rId85"/>
    <hyperlink xmlns:r="http://schemas.openxmlformats.org/officeDocument/2006/relationships" ref="E34" r:id="rId86"/>
    <hyperlink xmlns:r="http://schemas.openxmlformats.org/officeDocument/2006/relationships" ref="F34" r:id="rId87"/>
    <hyperlink xmlns:r="http://schemas.openxmlformats.org/officeDocument/2006/relationships" ref="G34" r:id="rId88"/>
    <hyperlink xmlns:r="http://schemas.openxmlformats.org/officeDocument/2006/relationships" ref="H34" r:id="rId8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1" t="n">
        <v>854800</v>
      </c>
      <c r="F5" s="31" t="n">
        <v>1550190</v>
      </c>
      <c r="G5" s="31" t="n">
        <v>1814616</v>
      </c>
      <c r="H5" s="31" t="n">
        <v>1579183</v>
      </c>
      <c r="I5" s="25">
        <f>'Income Statement'!I14</f>
        <v/>
      </c>
      <c r="J5" s="25">
        <f>'Income Statement'!J14</f>
        <v/>
      </c>
      <c r="K5" s="25">
        <f>'Income Statement'!K14</f>
        <v/>
      </c>
      <c r="L5" s="25">
        <f>'Income Statement'!L14</f>
        <v/>
      </c>
      <c r="M5" s="25">
        <f>'Income Statement'!M14</f>
        <v/>
      </c>
    </row>
    <row r="6" ht="36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Ctrl+F "Depreciation and amortization" → 496,228 ÷ "Net revenue" 11,102,600 = 4.5%</t>
        </is>
      </c>
      <c r="E6" s="31" t="n">
        <v>291791</v>
      </c>
      <c r="F6" s="31" t="n">
        <v>379384</v>
      </c>
      <c r="G6" s="31" t="n">
        <v>446524</v>
      </c>
      <c r="H6" s="31" t="n">
        <v>496228</v>
      </c>
      <c r="I6" s="26">
        <f>'Income Statement'!I4*'Assumptions'!I13</f>
        <v/>
      </c>
      <c r="J6" s="26">
        <f>'Income Statement'!J4*'Assumptions'!J13</f>
        <v/>
      </c>
      <c r="K6" s="26">
        <f>'Income Statement'!K4*'Assumptions'!K13</f>
        <v/>
      </c>
      <c r="L6" s="26">
        <f>'Income Statement'!L4*'Assumptions'!L13</f>
        <v/>
      </c>
      <c r="M6" s="26">
        <f>'Income Statement'!M4*'Assumptions'!M13</f>
        <v/>
      </c>
    </row>
    <row r="7" ht="36" customHeight="1">
      <c r="A7" s="19" t="inlineStr">
        <is>
          <t>Stock-based compensation</t>
        </is>
      </c>
      <c r="B7" s="20" t="inlineStr">
        <is>
          <t>$62M SBC holds the FY25 10-K run-rate (Stock-based compensation expense 62,203).</t>
        </is>
      </c>
      <c r="C7" s="21" t="inlineStr">
        <is>
          <t>LULU CF statement (10-K)</t>
        </is>
      </c>
      <c r="D7" s="22" t="inlineStr">
        <is>
          <t>Ctrl+F "Stock-based compensation expense" → 62,203 on this 10-K HTML. Model $62,000.</t>
        </is>
      </c>
      <c r="E7" s="31" t="n">
        <v>78075</v>
      </c>
      <c r="F7" s="31" t="n">
        <v>93560</v>
      </c>
      <c r="G7" s="31" t="n">
        <v>90011</v>
      </c>
      <c r="H7" s="31" t="n">
        <v>62203</v>
      </c>
      <c r="I7" s="26">
        <f>'Assumptions'!I15</f>
        <v/>
      </c>
      <c r="J7" s="26">
        <f>'Assumptions'!J15</f>
        <v/>
      </c>
      <c r="K7" s="26">
        <f>'Assumptions'!K15</f>
        <v/>
      </c>
      <c r="L7" s="26">
        <f>'Assumptions'!L15</f>
        <v/>
      </c>
      <c r="M7" s="26">
        <f>'Assumptions'!M15</f>
        <v/>
      </c>
    </row>
    <row r="8" ht="36" customHeight="1">
      <c r="A8" s="19" t="inlineStr">
        <is>
          <t xml:space="preserve">  (Incr.)/decr. in 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Ctrl+F "Inventories" → 1,700,753 ÷ "Cost of goods sold" 4,818,468 = 35.3%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36" customHeight="1">
      <c r="A9" s="19" t="inlineStr">
        <is>
          <t xml:space="preserve">  (Incr.)/decr. in other current assets</t>
        </is>
      </c>
      <c r="B9" s="20" t="inlineStr">
        <is>
          <t>OCA 6.8% = FY25 current assets 4,262,701 − cash 1,807,202 − inventories 1,700,753, as % of revenue (not the prepaid line alone).</t>
        </is>
      </c>
      <c r="C9" s="21" t="inlineStr">
        <is>
          <t>LULU balance sheet (10-K)</t>
        </is>
      </c>
      <c r="D9" s="22" t="inlineStr">
        <is>
          <t>Ctrl+F "Total current assets" → 4,262,701 minus "Cash and cash equivalents" 1,807,202 minus "Inventories" 1,700,753 = 754,746 (6.8% of revenue)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36" customHeight="1">
      <c r="A10" s="19" t="inlineStr">
        <is>
          <t xml:space="preserve">  (Incr.)/decr. in ROU assets</t>
        </is>
      </c>
      <c r="B10" s="20" t="inlineStr">
        <is>
          <t>ROU assets 14.7% of revenue; lease-intensive store model, stable vs FY25 operating lease footprint.</t>
        </is>
      </c>
      <c r="C10" s="21" t="inlineStr">
        <is>
          <t>LULU lease disclosures (10-K)</t>
        </is>
      </c>
      <c r="D10" s="22" t="inlineStr">
        <is>
          <t>Ctrl+F "Right-of-use lease assets" → 1,630,181 ÷ "Net revenue" 11,102,600 = 14.7%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Sheet'!I12-'Balance Sheet'!H12)</f>
        <v/>
      </c>
      <c r="J10" s="26">
        <f>-('Balance Sheet'!J12-'Balance Sheet'!I12)</f>
        <v/>
      </c>
      <c r="K10" s="26">
        <f>-('Balance Sheet'!K12-'Balance Sheet'!J12)</f>
        <v/>
      </c>
      <c r="L10" s="26">
        <f>-('Balance Sheet'!L12-'Balance Sheet'!K12)</f>
        <v/>
      </c>
      <c r="M10" s="26">
        <f>-('Balance Sheet'!M12-'Balance Sheet'!L12)</f>
        <v/>
      </c>
    </row>
    <row r="11" ht="36" customHeight="1">
      <c r="A11" s="19" t="inlineStr">
        <is>
          <t xml:space="preserve">  (Incr.)/decr. in other non-current assets</t>
        </is>
      </c>
      <c r="B11" s="20" t="inlineStr">
        <is>
          <t>ONCA 3.0% = FY25 total assets − CA − PPE − ROU − GW (338,947); matches earnings 'deferred taxes and other NC assets'.</t>
        </is>
      </c>
      <c r="C11" s="21" t="inlineStr">
        <is>
          <t>LULU balance sheet (10-K)</t>
        </is>
      </c>
      <c r="D11" s="22" t="inlineStr">
        <is>
          <t>Ctrl+F "Total assets" 8,456,743 − current assets − "Property and equipment, net" − "Right-of-use lease assets" − goodwill/intangibles = 338,947 (3.0%)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Sheet'!I14-'Balance Sheet'!H14)</f>
        <v/>
      </c>
      <c r="J11" s="26">
        <f>-('Balance Sheet'!J14-'Balance Sheet'!I14)</f>
        <v/>
      </c>
      <c r="K11" s="26">
        <f>-('Balance Sheet'!K14-'Balance Sheet'!J14)</f>
        <v/>
      </c>
      <c r="L11" s="26">
        <f>-('Balance Sheet'!L14-'Balance Sheet'!K14)</f>
        <v/>
      </c>
      <c r="M11" s="26">
        <f>-('Balance Sheet'!M14-'Balance Sheet'!L14)</f>
        <v/>
      </c>
    </row>
    <row r="12" ht="36" customHeight="1">
      <c r="A12" s="19" t="inlineStr">
        <is>
          <t xml:space="preserve">  Incr./(decr.) in accounts payable</t>
        </is>
      </c>
      <c r="B12" s="20" t="inlineStr">
        <is>
          <t>AP 6.8% of COGS; holds near FY25 level reflecting vendor terms and production payment cadence.</t>
        </is>
      </c>
      <c r="C12" s="21" t="inlineStr">
        <is>
          <t>LULU balance sheet (10-K)</t>
        </is>
      </c>
      <c r="D12" s="22" t="inlineStr">
        <is>
          <t>Ctrl+F "Accounts payable" → 331,421 ÷ "Cost of goods sold" 4,818,468 = 6.9%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('Balance Sheet'!I19-'Balance Sheet'!H19)</f>
        <v/>
      </c>
      <c r="J12" s="26">
        <f>('Balance Sheet'!J19-'Balance Sheet'!I19)</f>
        <v/>
      </c>
      <c r="K12" s="26">
        <f>('Balance Sheet'!K19-'Balance Sheet'!J19)</f>
        <v/>
      </c>
      <c r="L12" s="26">
        <f>('Balance Sheet'!L19-'Balance Sheet'!K19)</f>
        <v/>
      </c>
      <c r="M12" s="26">
        <f>('Balance Sheet'!M19-'Balance Sheet'!L19)</f>
        <v/>
      </c>
    </row>
    <row r="13" ht="36" customHeight="1">
      <c r="A13" s="19" t="inlineStr">
        <is>
          <t xml:space="preserve">  Incr./(decr.) in accrued liabilities</t>
        </is>
      </c>
      <c r="B13" s="20" t="inlineStr">
        <is>
          <t>Accrued liabilities 5.8% of revenue; stable comp, marketing, and operating accrual ratio.</t>
        </is>
      </c>
      <c r="C13" s="21" t="inlineStr">
        <is>
          <t>LULU balance sheet (10-K)</t>
        </is>
      </c>
      <c r="D13" s="22" t="inlineStr">
        <is>
          <t>Ctrl+F "Accrued liabilities and other" → 662,982 ÷ "Net revenue" 11,102,600 = 6.0%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36" customHeight="1">
      <c r="A14" s="19" t="inlineStr">
        <is>
          <t xml:space="preserve">  Incr./(decr.) in other current liabilities</t>
        </is>
      </c>
      <c r="B14" s="20" t="inlineStr">
        <is>
          <t>OCL 5.5% = FY25 current liabilities minus AP, accrued, and current leases (residual ~594k); not the 45,954 'other' line alone.</t>
        </is>
      </c>
      <c r="C14" s="21" t="inlineStr">
        <is>
          <t>LULU balance sheet (10-K)</t>
        </is>
      </c>
      <c r="D14" s="22" t="inlineStr">
        <is>
          <t>Ctrl+F "Total current liabilities" 1,887,548 − "Accounts payable" 331,421 − "Accrued liabilities and other" 662,982 − "Current lease liabilities" 298,724 ≈ 594,421 (5.4%)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Sheet'!I22-'Balance Sheet'!H22)</f>
        <v/>
      </c>
      <c r="J14" s="26">
        <f>('Balance Sheet'!J22-'Balance Sheet'!I22)</f>
        <v/>
      </c>
      <c r="K14" s="26">
        <f>('Balance Sheet'!K22-'Balance Sheet'!J22)</f>
        <v/>
      </c>
      <c r="L14" s="26">
        <f>('Balance Sheet'!L22-'Balance Sheet'!K22)</f>
        <v/>
      </c>
      <c r="M14" s="26">
        <f>('Balance Sheet'!M22-'Balance Sheet'!L22)</f>
        <v/>
      </c>
    </row>
    <row r="15" ht="36" customHeight="1">
      <c r="A15" s="19" t="inlineStr">
        <is>
          <t xml:space="preserve">  Incr./(decr.) in operating lease liab.</t>
        </is>
      </c>
      <c r="B15" s="20" t="inlineStr">
        <is>
          <t>Current lease liabilities 2.7% of revenue; short-term portion of operating lease obligations.</t>
        </is>
      </c>
      <c r="C15" s="21" t="inlineStr">
        <is>
          <t>LULU lease disclosures (10-K)</t>
        </is>
      </c>
      <c r="D15" s="22" t="inlineStr">
        <is>
          <t>Ctrl+F "Current lease liabilities" → 298,724 ÷ "Net revenue" 11,102,600 = 2.7%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Sheet'!I21-'Balance Sheet'!H21)+('Balance Sheet'!I25-'Balance Sheet'!H25)</f>
        <v/>
      </c>
      <c r="J15" s="26">
        <f>('Balance Sheet'!J21-'Balance Sheet'!I21)+('Balance Sheet'!J25-'Balance Sheet'!I25)</f>
        <v/>
      </c>
      <c r="K15" s="26">
        <f>('Balance Sheet'!K21-'Balance Sheet'!J21)+('Balance Sheet'!K25-'Balance Sheet'!J25)</f>
        <v/>
      </c>
      <c r="L15" s="26">
        <f>('Balance Sheet'!L21-'Balance Sheet'!K21)+('Balance Sheet'!L25-'Balance Sheet'!K25)</f>
        <v/>
      </c>
      <c r="M15" s="26">
        <f>('Balance Sheet'!M21-'Balance Sheet'!L21)+('Balance Sheet'!M25-'Balance Sheet'!L25)</f>
        <v/>
      </c>
    </row>
    <row r="16">
      <c r="A16" s="19" t="inlineStr">
        <is>
          <t xml:space="preserve">  Incr./(decr.) in deferred income taxes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  <c r="L16" s="25">
        <f>('Balance Sheet'!L26-'Balance Sheet'!K26)</f>
        <v/>
      </c>
      <c r="M16" s="25">
        <f>('Balance Sheet'!M26-'Balance Sheet'!L26)</f>
        <v/>
      </c>
    </row>
    <row r="17">
      <c r="A17" s="19" t="inlineStr">
        <is>
          <t xml:space="preserve">  Incr./(decr.) in other non-current liab.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Working capital &amp; other (reported, net)</t>
        </is>
      </c>
      <c r="E18" s="25">
        <f>E19-E5-E6-E7</f>
        <v/>
      </c>
      <c r="F18" s="25">
        <f>F19-F5-F6-F7</f>
        <v/>
      </c>
      <c r="G18" s="25">
        <f>G19-G5-G6-G7</f>
        <v/>
      </c>
      <c r="H18" s="25">
        <f>H19-H5-H6-H7</f>
        <v/>
      </c>
    </row>
    <row r="19">
      <c r="A19" s="32" t="inlineStr">
        <is>
          <t>Net cash from operating activities</t>
        </is>
      </c>
      <c r="E19" s="43" t="n">
        <v>966463</v>
      </c>
      <c r="F19" s="43" t="n">
        <v>2296164</v>
      </c>
      <c r="G19" s="43" t="n">
        <v>2272713</v>
      </c>
      <c r="H19" s="43" t="n">
        <v>1602477</v>
      </c>
      <c r="I19" s="33">
        <f>I5+I6+I7+SUM(I8:I17)</f>
        <v/>
      </c>
      <c r="J19" s="33">
        <f>J5+J6+J7+SUM(J8:J17)</f>
        <v/>
      </c>
      <c r="K19" s="33">
        <f>K5+K6+K7+SUM(K8:K17)</f>
        <v/>
      </c>
      <c r="L19" s="33">
        <f>L5+L6+L7+SUM(L8:L17)</f>
        <v/>
      </c>
      <c r="M19" s="33">
        <f>M5+M6+M7+SUM(M8:M17)</f>
        <v/>
      </c>
    </row>
    <row r="21">
      <c r="A21" s="17" t="inlineStr">
        <is>
          <t>INVESTING ACTIVITIES</t>
        </is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</row>
    <row r="22" ht="36" customHeight="1">
      <c r="A22" s="19" t="inlineStr">
        <is>
          <t>Capital expenditures</t>
        </is>
      </c>
      <c r="B22" s="20" t="inlineStr">
        <is>
          <t>FY26 7.0% is up vs FY25 6.1% ($735M vs $681M). Then 6.0 / 5.5 / 5.0 / 5.0 returns toward the FY25 run-rate and the 4.5% D&amp;A floor.</t>
        </is>
      </c>
      <c r="C22" s="21" t="inlineStr">
        <is>
          <t>LULU CF statement (10-K)</t>
        </is>
      </c>
      <c r="D22" s="22" t="inlineStr">
        <is>
          <t>Ctrl+F "680,802" → FY25 $680.8M / 6.1% of sales. Ctrl+F "$725.0 million and $745.0 million" → FY26 mid $735M / 7.0%. FY26 is up vs FY25, not down. Path 7.0 / 6.0 / 5.5 / 5.0 / 5.0: FY27 6.0% returns to the FY25 6.1% run-rate, then fades toward D&amp;A 4.5% (Ctrl+F "496,228").</t>
        </is>
      </c>
      <c r="E22" s="31" t="n">
        <v>-638657</v>
      </c>
      <c r="F22" s="31" t="n">
        <v>-651865</v>
      </c>
      <c r="G22" s="31" t="n">
        <v>-689232</v>
      </c>
      <c r="H22" s="31" t="n">
        <v>-680802</v>
      </c>
      <c r="I22" s="26">
        <f>-'Income Statement'!I4*'Assumptions'!I14</f>
        <v/>
      </c>
      <c r="J22" s="26">
        <f>-'Income Statement'!J4*'Assumptions'!J14</f>
        <v/>
      </c>
      <c r="K22" s="26">
        <f>-'Income Statement'!K4*'Assumptions'!K14</f>
        <v/>
      </c>
      <c r="L22" s="26">
        <f>-'Income Statement'!L4*'Assumptions'!L14</f>
        <v/>
      </c>
      <c r="M22" s="26">
        <f>-'Income Statement'!M4*'Assumptions'!M14</f>
        <v/>
      </c>
    </row>
    <row r="23">
      <c r="A23" s="32" t="inlineStr">
        <is>
          <t>Net cash from investing activities</t>
        </is>
      </c>
      <c r="E23" s="43" t="n">
        <v>-569937</v>
      </c>
      <c r="F23" s="43" t="n">
        <v>-654132</v>
      </c>
      <c r="G23" s="43" t="n">
        <v>-798174</v>
      </c>
      <c r="H23" s="43" t="n">
        <v>-662118</v>
      </c>
      <c r="I23" s="33">
        <f>I22</f>
        <v/>
      </c>
      <c r="J23" s="33">
        <f>J22</f>
        <v/>
      </c>
      <c r="K23" s="33">
        <f>K22</f>
        <v/>
      </c>
      <c r="L23" s="33">
        <f>L22</f>
        <v/>
      </c>
      <c r="M23" s="33">
        <f>M22</f>
        <v/>
      </c>
    </row>
    <row r="24">
      <c r="A24" s="28" t="inlineStr">
        <is>
          <t xml:space="preserve">  (Projections: investing ≈ capex; excl. M&amp;A / securities)</t>
        </is>
      </c>
    </row>
    <row r="26">
      <c r="A26" s="17" t="inlineStr">
        <is>
          <t>FINANCING ACTIVITIES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36" customHeight="1">
      <c r="A27" s="19" t="inlineStr">
        <is>
          <t>Repurchase of common stock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Ctrl+F "Repurchase of common stock" → ( 1,178,349 ) ($000) FY25; model (500,000)/yr</t>
        </is>
      </c>
      <c r="E27" s="31" t="n">
        <v>-444001</v>
      </c>
      <c r="F27" s="31" t="n">
        <v>-558652</v>
      </c>
      <c r="G27" s="31" t="n">
        <v>-1636879</v>
      </c>
      <c r="H27" s="31" t="n">
        <v>-1178349</v>
      </c>
      <c r="I27" s="26">
        <f>-'Assumptions'!I28</f>
        <v/>
      </c>
      <c r="J27" s="26">
        <f>-'Assumptions'!J28</f>
        <v/>
      </c>
      <c r="K27" s="26">
        <f>-'Assumptions'!K28</f>
        <v/>
      </c>
      <c r="L27" s="26">
        <f>-'Assumptions'!L28</f>
        <v/>
      </c>
      <c r="M27" s="26">
        <f>-'Assumptions'!M28</f>
        <v/>
      </c>
    </row>
    <row r="28">
      <c r="A28" s="32" t="inlineStr">
        <is>
          <t>Net cash from financing activities</t>
        </is>
      </c>
      <c r="E28" s="43" t="n">
        <v>-467487</v>
      </c>
      <c r="F28" s="43" t="n">
        <v>-548828</v>
      </c>
      <c r="G28" s="43" t="n">
        <v>-1652508</v>
      </c>
      <c r="H28" s="43" t="n">
        <v>-1208656</v>
      </c>
      <c r="I28" s="33">
        <f>I27</f>
        <v/>
      </c>
      <c r="J28" s="33">
        <f>J27</f>
        <v/>
      </c>
      <c r="K28" s="33">
        <f>K27</f>
        <v/>
      </c>
      <c r="L28" s="33">
        <f>L27</f>
        <v/>
      </c>
      <c r="M28" s="33">
        <f>M27</f>
        <v/>
      </c>
    </row>
    <row r="29">
      <c r="A29" s="28" t="inlineStr">
        <is>
          <t xml:space="preserve">  (Projections: financing ≈ buybacks; SBC non-cash in equity)</t>
        </is>
      </c>
    </row>
    <row r="31">
      <c r="A31" s="32" t="inlineStr">
        <is>
          <t>Net change in cash</t>
        </is>
      </c>
      <c r="E31" s="33">
        <f>E19+E23+E28</f>
        <v/>
      </c>
      <c r="F31" s="33">
        <f>F19+F23+F28</f>
        <v/>
      </c>
      <c r="G31" s="33">
        <f>G19+G23+G28</f>
        <v/>
      </c>
      <c r="H31" s="33">
        <f>H19+H23+H28</f>
        <v/>
      </c>
      <c r="I31" s="33">
        <f>I19+I23+I28</f>
        <v/>
      </c>
      <c r="J31" s="33">
        <f>J19+J23+J28</f>
        <v/>
      </c>
      <c r="K31" s="33">
        <f>K19+K23+K28</f>
        <v/>
      </c>
      <c r="L31" s="33">
        <f>L19+L23+L28</f>
        <v/>
      </c>
      <c r="M31" s="33">
        <f>M19+M23+M28</f>
        <v/>
      </c>
    </row>
    <row r="32">
      <c r="A32" s="19" t="inlineStr">
        <is>
          <t>Cash, beginning of year</t>
        </is>
      </c>
      <c r="E32" s="31" t="n">
        <v>1150517</v>
      </c>
      <c r="F32" s="31" t="n">
        <v>1154867</v>
      </c>
      <c r="G32" s="31" t="n">
        <v>2243971</v>
      </c>
      <c r="H32" s="31" t="n">
        <v>1984336</v>
      </c>
      <c r="I32" s="25">
        <f>H33</f>
        <v/>
      </c>
      <c r="J32" s="25">
        <f>I33</f>
        <v/>
      </c>
      <c r="K32" s="25">
        <f>J33</f>
        <v/>
      </c>
      <c r="L32" s="25">
        <f>K33</f>
        <v/>
      </c>
      <c r="M32" s="25">
        <f>L33</f>
        <v/>
      </c>
    </row>
    <row r="33">
      <c r="A33" s="32" t="inlineStr">
        <is>
          <t>Cash, end of year</t>
        </is>
      </c>
      <c r="E33" s="44" t="n">
        <v>1154867</v>
      </c>
      <c r="F33" s="44" t="n">
        <v>2243971</v>
      </c>
      <c r="G33" s="44" t="n">
        <v>1984336</v>
      </c>
      <c r="H33" s="44" t="n">
        <v>1807202</v>
      </c>
      <c r="I33" s="34">
        <f>I32+I31</f>
        <v/>
      </c>
      <c r="J33" s="34">
        <f>J32+J31</f>
        <v/>
      </c>
      <c r="K33" s="34">
        <f>K32+K31</f>
        <v/>
      </c>
      <c r="L33" s="34">
        <f>L32+L31</f>
        <v/>
      </c>
      <c r="M33" s="34">
        <f>M32+M31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E19" r:id="rId27"/>
    <hyperlink xmlns:r="http://schemas.openxmlformats.org/officeDocument/2006/relationships" ref="F19" r:id="rId28"/>
    <hyperlink xmlns:r="http://schemas.openxmlformats.org/officeDocument/2006/relationships" ref="G19" r:id="rId29"/>
    <hyperlink xmlns:r="http://schemas.openxmlformats.org/officeDocument/2006/relationships" ref="H19" r:id="rId30"/>
    <hyperlink xmlns:r="http://schemas.openxmlformats.org/officeDocument/2006/relationships" ref="C22" r:id="rId31"/>
    <hyperlink xmlns:r="http://schemas.openxmlformats.org/officeDocument/2006/relationships" ref="E22" r:id="rId32"/>
    <hyperlink xmlns:r="http://schemas.openxmlformats.org/officeDocument/2006/relationships" ref="F22" r:id="rId33"/>
    <hyperlink xmlns:r="http://schemas.openxmlformats.org/officeDocument/2006/relationships" ref="G22" r:id="rId34"/>
    <hyperlink xmlns:r="http://schemas.openxmlformats.org/officeDocument/2006/relationships" ref="H22" r:id="rId35"/>
    <hyperlink xmlns:r="http://schemas.openxmlformats.org/officeDocument/2006/relationships" ref="E23" r:id="rId36"/>
    <hyperlink xmlns:r="http://schemas.openxmlformats.org/officeDocument/2006/relationships" ref="F23" r:id="rId37"/>
    <hyperlink xmlns:r="http://schemas.openxmlformats.org/officeDocument/2006/relationships" ref="G23" r:id="rId38"/>
    <hyperlink xmlns:r="http://schemas.openxmlformats.org/officeDocument/2006/relationships" ref="H23" r:id="rId39"/>
    <hyperlink xmlns:r="http://schemas.openxmlformats.org/officeDocument/2006/relationships" ref="C27" r:id="rId40"/>
    <hyperlink xmlns:r="http://schemas.openxmlformats.org/officeDocument/2006/relationships" ref="E27" r:id="rId41"/>
    <hyperlink xmlns:r="http://schemas.openxmlformats.org/officeDocument/2006/relationships" ref="F27" r:id="rId42"/>
    <hyperlink xmlns:r="http://schemas.openxmlformats.org/officeDocument/2006/relationships" ref="G27" r:id="rId43"/>
    <hyperlink xmlns:r="http://schemas.openxmlformats.org/officeDocument/2006/relationships" ref="H27" r:id="rId44"/>
    <hyperlink xmlns:r="http://schemas.openxmlformats.org/officeDocument/2006/relationships" ref="E28" r:id="rId45"/>
    <hyperlink xmlns:r="http://schemas.openxmlformats.org/officeDocument/2006/relationships" ref="F28" r:id="rId46"/>
    <hyperlink xmlns:r="http://schemas.openxmlformats.org/officeDocument/2006/relationships" ref="G28" r:id="rId47"/>
    <hyperlink xmlns:r="http://schemas.openxmlformats.org/officeDocument/2006/relationships" ref="H28" r:id="rId48"/>
    <hyperlink xmlns:r="http://schemas.openxmlformats.org/officeDocument/2006/relationships" ref="E32" r:id="rId49"/>
    <hyperlink xmlns:r="http://schemas.openxmlformats.org/officeDocument/2006/relationships" ref="F32" r:id="rId50"/>
    <hyperlink xmlns:r="http://schemas.openxmlformats.org/officeDocument/2006/relationships" ref="G32" r:id="rId51"/>
    <hyperlink xmlns:r="http://schemas.openxmlformats.org/officeDocument/2006/relationships" ref="H32" r:id="rId52"/>
    <hyperlink xmlns:r="http://schemas.openxmlformats.org/officeDocument/2006/relationships" ref="E33" r:id="rId53"/>
    <hyperlink xmlns:r="http://schemas.openxmlformats.org/officeDocument/2006/relationships" ref="F33" r:id="rId54"/>
    <hyperlink xmlns:r="http://schemas.openxmlformats.org/officeDocument/2006/relationships" ref="G33" r:id="rId55"/>
    <hyperlink xmlns:r="http://schemas.openxmlformats.org/officeDocument/2006/relationships" ref="H33" r:id="rId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2026-09-06T21:23:51Z</dcterms:created>
  <dcterms:modified xmlns:dcterms="http://purl.org/dc/terms/" xmlns:xsi="http://www.w3.org/2001/XMLSchema-instance" xsi:type="dcterms:W3CDTF">2026-09-06T21:23:51Z</dcterms:modified>
</cp:coreProperties>
</file>
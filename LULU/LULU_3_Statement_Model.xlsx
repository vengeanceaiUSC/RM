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nasdaq.com/market-activity/stocks/lulu" TargetMode="External" Id="rId2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28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28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28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28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28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28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28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28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150" customHeight="1">
      <c r="A14" s="19" t="inlineStr">
        <is>
          <t>Capex % of revenue</t>
        </is>
      </c>
      <c r="B14" s="22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28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28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28" customHeight="1">
      <c r="A18" s="19" t="inlineStr">
        <is>
          <t>Accounts payable % of COGS</t>
        </is>
      </c>
      <c r="B18" s="20" t="inlineStr">
        <is>
          <t>AP 6.8% of COGS; holds near FY25 level reflecting vendor terms and production payment cadence.</t>
        </is>
      </c>
      <c r="C18" s="21" t="inlineStr">
        <is>
          <t>LULU balance sheet (10-K)</t>
        </is>
      </c>
      <c r="D18" s="22" t="inlineStr">
        <is>
          <t>Ctrl+F "Accounts payable" → 331,421 ÷ "Cost of goods sold" 4,818,468 = 6.9%</t>
        </is>
      </c>
      <c r="E18" s="23" t="n">
        <v>0.04774005037894764</v>
      </c>
      <c r="F18" s="23" t="n">
        <v>0.08689576951688993</v>
      </c>
      <c r="G18" s="23" t="n">
        <v>0.06286453501771355</v>
      </c>
      <c r="H18" s="23" t="n">
        <v>0.06878140521012073</v>
      </c>
      <c r="I18" s="24" t="n">
        <v>0.068</v>
      </c>
      <c r="J18" s="24" t="n">
        <v>0.068</v>
      </c>
      <c r="K18" s="24" t="n">
        <v>0.068</v>
      </c>
      <c r="L18" s="24" t="n">
        <v>0.068</v>
      </c>
      <c r="M18" s="24" t="n">
        <v>0.068</v>
      </c>
    </row>
    <row r="19" ht="28" customHeight="1">
      <c r="A19" s="19" t="inlineStr">
        <is>
          <t>Accrued liabilities % of revenue</t>
        </is>
      </c>
      <c r="B19" s="20" t="inlineStr">
        <is>
          <t>Accrued liabilities 5.8% of revenue; stable comp, marketing, and operating accrual ratio.</t>
        </is>
      </c>
      <c r="C19" s="21" t="inlineStr">
        <is>
          <t>LULU balance sheet (10-K)</t>
        </is>
      </c>
      <c r="D19" s="22" t="inlineStr">
        <is>
          <t>Ctrl+F "Accrued liabilities and other" → 662,982 ÷ "Net revenue" 11,102,600 = 6.0%</t>
        </is>
      </c>
      <c r="E19" s="23" t="n">
        <v>0.04922287331092786</v>
      </c>
      <c r="F19" s="23" t="n">
        <v>0.03623504799424655</v>
      </c>
      <c r="G19" s="23" t="n">
        <v>0.05283871763520759</v>
      </c>
      <c r="H19" s="23" t="n">
        <v>0.05971412101669879</v>
      </c>
      <c r="I19" s="24" t="n">
        <v>0.058</v>
      </c>
      <c r="J19" s="24" t="n">
        <v>0.058</v>
      </c>
      <c r="K19" s="24" t="n">
        <v>0.058</v>
      </c>
      <c r="L19" s="24" t="n">
        <v>0.058</v>
      </c>
      <c r="M19" s="24" t="n">
        <v>0.058</v>
      </c>
    </row>
    <row r="20" ht="28" customHeight="1">
      <c r="A20" s="19" t="inlineStr">
        <is>
          <t>Other current assets % of revenue</t>
        </is>
      </c>
      <c r="B20" s="20" t="inlineStr">
        <is>
          <t>OCA 6.8% = FY25 current assets 4,262,701 − cash 1,807,202 − inventories 1,700,753, as % of revenue (not the prepaid line alone).</t>
        </is>
      </c>
      <c r="C20" s="21" t="inlineStr">
        <is>
          <t>LULU balance sheet (10-K)</t>
        </is>
      </c>
      <c r="D20" s="22" t="inlineStr">
        <is>
          <t>Ctrl+F "Total current assets" → 4,262,701 minus "Cash and cash equivalents" 1,807,202 minus "Inventories" 1,700,753 = 754,746 (6.8% of revenue)</t>
        </is>
      </c>
      <c r="E20" s="23" t="n">
        <v>0.06870325668471483</v>
      </c>
      <c r="F20" s="23" t="n">
        <v>0.05125166358639391</v>
      </c>
      <c r="G20" s="23" t="n">
        <v>0.05231190108617899</v>
      </c>
      <c r="H20" s="23" t="n">
        <v>0.06797921207645057</v>
      </c>
      <c r="I20" s="24" t="n">
        <v>0.068</v>
      </c>
      <c r="J20" s="24" t="n">
        <v>0.068</v>
      </c>
      <c r="K20" s="24" t="n">
        <v>0.068</v>
      </c>
      <c r="L20" s="24" t="n">
        <v>0.068</v>
      </c>
      <c r="M20" s="24" t="n">
        <v>0.068</v>
      </c>
    </row>
    <row r="21" ht="28" customHeight="1">
      <c r="A21" s="19" t="inlineStr">
        <is>
          <t>Operating lease ROU asset % of revenue</t>
        </is>
      </c>
      <c r="B21" s="20" t="inlineStr">
        <is>
          <t>ROU assets 14.7% of revenue; lease-intensive store model, stable vs FY25 operating lease footprint.</t>
        </is>
      </c>
      <c r="C21" s="21" t="inlineStr">
        <is>
          <t>LULU lease disclosures (10-K)</t>
        </is>
      </c>
      <c r="D21" s="22" t="inlineStr">
        <is>
          <t>Ctrl+F "Right-of-use lease assets" → 1,630,181 ÷ "Net revenue" 11,102,600 = 14.7%</t>
        </is>
      </c>
      <c r="E21" s="23" t="n">
        <v>0.1195261511040355</v>
      </c>
      <c r="F21" s="23" t="n">
        <v>0.1315701656610818</v>
      </c>
      <c r="G21" s="23" t="n">
        <v>0.1337588918001165</v>
      </c>
      <c r="H21" s="23" t="n">
        <v>0.1468287608307964</v>
      </c>
      <c r="I21" s="24" t="n">
        <v>0.147</v>
      </c>
      <c r="J21" s="24" t="n">
        <v>0.147</v>
      </c>
      <c r="K21" s="24" t="n">
        <v>0.147</v>
      </c>
      <c r="L21" s="24" t="n">
        <v>0.147</v>
      </c>
      <c r="M21" s="24" t="n">
        <v>0.147</v>
      </c>
    </row>
    <row r="22" ht="28" customHeight="1">
      <c r="A22" s="19" t="inlineStr">
        <is>
          <t>Other non-current assets % of revenue</t>
        </is>
      </c>
      <c r="B22" s="20" t="inlineStr">
        <is>
          <t>ONCA 3.0% = FY25 total assets − CA − PPE − ROU − GW (338,947); matches earnings 'deferred taxes and other NC assets'.</t>
        </is>
      </c>
      <c r="C22" s="21" t="inlineStr">
        <is>
          <t>LULU balance sheet (10-K)</t>
        </is>
      </c>
      <c r="D22" s="22" t="inlineStr">
        <is>
          <t>Ctrl+F "Total assets" 8,456,743 − current assets − "Property and equipment, net" − "Right-of-use lease assets" − goodwill/intangibles = 338,947 (3.0%)</t>
        </is>
      </c>
      <c r="E22" s="23" t="n">
        <v>0.02002917692803345</v>
      </c>
      <c r="F22" s="23" t="n">
        <v>0.02036119550760462</v>
      </c>
      <c r="G22" s="23" t="n">
        <v>0.02407659296838742</v>
      </c>
      <c r="H22" s="23" t="n">
        <v>0.03052861491902797</v>
      </c>
      <c r="I22" s="24" t="n">
        <v>0.03</v>
      </c>
      <c r="J22" s="24" t="n">
        <v>0.03</v>
      </c>
      <c r="K22" s="24" t="n">
        <v>0.03</v>
      </c>
      <c r="L22" s="24" t="n">
        <v>0.03</v>
      </c>
      <c r="M22" s="24" t="n">
        <v>0.03</v>
      </c>
    </row>
    <row r="23" ht="28" customHeight="1">
      <c r="A23" s="19" t="inlineStr">
        <is>
          <t>Op lease liab (current) % of revenue</t>
        </is>
      </c>
      <c r="B23" s="20" t="inlineStr">
        <is>
          <t>Current lease liabilities 2.7% of revenue; short-term portion of operating lease obligations.</t>
        </is>
      </c>
      <c r="C23" s="21" t="inlineStr">
        <is>
          <t>LULU lease disclosures (10-K)</t>
        </is>
      </c>
      <c r="D23" s="22" t="inlineStr">
        <is>
          <t>Ctrl+F "Current lease liabilities" → 298,724 ÷ "Net revenue" 11,102,600 = 2.7%</t>
        </is>
      </c>
      <c r="E23" s="23" t="n">
        <v>0.02564225860789656</v>
      </c>
      <c r="F23" s="23" t="n">
        <v>0.02591358727754827</v>
      </c>
      <c r="G23" s="23" t="n">
        <v>0.02598703491061591</v>
      </c>
      <c r="H23" s="23" t="n">
        <v>0.02690576981968188</v>
      </c>
      <c r="I23" s="24" t="n">
        <v>0.027</v>
      </c>
      <c r="J23" s="24" t="n">
        <v>0.027</v>
      </c>
      <c r="K23" s="24" t="n">
        <v>0.027</v>
      </c>
      <c r="L23" s="24" t="n">
        <v>0.027</v>
      </c>
      <c r="M23" s="24" t="n">
        <v>0.027</v>
      </c>
    </row>
    <row r="24" ht="28" customHeight="1">
      <c r="A24" s="19" t="inlineStr">
        <is>
          <t>Op lease liab (non-current) % of revenue</t>
        </is>
      </c>
      <c r="B24" s="20" t="inlineStr">
        <is>
          <t>Non-current lease liabilities 13.5% of revenue; long-term store lease commitments per 10-K.</t>
        </is>
      </c>
      <c r="C24" s="21" t="inlineStr">
        <is>
          <t>LULU lease disclosures (10-K)</t>
        </is>
      </c>
      <c r="D24" s="22" t="inlineStr">
        <is>
          <t>Ctrl+F "Non-current lease liabilities" → 1,499,717 ÷ "Net revenue" 11,102,600 = 13.5%</t>
        </is>
      </c>
      <c r="E24" s="23" t="n">
        <v>0.1063263776740277</v>
      </c>
      <c r="F24" s="23" t="n">
        <v>0.1199686712453887</v>
      </c>
      <c r="G24" s="23" t="n">
        <v>0.1228392068624797</v>
      </c>
      <c r="H24" s="23" t="n">
        <v>0.1350779997478068</v>
      </c>
      <c r="I24" s="24" t="n">
        <v>0.135</v>
      </c>
      <c r="J24" s="24" t="n">
        <v>0.135</v>
      </c>
      <c r="K24" s="24" t="n">
        <v>0.135</v>
      </c>
      <c r="L24" s="24" t="n">
        <v>0.135</v>
      </c>
      <c r="M24" s="24" t="n">
        <v>0.135</v>
      </c>
    </row>
    <row r="25" ht="28" customHeight="1">
      <c r="A25" s="19" t="inlineStr">
        <is>
          <t>Other current liabilities % of revenue</t>
        </is>
      </c>
      <c r="B25" s="20" t="inlineStr">
        <is>
          <t>OCL 5.5% = FY25 current liabilities minus AP, accrued, and current leases (residual ~594k); not the 45,954 'other' line alone.</t>
        </is>
      </c>
      <c r="C25" s="21" t="inlineStr">
        <is>
          <t>LULU balance sheet (10-K)</t>
        </is>
      </c>
      <c r="D25" s="22" t="inlineStr">
        <is>
          <t>Ctrl+F "Total current liabilities" 1,887,548 − "Accounts payable" 331,421 − "Accrued liabilities and other" 662,982 − "Current lease liabilities" 298,724 ≈ 594,421 (5.4%)</t>
        </is>
      </c>
      <c r="E25" s="23" t="n">
        <v>0.08782065461170298</v>
      </c>
      <c r="F25" s="23" t="n">
        <v>0.0712106459549251</v>
      </c>
      <c r="G25" s="23" t="n">
        <v>0.06928582073919408</v>
      </c>
      <c r="H25" s="23" t="n">
        <v>0.05353890079801128</v>
      </c>
      <c r="I25" s="24" t="n">
        <v>0.055</v>
      </c>
      <c r="J25" s="24" t="n">
        <v>0.055</v>
      </c>
      <c r="K25" s="24" t="n">
        <v>0.055</v>
      </c>
      <c r="L25" s="24" t="n">
        <v>0.055</v>
      </c>
      <c r="M25" s="24" t="n">
        <v>0.055</v>
      </c>
    </row>
    <row r="26" ht="28" customHeight="1">
      <c r="A26" s="19" t="inlineStr">
        <is>
          <t>Other non-current liab % of revenue</t>
        </is>
      </c>
      <c r="B26" s="20" t="inlineStr">
        <is>
          <t>Other non-current liabilities 0.5% of revenue; minor long-term accruals and provisions.</t>
        </is>
      </c>
      <c r="C26" s="21" t="inlineStr">
        <is>
          <t>LULU balance sheet (10-K)</t>
        </is>
      </c>
      <c r="D26" s="22" t="inlineStr">
        <is>
          <t>Ctrl+F "Other non-current liabilities" → 55,360 ÷ "Net revenue" 11,102,600 = 0.5%</t>
        </is>
      </c>
      <c r="E26" s="23" t="n">
        <v>0.005991602509235539</v>
      </c>
      <c r="F26" s="23" t="n">
        <v>0.00468486304273564</v>
      </c>
      <c r="G26" s="23" t="n">
        <v>0.003852428654513556</v>
      </c>
      <c r="H26" s="23" t="n">
        <v>0.004986219444094176</v>
      </c>
      <c r="I26" s="24" t="n">
        <v>0.005</v>
      </c>
      <c r="J26" s="24" t="n">
        <v>0.005</v>
      </c>
      <c r="K26" s="24" t="n">
        <v>0.005</v>
      </c>
      <c r="L26" s="24" t="n">
        <v>0.005</v>
      </c>
      <c r="M26" s="24" t="n">
        <v>0.005</v>
      </c>
    </row>
    <row r="27">
      <c r="A27" s="17" t="inlineStr">
        <is>
          <t>CAPITAL RETURN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28" customHeight="1">
      <c r="A28" s="19" t="inlineStr">
        <is>
          <t>Share repurchases ($)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25" t="n">
        <v>444001</v>
      </c>
      <c r="F28" s="25" t="n">
        <v>558652</v>
      </c>
      <c r="G28" s="25" t="n">
        <v>1636879</v>
      </c>
      <c r="H28" s="25" t="n">
        <v>1178349</v>
      </c>
      <c r="I28" s="26" t="n">
        <v>500000</v>
      </c>
      <c r="J28" s="26" t="n">
        <v>500000</v>
      </c>
      <c r="K28" s="26" t="n">
        <v>500000</v>
      </c>
      <c r="L28" s="26" t="n">
        <v>500000</v>
      </c>
      <c r="M28" s="26" t="n">
        <v>500000</v>
      </c>
    </row>
    <row r="29" ht="28" customHeight="1">
      <c r="A29" s="19" t="inlineStr">
        <is>
          <t>Avg repurchase price ($/sh)</t>
        </is>
      </c>
      <c r="B29" s="20" t="inlineStr">
        <is>
          <t>FY26 repurchase price $100 matches the current quote; path $100→$130 is a recovery assumption (FY25 10-K paid $168–$199).</t>
        </is>
      </c>
      <c r="C29" s="21" t="inlineStr">
        <is>
          <t>NASDAQ LULU last sale (current price)</t>
        </is>
      </c>
      <c r="D29" s="22" t="inlineStr">
        <is>
          <t>Ctrl+F "LULU" → Last Sale / Previous Close (~$100). FY26 model repurchase price starts at $100.</t>
        </is>
      </c>
      <c r="I29" s="28" t="n">
        <v>100</v>
      </c>
      <c r="J29" s="28" t="n">
        <v>108</v>
      </c>
      <c r="K29" s="28" t="n">
        <v>115</v>
      </c>
      <c r="L29" s="28" t="n">
        <v>122</v>
      </c>
      <c r="M29" s="28" t="n">
        <v>130</v>
      </c>
    </row>
    <row r="31">
      <c r="A31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8" r:id="rId25"/>
    <hyperlink xmlns:r="http://schemas.openxmlformats.org/officeDocument/2006/relationships" ref="C29" r:id="rId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28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28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28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28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28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28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28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42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H16-'Assumptions'!I28/'Assumptions'!I29</f>
        <v/>
      </c>
      <c r="J16" s="26">
        <f>I16-'Assumptions'!J28/'Assumptions'!J29</f>
        <v/>
      </c>
      <c r="K16" s="26">
        <f>J16-'Assumptions'!K28/'Assumptions'!K29</f>
        <v/>
      </c>
      <c r="L16" s="26">
        <f>K16-'Assumptions'!L28/'Assumptions'!L29</f>
        <v/>
      </c>
      <c r="M16" s="26">
        <f>L16-'Assumptions'!M28/'Assumptions'!M29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28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2" t="n">
        <v>1447367</v>
      </c>
      <c r="F7" s="32" t="n">
        <v>1323602</v>
      </c>
      <c r="G7" s="32" t="n">
        <v>1442081</v>
      </c>
      <c r="H7" s="32" t="n">
        <v>1700753</v>
      </c>
      <c r="I7" s="26">
        <f>'Income Statement'!I5*'Assumptions'!I17</f>
        <v/>
      </c>
      <c r="J7" s="26">
        <f>'Income Statement'!J5*'Assumptions'!J17</f>
        <v/>
      </c>
      <c r="K7" s="26">
        <f>'Income Statement'!K5*'Assumptions'!K17</f>
        <v/>
      </c>
      <c r="L7" s="26">
        <f>'Income Statement'!L5*'Assumptions'!L17</f>
        <v/>
      </c>
      <c r="M7" s="26">
        <f>'Income Statement'!M5*'Assumptions'!M17</f>
        <v/>
      </c>
    </row>
    <row r="8" ht="28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Statement'!I4*'Assumptions'!I20</f>
        <v/>
      </c>
      <c r="J8" s="26">
        <f>'Income Statement'!J4*'Assumptions'!J20</f>
        <v/>
      </c>
      <c r="K8" s="26">
        <f>'Income Statement'!K4*'Assumptions'!K20</f>
        <v/>
      </c>
      <c r="L8" s="26">
        <f>'Income Statement'!L4*'Assumptions'!L20</f>
        <v/>
      </c>
      <c r="M8" s="26">
        <f>'Income Statement'!M4*'Assumptions'!M20</f>
        <v/>
      </c>
    </row>
    <row r="9">
      <c r="A9" s="33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4">
        <f>I6+I7+I8</f>
        <v/>
      </c>
      <c r="J9" s="34">
        <f>J6+J7+J8</f>
        <v/>
      </c>
      <c r="K9" s="34">
        <f>K6+K7+K8</f>
        <v/>
      </c>
      <c r="L9" s="34">
        <f>L6+L7+L8</f>
        <v/>
      </c>
      <c r="M9" s="34">
        <f>M6+M7+M8</f>
        <v/>
      </c>
    </row>
    <row r="10">
      <c r="A10" s="42" t="inlineStr">
        <is>
          <t>Non-current assets:</t>
        </is>
      </c>
    </row>
    <row r="11" ht="150" customHeight="1">
      <c r="A11" s="19" t="inlineStr">
        <is>
          <t>Property &amp; equipment, net</t>
        </is>
      </c>
      <c r="B11" s="20" t="inlineStr">
        <is>
          <t>FY26 7.0% is $735M / $10.4B, not / FY25 $11.1B. Since 7.0% steps toward FY25 6.1%, we assume a fade: 7.0 / 6.0 / 5.5 / 5.0 / 5.0.</t>
        </is>
      </c>
      <c r="C11" s="21" t="inlineStr">
        <is>
          <t>LULU CF statement (10-K)</t>
        </is>
      </c>
      <c r="D11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1" s="32" t="n">
        <v>1269614</v>
      </c>
      <c r="F11" s="32" t="n">
        <v>1545811</v>
      </c>
      <c r="G11" s="32" t="n">
        <v>1780617</v>
      </c>
      <c r="H11" s="32" t="n">
        <v>2033720</v>
      </c>
      <c r="I11" s="26">
        <f>H11+'Income Statement'!I4*'Assumptions'!I14-'Income Statement'!I4*'Assumptions'!I13</f>
        <v/>
      </c>
      <c r="J11" s="26">
        <f>I11+'Income Statement'!J4*'Assumptions'!J14-'Income Statement'!J4*'Assumptions'!J13</f>
        <v/>
      </c>
      <c r="K11" s="26">
        <f>J11+'Income Statement'!K4*'Assumptions'!K14-'Income Statement'!K4*'Assumptions'!K13</f>
        <v/>
      </c>
      <c r="L11" s="26">
        <f>K11+'Income Statement'!L4*'Assumptions'!L14-'Income Statement'!L4*'Assumptions'!L13</f>
        <v/>
      </c>
      <c r="M11" s="26">
        <f>L11+'Income Statement'!M4*'Assumptions'!M14-'Income Statement'!M4*'Assumptions'!M13</f>
        <v/>
      </c>
    </row>
    <row r="12" ht="28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2" t="n">
        <v>969419</v>
      </c>
      <c r="F12" s="32" t="n">
        <v>1265610</v>
      </c>
      <c r="G12" s="32" t="n">
        <v>1416256</v>
      </c>
      <c r="H12" s="32" t="n">
        <v>1630181</v>
      </c>
      <c r="I12" s="26">
        <f>'Income Statement'!I4*'Assumptions'!I21</f>
        <v/>
      </c>
      <c r="J12" s="26">
        <f>'Income Statement'!J4*'Assumptions'!J21</f>
        <v/>
      </c>
      <c r="K12" s="26">
        <f>'Income Statement'!K4*'Assumptions'!K21</f>
        <v/>
      </c>
      <c r="L12" s="26">
        <f>'Income Statement'!L4*'Assumptions'!L21</f>
        <v/>
      </c>
      <c r="M12" s="26">
        <f>'Income Statement'!M4*'Assumptions'!M21</f>
        <v/>
      </c>
    </row>
    <row r="13">
      <c r="A13" s="19" t="inlineStr">
        <is>
          <t>Goodwill &amp; intangible assets</t>
        </is>
      </c>
      <c r="E13" s="32" t="n">
        <v>46105</v>
      </c>
      <c r="F13" s="32" t="n">
        <v>24083</v>
      </c>
      <c r="G13" s="32" t="n">
        <v>171191</v>
      </c>
      <c r="H13" s="32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28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Statement'!I4*'Assumptions'!I22</f>
        <v/>
      </c>
      <c r="J14" s="26">
        <f>'Income Statement'!J4*'Assumptions'!J22</f>
        <v/>
      </c>
      <c r="K14" s="26">
        <f>'Income Statement'!K4*'Assumptions'!K22</f>
        <v/>
      </c>
      <c r="L14" s="26">
        <f>'Income Statement'!L4*'Assumptions'!L22</f>
        <v/>
      </c>
      <c r="M14" s="26">
        <f>'Income Statement'!M4*'Assumptions'!M22</f>
        <v/>
      </c>
    </row>
    <row r="15">
      <c r="A15" s="33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5">
        <f>I9+I11+I12+I13+I14</f>
        <v/>
      </c>
      <c r="J15" s="35">
        <f>J9+J11+J12+J13+J14</f>
        <v/>
      </c>
      <c r="K15" s="35">
        <f>K9+K11+K12+K13+K14</f>
        <v/>
      </c>
      <c r="L15" s="35">
        <f>L9+L11+L12+L13+L14</f>
        <v/>
      </c>
      <c r="M15" s="35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28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2" t="n">
        <v>172732</v>
      </c>
      <c r="F19" s="32" t="n">
        <v>348441</v>
      </c>
      <c r="G19" s="32" t="n">
        <v>271406</v>
      </c>
      <c r="H19" s="32" t="n">
        <v>331421</v>
      </c>
      <c r="I19" s="26">
        <f>'Income Statement'!I5*'Assumptions'!I18</f>
        <v/>
      </c>
      <c r="J19" s="26">
        <f>'Income Statement'!J5*'Assumptions'!J18</f>
        <v/>
      </c>
      <c r="K19" s="26">
        <f>'Income Statement'!K5*'Assumptions'!K18</f>
        <v/>
      </c>
      <c r="L19" s="26">
        <f>'Income Statement'!L5*'Assumptions'!L18</f>
        <v/>
      </c>
      <c r="M19" s="26">
        <f>'Income Statement'!M5*'Assumptions'!M18</f>
        <v/>
      </c>
    </row>
    <row r="20" ht="28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2" t="n">
        <v>399223</v>
      </c>
      <c r="F20" s="32" t="n">
        <v>348555</v>
      </c>
      <c r="G20" s="32" t="n">
        <v>559463</v>
      </c>
      <c r="H20" s="32" t="n">
        <v>662982</v>
      </c>
      <c r="I20" s="26">
        <f>'Income Statement'!I4*'Assumptions'!I19</f>
        <v/>
      </c>
      <c r="J20" s="26">
        <f>'Income Statement'!J4*'Assumptions'!J19</f>
        <v/>
      </c>
      <c r="K20" s="26">
        <f>'Income Statement'!K4*'Assumptions'!K19</f>
        <v/>
      </c>
      <c r="L20" s="26">
        <f>'Income Statement'!L4*'Assumptions'!L19</f>
        <v/>
      </c>
      <c r="M20" s="26">
        <f>'Income Statement'!M4*'Assumptions'!M19</f>
        <v/>
      </c>
    </row>
    <row r="21" ht="28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2" t="n">
        <v>207972</v>
      </c>
      <c r="F21" s="32" t="n">
        <v>249270</v>
      </c>
      <c r="G21" s="32" t="n">
        <v>275154</v>
      </c>
      <c r="H21" s="32" t="n">
        <v>298724</v>
      </c>
      <c r="I21" s="26">
        <f>'Income Statement'!I4*'Assumptions'!I23</f>
        <v/>
      </c>
      <c r="J21" s="26">
        <f>'Income Statement'!J4*'Assumptions'!J23</f>
        <v/>
      </c>
      <c r="K21" s="26">
        <f>'Income Statement'!K4*'Assumptions'!K23</f>
        <v/>
      </c>
      <c r="L21" s="26">
        <f>'Income Statement'!L4*'Assumptions'!L23</f>
        <v/>
      </c>
      <c r="M21" s="26">
        <f>'Income Statement'!M4*'Assumptions'!M23</f>
        <v/>
      </c>
    </row>
    <row r="22" ht="28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Statement'!I4*'Assumptions'!I25</f>
        <v/>
      </c>
      <c r="J22" s="26">
        <f>'Income Statement'!J4*'Assumptions'!J25</f>
        <v/>
      </c>
      <c r="K22" s="26">
        <f>'Income Statement'!K4*'Assumptions'!K25</f>
        <v/>
      </c>
      <c r="L22" s="26">
        <f>'Income Statement'!L4*'Assumptions'!L25</f>
        <v/>
      </c>
      <c r="M22" s="26">
        <f>'Income Statement'!M4*'Assumptions'!M25</f>
        <v/>
      </c>
    </row>
    <row r="23">
      <c r="A23" s="33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4">
        <f>I19+I20+I21+I22</f>
        <v/>
      </c>
      <c r="J23" s="34">
        <f>J19+J20+J21+J22</f>
        <v/>
      </c>
      <c r="K23" s="34">
        <f>K19+K20+K21+K22</f>
        <v/>
      </c>
      <c r="L23" s="34">
        <f>L19+L20+L21+L22</f>
        <v/>
      </c>
      <c r="M23" s="34">
        <f>M19+M20+M21+M22</f>
        <v/>
      </c>
    </row>
    <row r="24">
      <c r="A24" s="42" t="inlineStr">
        <is>
          <t>Non-current liabilities:</t>
        </is>
      </c>
    </row>
    <row r="25" ht="28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2" t="n">
        <v>862362</v>
      </c>
      <c r="F25" s="32" t="n">
        <v>1154012</v>
      </c>
      <c r="G25" s="32" t="n">
        <v>1300637</v>
      </c>
      <c r="H25" s="32" t="n">
        <v>1499717</v>
      </c>
      <c r="I25" s="26">
        <f>'Income Statement'!I4*'Assumptions'!I24</f>
        <v/>
      </c>
      <c r="J25" s="26">
        <f>'Income Statement'!J4*'Assumptions'!J24</f>
        <v/>
      </c>
      <c r="K25" s="26">
        <f>'Income Statement'!K4*'Assumptions'!K24</f>
        <v/>
      </c>
      <c r="L25" s="26">
        <f>'Income Statement'!L4*'Assumptions'!L24</f>
        <v/>
      </c>
      <c r="M25" s="26">
        <f>'Income Statement'!M4*'Assumptions'!M24</f>
        <v/>
      </c>
    </row>
    <row r="26">
      <c r="A26" s="19" t="inlineStr">
        <is>
          <t>Deferred income taxes</t>
        </is>
      </c>
      <c r="E26" s="32" t="n">
        <v>55084</v>
      </c>
      <c r="F26" s="32" t="n">
        <v>29522</v>
      </c>
      <c r="G26" s="32" t="n">
        <v>98188</v>
      </c>
      <c r="H26" s="32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28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Statement'!I4*'Assumptions'!I26</f>
        <v/>
      </c>
      <c r="J27" s="26">
        <f>'Income Statement'!J4*'Assumptions'!J26</f>
        <v/>
      </c>
      <c r="K27" s="26">
        <f>'Income Statement'!K4*'Assumptions'!K26</f>
        <v/>
      </c>
      <c r="L27" s="26">
        <f>'Income Statement'!L4*'Assumptions'!L26</f>
        <v/>
      </c>
      <c r="M27" s="26">
        <f>'Income Statement'!M4*'Assumptions'!M26</f>
        <v/>
      </c>
    </row>
    <row r="28">
      <c r="A28" s="33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4">
        <f>I23+I25+I26+I27</f>
        <v/>
      </c>
      <c r="J28" s="34">
        <f>J23+J25+J26+J27</f>
        <v/>
      </c>
      <c r="K28" s="34">
        <f>K23+K25+K26+K27</f>
        <v/>
      </c>
      <c r="L28" s="34">
        <f>L23+L25+L26+L27</f>
        <v/>
      </c>
      <c r="M28" s="34">
        <f>M23+M25+M26+M27</f>
        <v/>
      </c>
    </row>
    <row r="30">
      <c r="A30" s="42" t="inlineStr">
        <is>
          <t>Shareholders' equity:</t>
        </is>
      </c>
    </row>
    <row r="31" ht="28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2" t="n">
        <v>475256</v>
      </c>
      <c r="F31" s="32" t="n">
        <v>575975</v>
      </c>
      <c r="G31" s="32" t="n">
        <v>638771</v>
      </c>
      <c r="H31" s="32" t="n">
        <v>669949</v>
      </c>
      <c r="I31" s="26">
        <f>H31+'Assumptions'!I15</f>
        <v/>
      </c>
      <c r="J31" s="26">
        <f>I31+'Assumptions'!J15</f>
        <v/>
      </c>
      <c r="K31" s="26">
        <f>J31+'Assumptions'!K15</f>
        <v/>
      </c>
      <c r="L31" s="26">
        <f>K31+'Assumptions'!L15</f>
        <v/>
      </c>
      <c r="M31" s="26">
        <f>L31+'Assumptions'!M15</f>
        <v/>
      </c>
    </row>
    <row r="32" ht="28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2" t="n">
        <v>2926127</v>
      </c>
      <c r="F32" s="32" t="n">
        <v>3920362</v>
      </c>
      <c r="G32" s="32" t="n">
        <v>4109717</v>
      </c>
      <c r="H32" s="32" t="n">
        <v>4522581</v>
      </c>
      <c r="I32" s="26">
        <f>H32+'Income Statement'!I14-'Assumptions'!I28</f>
        <v/>
      </c>
      <c r="J32" s="26">
        <f>I32+'Income Statement'!J14-'Assumptions'!J28</f>
        <v/>
      </c>
      <c r="K32" s="26">
        <f>J32+'Income Statement'!K14-'Assumptions'!K28</f>
        <v/>
      </c>
      <c r="L32" s="26">
        <f>K32+'Income Statement'!L14-'Assumptions'!L28</f>
        <v/>
      </c>
      <c r="M32" s="26">
        <f>L32+'Income Statement'!M14-'Assumptions'!M28</f>
        <v/>
      </c>
    </row>
    <row r="33">
      <c r="A33" s="19" t="inlineStr">
        <is>
          <t>Accumulated other comprehensive loss</t>
        </is>
      </c>
      <c r="E33" s="32" t="n">
        <v>-252584</v>
      </c>
      <c r="F33" s="32" t="n">
        <v>-264256</v>
      </c>
      <c r="G33" s="32" t="n">
        <v>-424441</v>
      </c>
      <c r="H33" s="32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3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4">
        <f>I31+I32+I33</f>
        <v/>
      </c>
      <c r="J34" s="34">
        <f>J31+J32+J33</f>
        <v/>
      </c>
      <c r="K34" s="34">
        <f>K31+K32+K33</f>
        <v/>
      </c>
      <c r="L34" s="34">
        <f>L31+L32+L33</f>
        <v/>
      </c>
      <c r="M34" s="34">
        <f>M31+M32+M33</f>
        <v/>
      </c>
    </row>
    <row r="35">
      <c r="A35" s="33" t="inlineStr">
        <is>
          <t>TOTAL LIABILITIES &amp; EQUITY</t>
        </is>
      </c>
      <c r="E35" s="35">
        <f>E28+E34</f>
        <v/>
      </c>
      <c r="F35" s="35">
        <f>F28+F34</f>
        <v/>
      </c>
      <c r="G35" s="35">
        <f>G28+G34</f>
        <v/>
      </c>
      <c r="H35" s="35">
        <f>H28+H34</f>
        <v/>
      </c>
      <c r="I35" s="35">
        <f>I28+I34</f>
        <v/>
      </c>
      <c r="J35" s="35">
        <f>J28+J34</f>
        <v/>
      </c>
      <c r="K35" s="35">
        <f>K28+K34</f>
        <v/>
      </c>
      <c r="L35" s="35">
        <f>L28+L34</f>
        <v/>
      </c>
      <c r="M35" s="35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28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28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28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28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28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28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28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28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28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28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3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4">
        <f>I5+I6+I7+SUM(I8:I17)</f>
        <v/>
      </c>
      <c r="J19" s="34">
        <f>J5+J6+J7+SUM(J8:J17)</f>
        <v/>
      </c>
      <c r="K19" s="34">
        <f>K5+K6+K7+SUM(K8:K17)</f>
        <v/>
      </c>
      <c r="L19" s="34">
        <f>L5+L6+L7+SUM(L8:L17)</f>
        <v/>
      </c>
      <c r="M19" s="34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150" customHeight="1">
      <c r="A22" s="19" t="inlineStr">
        <is>
          <t>Capital expenditures</t>
        </is>
      </c>
      <c r="B22" s="20" t="inlineStr">
        <is>
          <t>FY26 7.0% is $735M / $10.4B, not / FY25 $11.1B. Since 7.0% steps toward FY25 6.1%, we assume a fade: 7.0 / 6.0 / 5.5 / 5.0 / 5.0.</t>
        </is>
      </c>
      <c r="C22" s="21" t="inlineStr">
        <is>
          <t>LULU CF statement (10-K)</t>
        </is>
      </c>
      <c r="D22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2" s="32" t="n">
        <v>-638657</v>
      </c>
      <c r="F22" s="32" t="n">
        <v>-651865</v>
      </c>
      <c r="G22" s="32" t="n">
        <v>-689232</v>
      </c>
      <c r="H22" s="32" t="n">
        <v>-680802</v>
      </c>
      <c r="I22" s="26">
        <f>-'Income Statement'!I4*'Assumptions'!I14</f>
        <v/>
      </c>
      <c r="J22" s="26">
        <f>-'Income Statement'!J4*'Assumptions'!J14</f>
        <v/>
      </c>
      <c r="K22" s="26">
        <f>-'Income Statement'!K4*'Assumptions'!K14</f>
        <v/>
      </c>
      <c r="L22" s="26">
        <f>-'Income Statement'!L4*'Assumptions'!L14</f>
        <v/>
      </c>
      <c r="M22" s="26">
        <f>-'Income Statement'!M4*'Assumptions'!M14</f>
        <v/>
      </c>
    </row>
    <row r="23">
      <c r="A23" s="33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4">
        <f>I22</f>
        <v/>
      </c>
      <c r="J23" s="34">
        <f>J22</f>
        <v/>
      </c>
      <c r="K23" s="34">
        <f>K22</f>
        <v/>
      </c>
      <c r="L23" s="34">
        <f>L22</f>
        <v/>
      </c>
      <c r="M23" s="34">
        <f>M22</f>
        <v/>
      </c>
    </row>
    <row r="24">
      <c r="A24" s="29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28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2" t="n">
        <v>-444001</v>
      </c>
      <c r="F27" s="32" t="n">
        <v>-558652</v>
      </c>
      <c r="G27" s="32" t="n">
        <v>-1636879</v>
      </c>
      <c r="H27" s="32" t="n">
        <v>-1178349</v>
      </c>
      <c r="I27" s="26">
        <f>-'Assumptions'!I28</f>
        <v/>
      </c>
      <c r="J27" s="26">
        <f>-'Assumptions'!J28</f>
        <v/>
      </c>
      <c r="K27" s="26">
        <f>-'Assumptions'!K28</f>
        <v/>
      </c>
      <c r="L27" s="26">
        <f>-'Assumptions'!L28</f>
        <v/>
      </c>
      <c r="M27" s="26">
        <f>-'Assumptions'!M28</f>
        <v/>
      </c>
    </row>
    <row r="28">
      <c r="A28" s="33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4">
        <f>I27</f>
        <v/>
      </c>
      <c r="J28" s="34">
        <f>J27</f>
        <v/>
      </c>
      <c r="K28" s="34">
        <f>K27</f>
        <v/>
      </c>
      <c r="L28" s="34">
        <f>L27</f>
        <v/>
      </c>
      <c r="M28" s="34">
        <f>M27</f>
        <v/>
      </c>
    </row>
    <row r="29">
      <c r="A29" s="29" t="inlineStr">
        <is>
          <t xml:space="preserve">  (Projections: financing ≈ buybacks; SBC non-cash in equity)</t>
        </is>
      </c>
    </row>
    <row r="31">
      <c r="A31" s="33" t="inlineStr">
        <is>
          <t>Net change in cash</t>
        </is>
      </c>
      <c r="E31" s="34">
        <f>E19+E23+E28</f>
        <v/>
      </c>
      <c r="F31" s="34">
        <f>F19+F23+F28</f>
        <v/>
      </c>
      <c r="G31" s="34">
        <f>G19+G23+G28</f>
        <v/>
      </c>
      <c r="H31" s="34">
        <f>H19+H23+H28</f>
        <v/>
      </c>
      <c r="I31" s="34">
        <f>I19+I23+I28</f>
        <v/>
      </c>
      <c r="J31" s="34">
        <f>J19+J23+J28</f>
        <v/>
      </c>
      <c r="K31" s="34">
        <f>K19+K23+K28</f>
        <v/>
      </c>
      <c r="L31" s="34">
        <f>L19+L23+L28</f>
        <v/>
      </c>
      <c r="M31" s="34">
        <f>M19+M23+M28</f>
        <v/>
      </c>
    </row>
    <row r="32">
      <c r="A32" s="19" t="inlineStr">
        <is>
          <t>Cash, beginning of year</t>
        </is>
      </c>
      <c r="E32" s="32" t="n">
        <v>1150517</v>
      </c>
      <c r="F32" s="32" t="n">
        <v>1154867</v>
      </c>
      <c r="G32" s="32" t="n">
        <v>2243971</v>
      </c>
      <c r="H32" s="32" t="n">
        <v>1984336</v>
      </c>
      <c r="I32" s="25">
        <f>H33</f>
        <v/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3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5">
        <f>I32+I31</f>
        <v/>
      </c>
      <c r="J33" s="35">
        <f>J32+J31</f>
        <v/>
      </c>
      <c r="K33" s="35">
        <f>K32+K31</f>
        <v/>
      </c>
      <c r="L33" s="35">
        <f>L32+L31</f>
        <v/>
      </c>
      <c r="M33" s="35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2026-09-06T21:38:46Z</dcterms:created>
  <dcterms:modified xmlns:dcterms="http://purl.org/dc/terms/" xmlns:xsi="http://www.w3.org/2001/XMLSchema-instance" xsi:type="dcterms:W3CDTF">2026-09-06T21:38:46Z</dcterms:modified>
</cp:coreProperties>
</file>
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36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36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36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36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36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54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Ctrl+F "680,802" → FY25 6.1%. Ctrl+F "$725.0 million and $745.0 million" → FY26 $735M / $10.4B = 7.0%. Since 7.0% steps toward FY25 6.1%, we assume a fade: 7.0 / 6.0 / 5.5 / 5.0 / 5.0.
Also: Ctrl+F "$10.350 billion to $10.500 billion" → FY26 net revenue guide (one hit). Mid $10.425B. That is the $10B year vs FY25 $11.1B. 7.0% capex uses this $10.4B denominator.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36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36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36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36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36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36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36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36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36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36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36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36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36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8" t="n">
        <v>100</v>
      </c>
      <c r="J29" s="28" t="n">
        <v>108</v>
      </c>
      <c r="K29" s="28" t="n">
        <v>115</v>
      </c>
      <c r="L29" s="28" t="n">
        <v>122</v>
      </c>
      <c r="M29" s="28" t="n">
        <v>130</v>
      </c>
    </row>
    <row r="31">
      <c r="A31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36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36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36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36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36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54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2" t="n">
        <v>1447367</v>
      </c>
      <c r="F7" s="32" t="n">
        <v>1323602</v>
      </c>
      <c r="G7" s="32" t="n">
        <v>1442081</v>
      </c>
      <c r="H7" s="32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3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4">
        <f>I6+I7+I8</f>
        <v/>
      </c>
      <c r="J9" s="34">
        <f>J6+J7+J8</f>
        <v/>
      </c>
      <c r="K9" s="34">
        <f>K6+K7+K8</f>
        <v/>
      </c>
      <c r="L9" s="34">
        <f>L6+L7+L8</f>
        <v/>
      </c>
      <c r="M9" s="34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7.0% is $735M / $10.4B, not / FY25 $11.1B. Since 7.0% steps toward FY25 6.1%, we assume a fade: 7.0 / 6.0 / 5.5 / 5.0 / 5.0.</t>
        </is>
      </c>
      <c r="C11" s="21" t="inlineStr">
        <is>
          <t>LULU CF statement (10-K)</t>
        </is>
      </c>
      <c r="D11" s="22" t="inlineStr">
        <is>
          <t>Ctrl+F "680,802" → FY25 6.1%. Ctrl+F "$725.0 million and $745.0 million" → FY26 $735M / $10.4B = 7.0%. Since 7.0% steps toward FY25 6.1%, we assume a fade: 7.0 / 6.0 / 5.5 / 5.0 / 5.0.</t>
        </is>
      </c>
      <c r="E11" s="32" t="n">
        <v>1269614</v>
      </c>
      <c r="F11" s="32" t="n">
        <v>1545811</v>
      </c>
      <c r="G11" s="32" t="n">
        <v>1780617</v>
      </c>
      <c r="H11" s="32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2" t="n">
        <v>969419</v>
      </c>
      <c r="F12" s="32" t="n">
        <v>1265610</v>
      </c>
      <c r="G12" s="32" t="n">
        <v>1416256</v>
      </c>
      <c r="H12" s="32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2" t="n">
        <v>46105</v>
      </c>
      <c r="F13" s="32" t="n">
        <v>24083</v>
      </c>
      <c r="G13" s="32" t="n">
        <v>171191</v>
      </c>
      <c r="H13" s="32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3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5">
        <f>I9+I11+I12+I13+I14</f>
        <v/>
      </c>
      <c r="J15" s="35">
        <f>J9+J11+J12+J13+J14</f>
        <v/>
      </c>
      <c r="K15" s="35">
        <f>K9+K11+K12+K13+K14</f>
        <v/>
      </c>
      <c r="L15" s="35">
        <f>L9+L11+L12+L13+L14</f>
        <v/>
      </c>
      <c r="M15" s="35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2" t="n">
        <v>172732</v>
      </c>
      <c r="F19" s="32" t="n">
        <v>348441</v>
      </c>
      <c r="G19" s="32" t="n">
        <v>271406</v>
      </c>
      <c r="H19" s="32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2" t="n">
        <v>399223</v>
      </c>
      <c r="F20" s="32" t="n">
        <v>348555</v>
      </c>
      <c r="G20" s="32" t="n">
        <v>559463</v>
      </c>
      <c r="H20" s="32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2" t="n">
        <v>207972</v>
      </c>
      <c r="F21" s="32" t="n">
        <v>249270</v>
      </c>
      <c r="G21" s="32" t="n">
        <v>275154</v>
      </c>
      <c r="H21" s="32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3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4">
        <f>I19+I20+I21+I22</f>
        <v/>
      </c>
      <c r="J23" s="34">
        <f>J19+J20+J21+J22</f>
        <v/>
      </c>
      <c r="K23" s="34">
        <f>K19+K20+K21+K22</f>
        <v/>
      </c>
      <c r="L23" s="34">
        <f>L19+L20+L21+L22</f>
        <v/>
      </c>
      <c r="M23" s="34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2" t="n">
        <v>862362</v>
      </c>
      <c r="F25" s="32" t="n">
        <v>1154012</v>
      </c>
      <c r="G25" s="32" t="n">
        <v>1300637</v>
      </c>
      <c r="H25" s="32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2" t="n">
        <v>55084</v>
      </c>
      <c r="F26" s="32" t="n">
        <v>29522</v>
      </c>
      <c r="G26" s="32" t="n">
        <v>98188</v>
      </c>
      <c r="H26" s="32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3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4">
        <f>I23+I25+I26+I27</f>
        <v/>
      </c>
      <c r="J28" s="34">
        <f>J23+J25+J26+J27</f>
        <v/>
      </c>
      <c r="K28" s="34">
        <f>K23+K25+K26+K27</f>
        <v/>
      </c>
      <c r="L28" s="34">
        <f>L23+L25+L26+L27</f>
        <v/>
      </c>
      <c r="M28" s="34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2" t="n">
        <v>475256</v>
      </c>
      <c r="F31" s="32" t="n">
        <v>575975</v>
      </c>
      <c r="G31" s="32" t="n">
        <v>638771</v>
      </c>
      <c r="H31" s="32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2" t="n">
        <v>2926127</v>
      </c>
      <c r="F32" s="32" t="n">
        <v>3920362</v>
      </c>
      <c r="G32" s="32" t="n">
        <v>4109717</v>
      </c>
      <c r="H32" s="32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2" t="n">
        <v>-252584</v>
      </c>
      <c r="F33" s="32" t="n">
        <v>-264256</v>
      </c>
      <c r="G33" s="32" t="n">
        <v>-424441</v>
      </c>
      <c r="H33" s="32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3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4">
        <f>I31+I32+I33</f>
        <v/>
      </c>
      <c r="J34" s="34">
        <f>J31+J32+J33</f>
        <v/>
      </c>
      <c r="K34" s="34">
        <f>K31+K32+K33</f>
        <v/>
      </c>
      <c r="L34" s="34">
        <f>L31+L32+L33</f>
        <v/>
      </c>
      <c r="M34" s="34">
        <f>M31+M32+M33</f>
        <v/>
      </c>
    </row>
    <row r="35">
      <c r="A35" s="33" t="inlineStr">
        <is>
          <t>TOTAL LIABILITIES &amp; EQUITY</t>
        </is>
      </c>
      <c r="E35" s="35">
        <f>E28+E34</f>
        <v/>
      </c>
      <c r="F35" s="35">
        <f>F28+F34</f>
        <v/>
      </c>
      <c r="G35" s="35">
        <f>G28+G34</f>
        <v/>
      </c>
      <c r="H35" s="35">
        <f>H28+H34</f>
        <v/>
      </c>
      <c r="I35" s="35">
        <f>I28+I34</f>
        <v/>
      </c>
      <c r="J35" s="35">
        <f>J28+J34</f>
        <v/>
      </c>
      <c r="K35" s="35">
        <f>K28+K34</f>
        <v/>
      </c>
      <c r="L35" s="35">
        <f>L28+L34</f>
        <v/>
      </c>
      <c r="M35" s="35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3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4">
        <f>I5+I6+I7+SUM(I8:I17)</f>
        <v/>
      </c>
      <c r="J19" s="34">
        <f>J5+J6+J7+SUM(J8:J17)</f>
        <v/>
      </c>
      <c r="K19" s="34">
        <f>K5+K6+K7+SUM(K8:K17)</f>
        <v/>
      </c>
      <c r="L19" s="34">
        <f>L5+L6+L7+SUM(L8:L17)</f>
        <v/>
      </c>
      <c r="M19" s="34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7.0% is $735M / $10.4B, not / FY25 $11.1B. Since 7.0% steps toward FY25 6.1%, we assume a fade: 7.0 / 6.0 / 5.5 / 5.0 / 5.0.</t>
        </is>
      </c>
      <c r="C22" s="21" t="inlineStr">
        <is>
          <t>LULU CF statement (10-K)</t>
        </is>
      </c>
      <c r="D22" s="22" t="inlineStr">
        <is>
          <t>Ctrl+F "680,802" → FY25 6.1%. Ctrl+F "$725.0 million and $745.0 million" → FY26 $735M / $10.4B = 7.0%. Since 7.0% steps toward FY25 6.1%, we assume a fade: 7.0 / 6.0 / 5.5 / 5.0 / 5.0.</t>
        </is>
      </c>
      <c r="E22" s="32" t="n">
        <v>-638657</v>
      </c>
      <c r="F22" s="32" t="n">
        <v>-651865</v>
      </c>
      <c r="G22" s="32" t="n">
        <v>-689232</v>
      </c>
      <c r="H22" s="32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3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4">
        <f>I22</f>
        <v/>
      </c>
      <c r="J23" s="34">
        <f>J22</f>
        <v/>
      </c>
      <c r="K23" s="34">
        <f>K22</f>
        <v/>
      </c>
      <c r="L23" s="34">
        <f>L22</f>
        <v/>
      </c>
      <c r="M23" s="34">
        <f>M22</f>
        <v/>
      </c>
    </row>
    <row r="24">
      <c r="A24" s="29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2" t="n">
        <v>-444001</v>
      </c>
      <c r="F27" s="32" t="n">
        <v>-558652</v>
      </c>
      <c r="G27" s="32" t="n">
        <v>-1636879</v>
      </c>
      <c r="H27" s="32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3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4">
        <f>I27</f>
        <v/>
      </c>
      <c r="J28" s="34">
        <f>J27</f>
        <v/>
      </c>
      <c r="K28" s="34">
        <f>K27</f>
        <v/>
      </c>
      <c r="L28" s="34">
        <f>L27</f>
        <v/>
      </c>
      <c r="M28" s="34">
        <f>M27</f>
        <v/>
      </c>
    </row>
    <row r="29">
      <c r="A29" s="29" t="inlineStr">
        <is>
          <t xml:space="preserve">  (Projections: financing ≈ buybacks; SBC non-cash in equity)</t>
        </is>
      </c>
    </row>
    <row r="31">
      <c r="A31" s="33" t="inlineStr">
        <is>
          <t>Net change in cash</t>
        </is>
      </c>
      <c r="E31" s="34">
        <f>E19+E23+E28</f>
        <v/>
      </c>
      <c r="F31" s="34">
        <f>F19+F23+F28</f>
        <v/>
      </c>
      <c r="G31" s="34">
        <f>G19+G23+G28</f>
        <v/>
      </c>
      <c r="H31" s="34">
        <f>H19+H23+H28</f>
        <v/>
      </c>
      <c r="I31" s="34">
        <f>I19+I23+I28</f>
        <v/>
      </c>
      <c r="J31" s="34">
        <f>J19+J23+J28</f>
        <v/>
      </c>
      <c r="K31" s="34">
        <f>K19+K23+K28</f>
        <v/>
      </c>
      <c r="L31" s="34">
        <f>L19+L23+L28</f>
        <v/>
      </c>
      <c r="M31" s="34">
        <f>M19+M23+M28</f>
        <v/>
      </c>
    </row>
    <row r="32">
      <c r="A32" s="19" t="inlineStr">
        <is>
          <t>Cash, beginning of year</t>
        </is>
      </c>
      <c r="E32" s="32" t="n">
        <v>1150517</v>
      </c>
      <c r="F32" s="32" t="n">
        <v>1154867</v>
      </c>
      <c r="G32" s="32" t="n">
        <v>2243971</v>
      </c>
      <c r="H32" s="32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3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5">
        <f>I32+I31</f>
        <v/>
      </c>
      <c r="J33" s="35">
        <f>J32+J31</f>
        <v/>
      </c>
      <c r="K33" s="35">
        <f>K32+K31</f>
        <v/>
      </c>
      <c r="L33" s="35">
        <f>L32+L31</f>
        <v/>
      </c>
      <c r="M33" s="35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2026-09-06T21:33:19Z</dcterms:created>
  <dcterms:modified xmlns:dcterms="http://purl.org/dc/terms/" xmlns:xsi="http://www.w3.org/2001/XMLSchema-instance" xsi:type="dcterms:W3CDTF">2026-09-06T21:33:19Z</dcterms:modified>
</cp:coreProperties>
</file>
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3-000012&amp;xbrl_type=v" TargetMode="External" Id="rId6"/><Relationship Type="http://schemas.openxmlformats.org/officeDocument/2006/relationships/hyperlink" Target="https://www.sec.gov/cgi-bin/viewer?action=view&amp;cik=1397187&amp;accession_number=0001397187-24-000010&amp;xbrl_type=v" TargetMode="External" Id="rId7"/><Relationship Type="http://schemas.openxmlformats.org/officeDocument/2006/relationships/hyperlink" Target="https://www.sec.gov/cgi-bin/viewer?action=view&amp;cik=1397187&amp;accession_number=0001397187-25-000013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3-000012&amp;xbrl_type=v" TargetMode="External" Id="rId11"/><Relationship Type="http://schemas.openxmlformats.org/officeDocument/2006/relationships/hyperlink" Target="https://www.sec.gov/cgi-bin/viewer?action=view&amp;cik=1397187&amp;accession_number=0001397187-24-000010&amp;xbrl_type=v" TargetMode="External" Id="rId12"/><Relationship Type="http://schemas.openxmlformats.org/officeDocument/2006/relationships/hyperlink" Target="https://www.sec.gov/cgi-bin/viewer?action=view&amp;cik=1397187&amp;accession_number=0001397187-25-000013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3-000012&amp;xbrl_type=v" TargetMode="External" Id="rId16"/><Relationship Type="http://schemas.openxmlformats.org/officeDocument/2006/relationships/hyperlink" Target="https://www.sec.gov/cgi-bin/viewer?action=view&amp;cik=1397187&amp;accession_number=0001397187-24-000010&amp;xbrl_type=v" TargetMode="External" Id="rId17"/><Relationship Type="http://schemas.openxmlformats.org/officeDocument/2006/relationships/hyperlink" Target="https://www.sec.gov/cgi-bin/viewer?action=view&amp;cik=1397187&amp;accession_number=0001397187-25-000013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Relationship Type="http://schemas.openxmlformats.org/officeDocument/2006/relationships/hyperlink" Target="https://www.sec.gov/cgi-bin/viewer?action=view&amp;cik=1397187&amp;accession_number=0001397187-23-000012&amp;xbrl_type=v" TargetMode="External" Id="rId26"/><Relationship Type="http://schemas.openxmlformats.org/officeDocument/2006/relationships/hyperlink" Target="https://www.sec.gov/cgi-bin/viewer?action=view&amp;cik=1397187&amp;accession_number=0001397187-24-000010&amp;xbrl_type=v" TargetMode="External" Id="rId27"/><Relationship Type="http://schemas.openxmlformats.org/officeDocument/2006/relationships/hyperlink" Target="https://www.sec.gov/cgi-bin/viewer?action=view&amp;cik=1397187&amp;accession_number=0001397187-25-000013&amp;xbrl_type=v" TargetMode="External" Id="rId28"/><Relationship Type="http://schemas.openxmlformats.org/officeDocument/2006/relationships/hyperlink" Target="https://www.sec.gov/cgi-bin/viewer?action=view&amp;cik=1397187&amp;accession_number=0001397187-26-000020&amp;xbrl_type=v" TargetMode="External" Id="rId29"/><Relationship Type="http://schemas.openxmlformats.org/officeDocument/2006/relationships/hyperlink" Target="https://www.sec.gov/cgi-bin/viewer?action=view&amp;cik=1397187&amp;accession_number=0001397187-26-000020&amp;xbrl_type=v" TargetMode="External" Id="rId30"/><Relationship Type="http://schemas.openxmlformats.org/officeDocument/2006/relationships/hyperlink" Target="https://www.sec.gov/cgi-bin/viewer?action=view&amp;cik=1397187&amp;accession_number=0001397187-23-000012&amp;xbrl_type=v" TargetMode="External" Id="rId31"/><Relationship Type="http://schemas.openxmlformats.org/officeDocument/2006/relationships/hyperlink" Target="https://www.sec.gov/cgi-bin/viewer?action=view&amp;cik=1397187&amp;accession_number=0001397187-24-000010&amp;xbrl_type=v" TargetMode="External" Id="rId32"/><Relationship Type="http://schemas.openxmlformats.org/officeDocument/2006/relationships/hyperlink" Target="https://www.sec.gov/cgi-bin/viewer?action=view&amp;cik=1397187&amp;accession_number=0001397187-25-000013&amp;xbrl_type=v" TargetMode="External" Id="rId33"/><Relationship Type="http://schemas.openxmlformats.org/officeDocument/2006/relationships/hyperlink" Target="https://www.sec.gov/cgi-bin/viewer?action=view&amp;cik=1397187&amp;accession_number=0001397187-26-000020&amp;xbrl_type=v" TargetMode="External" Id="rId34"/><Relationship Type="http://schemas.openxmlformats.org/officeDocument/2006/relationships/hyperlink" Target="https://www.sec.gov/cgi-bin/viewer?action=view&amp;cik=1397187&amp;accession_number=0001397187-26-000020&amp;xbrl_type=v" TargetMode="External" Id="rId35"/><Relationship Type="http://schemas.openxmlformats.org/officeDocument/2006/relationships/hyperlink" Target="https://www.sec.gov/cgi-bin/viewer?action=view&amp;cik=1397187&amp;accession_number=0001397187-23-000012&amp;xbrl_type=v" TargetMode="External" Id="rId36"/><Relationship Type="http://schemas.openxmlformats.org/officeDocument/2006/relationships/hyperlink" Target="https://www.sec.gov/cgi-bin/viewer?action=view&amp;cik=1397187&amp;accession_number=0001397187-24-000010&amp;xbrl_type=v" TargetMode="External" Id="rId37"/><Relationship Type="http://schemas.openxmlformats.org/officeDocument/2006/relationships/hyperlink" Target="https://www.sec.gov/cgi-bin/viewer?action=view&amp;cik=1397187&amp;accession_number=0001397187-25-000013&amp;xbrl_type=v" TargetMode="External" Id="rId38"/><Relationship Type="http://schemas.openxmlformats.org/officeDocument/2006/relationships/hyperlink" Target="https://www.sec.gov/cgi-bin/viewer?action=view&amp;cik=1397187&amp;accession_number=0001397187-26-000020&amp;xbrl_type=v" TargetMode="External" Id="rId39"/><Relationship Type="http://schemas.openxmlformats.org/officeDocument/2006/relationships/hyperlink" Target="https://www.sec.gov/cgi-bin/viewer?action=view&amp;cik=1397187&amp;accession_number=0001397187-23-000012&amp;xbrl_type=v" TargetMode="External" Id="rId40"/><Relationship Type="http://schemas.openxmlformats.org/officeDocument/2006/relationships/hyperlink" Target="https://www.sec.gov/cgi-bin/viewer?action=view&amp;cik=1397187&amp;accession_number=0001397187-24-000010&amp;xbrl_type=v" TargetMode="External" Id="rId41"/><Relationship Type="http://schemas.openxmlformats.org/officeDocument/2006/relationships/hyperlink" Target="https://www.sec.gov/cgi-bin/viewer?action=view&amp;cik=1397187&amp;accession_number=0001397187-25-000013&amp;xbrl_type=v" TargetMode="External" Id="rId42"/><Relationship Type="http://schemas.openxmlformats.org/officeDocument/2006/relationships/hyperlink" Target="https://www.sec.gov/cgi-bin/viewer?action=view&amp;cik=1397187&amp;accession_number=0001397187-26-000020&amp;xbrl_type=v" TargetMode="External" Id="rId4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3-000012&amp;xbrl_type=v" TargetMode="External" Id="rId10"/><Relationship Type="http://schemas.openxmlformats.org/officeDocument/2006/relationships/hyperlink" Target="https://www.sec.gov/cgi-bin/viewer?action=view&amp;cik=1397187&amp;accession_number=0001397187-24-000010&amp;xbrl_type=v" TargetMode="External" Id="rId11"/><Relationship Type="http://schemas.openxmlformats.org/officeDocument/2006/relationships/hyperlink" Target="https://www.sec.gov/cgi-bin/viewer?action=view&amp;cik=1397187&amp;accession_number=0001397187-25-000013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3-000012&amp;xbrl_type=v" TargetMode="External" Id="rId15"/><Relationship Type="http://schemas.openxmlformats.org/officeDocument/2006/relationships/hyperlink" Target="https://www.sec.gov/cgi-bin/viewer?action=view&amp;cik=1397187&amp;accession_number=0001397187-24-000010&amp;xbrl_type=v" TargetMode="External" Id="rId16"/><Relationship Type="http://schemas.openxmlformats.org/officeDocument/2006/relationships/hyperlink" Target="https://www.sec.gov/cgi-bin/viewer?action=view&amp;cik=1397187&amp;accession_number=0001397187-25-000013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3-000012&amp;xbrl_type=v" TargetMode="External" Id="rId20"/><Relationship Type="http://schemas.openxmlformats.org/officeDocument/2006/relationships/hyperlink" Target="https://www.sec.gov/cgi-bin/viewer?action=view&amp;cik=1397187&amp;accession_number=0001397187-24-000010&amp;xbrl_type=v" TargetMode="External" Id="rId21"/><Relationship Type="http://schemas.openxmlformats.org/officeDocument/2006/relationships/hyperlink" Target="https://www.sec.gov/cgi-bin/viewer?action=view&amp;cik=1397187&amp;accession_number=0001397187-25-000013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6-000020&amp;xbrl_type=v" TargetMode="External" Id="rId33"/><Relationship Type="http://schemas.openxmlformats.org/officeDocument/2006/relationships/hyperlink" Target="https://www.sec.gov/cgi-bin/viewer?action=view&amp;cik=1397187&amp;accession_number=0001397187-23-000012&amp;xbrl_type=v" TargetMode="External" Id="rId34"/><Relationship Type="http://schemas.openxmlformats.org/officeDocument/2006/relationships/hyperlink" Target="https://www.sec.gov/cgi-bin/viewer?action=view&amp;cik=1397187&amp;accession_number=0001397187-24-000010&amp;xbrl_type=v" TargetMode="External" Id="rId35"/><Relationship Type="http://schemas.openxmlformats.org/officeDocument/2006/relationships/hyperlink" Target="https://www.sec.gov/cgi-bin/viewer?action=view&amp;cik=1397187&amp;accession_number=0001397187-25-000013&amp;xbrl_type=v" TargetMode="External" Id="rId36"/><Relationship Type="http://schemas.openxmlformats.org/officeDocument/2006/relationships/hyperlink" Target="https://www.sec.gov/cgi-bin/viewer?action=view&amp;cik=1397187&amp;accession_number=0001397187-26-000020&amp;xbrl_type=v" TargetMode="External" Id="rId37"/><Relationship Type="http://schemas.openxmlformats.org/officeDocument/2006/relationships/hyperlink" Target="https://www.sec.gov/cgi-bin/viewer?action=view&amp;cik=1397187&amp;accession_number=0001397187-26-000020&amp;xbrl_type=v" TargetMode="External" Id="rId38"/><Relationship Type="http://schemas.openxmlformats.org/officeDocument/2006/relationships/hyperlink" Target="https://www.sec.gov/cgi-bin/viewer?action=view&amp;cik=1397187&amp;accession_number=0001397187-23-000012&amp;xbrl_type=v" TargetMode="External" Id="rId39"/><Relationship Type="http://schemas.openxmlformats.org/officeDocument/2006/relationships/hyperlink" Target="https://www.sec.gov/cgi-bin/viewer?action=view&amp;cik=1397187&amp;accession_number=0001397187-24-000010&amp;xbrl_type=v" TargetMode="External" Id="rId40"/><Relationship Type="http://schemas.openxmlformats.org/officeDocument/2006/relationships/hyperlink" Target="https://www.sec.gov/cgi-bin/viewer?action=view&amp;cik=1397187&amp;accession_number=0001397187-25-000013&amp;xbrl_type=v" TargetMode="External" Id="rId41"/><Relationship Type="http://schemas.openxmlformats.org/officeDocument/2006/relationships/hyperlink" Target="https://www.sec.gov/cgi-bin/viewer?action=view&amp;cik=1397187&amp;accession_number=0001397187-26-000020&amp;xbrl_type=v" TargetMode="External" Id="rId42"/><Relationship Type="http://schemas.openxmlformats.org/officeDocument/2006/relationships/hyperlink" Target="https://www.sec.gov/cgi-bin/viewer?action=view&amp;cik=1397187&amp;accession_number=0001397187-26-000020&amp;xbrl_type=v" TargetMode="External" Id="rId43"/><Relationship Type="http://schemas.openxmlformats.org/officeDocument/2006/relationships/hyperlink" Target="https://www.sec.gov/cgi-bin/viewer?action=view&amp;cik=1397187&amp;accession_number=0001397187-23-000012&amp;xbrl_type=v" TargetMode="External" Id="rId44"/><Relationship Type="http://schemas.openxmlformats.org/officeDocument/2006/relationships/hyperlink" Target="https://www.sec.gov/cgi-bin/viewer?action=view&amp;cik=1397187&amp;accession_number=0001397187-24-000010&amp;xbrl_type=v" TargetMode="External" Id="rId45"/><Relationship Type="http://schemas.openxmlformats.org/officeDocument/2006/relationships/hyperlink" Target="https://www.sec.gov/cgi-bin/viewer?action=view&amp;cik=1397187&amp;accession_number=0001397187-25-000013&amp;xbrl_type=v" TargetMode="External" Id="rId46"/><Relationship Type="http://schemas.openxmlformats.org/officeDocument/2006/relationships/hyperlink" Target="https://www.sec.gov/cgi-bin/viewer?action=view&amp;cik=1397187&amp;accession_number=0001397187-26-000020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6-000020&amp;xbrl_type=v" TargetMode="External" Id="rId53"/><Relationship Type="http://schemas.openxmlformats.org/officeDocument/2006/relationships/hyperlink" Target="https://www.sec.gov/cgi-bin/viewer?action=view&amp;cik=1397187&amp;accession_number=0001397187-23-000012&amp;xbrl_type=v" TargetMode="External" Id="rId54"/><Relationship Type="http://schemas.openxmlformats.org/officeDocument/2006/relationships/hyperlink" Target="https://www.sec.gov/cgi-bin/viewer?action=view&amp;cik=1397187&amp;accession_number=0001397187-24-000010&amp;xbrl_type=v" TargetMode="External" Id="rId55"/><Relationship Type="http://schemas.openxmlformats.org/officeDocument/2006/relationships/hyperlink" Target="https://www.sec.gov/cgi-bin/viewer?action=view&amp;cik=1397187&amp;accession_number=0001397187-25-000013&amp;xbrl_type=v" TargetMode="External" Id="rId56"/><Relationship Type="http://schemas.openxmlformats.org/officeDocument/2006/relationships/hyperlink" Target="https://www.sec.gov/cgi-bin/viewer?action=view&amp;cik=1397187&amp;accession_number=0001397187-26-000020&amp;xbrl_type=v" TargetMode="External" Id="rId57"/><Relationship Type="http://schemas.openxmlformats.org/officeDocument/2006/relationships/hyperlink" Target="https://www.sec.gov/cgi-bin/viewer?action=view&amp;cik=1397187&amp;accession_number=0001397187-26-000020&amp;xbrl_type=v" TargetMode="External" Id="rId58"/><Relationship Type="http://schemas.openxmlformats.org/officeDocument/2006/relationships/hyperlink" Target="https://www.sec.gov/cgi-bin/viewer?action=view&amp;cik=1397187&amp;accession_number=0001397187-23-000012&amp;xbrl_type=v" TargetMode="External" Id="rId59"/><Relationship Type="http://schemas.openxmlformats.org/officeDocument/2006/relationships/hyperlink" Target="https://www.sec.gov/cgi-bin/viewer?action=view&amp;cik=1397187&amp;accession_number=0001397187-24-000010&amp;xbrl_type=v" TargetMode="External" Id="rId60"/><Relationship Type="http://schemas.openxmlformats.org/officeDocument/2006/relationships/hyperlink" Target="https://www.sec.gov/cgi-bin/viewer?action=view&amp;cik=1397187&amp;accession_number=0001397187-25-000013&amp;xbrl_type=v" TargetMode="External" Id="rId61"/><Relationship Type="http://schemas.openxmlformats.org/officeDocument/2006/relationships/hyperlink" Target="https://www.sec.gov/cgi-bin/viewer?action=view&amp;cik=1397187&amp;accession_number=0001397187-26-000020&amp;xbrl_type=v" TargetMode="External" Id="rId62"/><Relationship Type="http://schemas.openxmlformats.org/officeDocument/2006/relationships/hyperlink" Target="https://www.sec.gov/cgi-bin/viewer?action=view&amp;cik=1397187&amp;accession_number=0001397187-23-000012&amp;xbrl_type=v" TargetMode="External" Id="rId63"/><Relationship Type="http://schemas.openxmlformats.org/officeDocument/2006/relationships/hyperlink" Target="https://www.sec.gov/cgi-bin/viewer?action=view&amp;cik=1397187&amp;accession_number=0001397187-24-000010&amp;xbrl_type=v" TargetMode="External" Id="rId64"/><Relationship Type="http://schemas.openxmlformats.org/officeDocument/2006/relationships/hyperlink" Target="https://www.sec.gov/cgi-bin/viewer?action=view&amp;cik=1397187&amp;accession_number=0001397187-25-000013&amp;xbrl_type=v" TargetMode="External" Id="rId65"/><Relationship Type="http://schemas.openxmlformats.org/officeDocument/2006/relationships/hyperlink" Target="https://www.sec.gov/cgi-bin/viewer?action=view&amp;cik=1397187&amp;accession_number=0001397187-26-000020&amp;xbrl_type=v" TargetMode="External" Id="rId66"/><Relationship Type="http://schemas.openxmlformats.org/officeDocument/2006/relationships/hyperlink" Target="https://www.sec.gov/cgi-bin/viewer?action=view&amp;cik=1397187&amp;accession_number=0001397187-26-000020&amp;xbrl_type=v" TargetMode="External" Id="rId67"/><Relationship Type="http://schemas.openxmlformats.org/officeDocument/2006/relationships/hyperlink" Target="https://www.sec.gov/cgi-bin/viewer?action=view&amp;cik=1397187&amp;accession_number=0001397187-23-000012&amp;xbrl_type=v" TargetMode="External" Id="rId68"/><Relationship Type="http://schemas.openxmlformats.org/officeDocument/2006/relationships/hyperlink" Target="https://www.sec.gov/cgi-bin/viewer?action=view&amp;cik=1397187&amp;accession_number=0001397187-24-000010&amp;xbrl_type=v" TargetMode="External" Id="rId69"/><Relationship Type="http://schemas.openxmlformats.org/officeDocument/2006/relationships/hyperlink" Target="https://www.sec.gov/cgi-bin/viewer?action=view&amp;cik=1397187&amp;accession_number=0001397187-25-000013&amp;xbrl_type=v" TargetMode="External" Id="rId70"/><Relationship Type="http://schemas.openxmlformats.org/officeDocument/2006/relationships/hyperlink" Target="https://www.sec.gov/cgi-bin/viewer?action=view&amp;cik=1397187&amp;accession_number=0001397187-26-000020&amp;xbrl_type=v" TargetMode="External" Id="rId71"/><Relationship Type="http://schemas.openxmlformats.org/officeDocument/2006/relationships/hyperlink" Target="https://www.sec.gov/cgi-bin/viewer?action=view&amp;cik=1397187&amp;accession_number=0001397187-26-000020&amp;xbrl_type=v" TargetMode="External" Id="rId72"/><Relationship Type="http://schemas.openxmlformats.org/officeDocument/2006/relationships/hyperlink" Target="https://www.sec.gov/cgi-bin/viewer?action=view&amp;cik=1397187&amp;accession_number=0001397187-23-000012&amp;xbrl_type=v" TargetMode="External" Id="rId73"/><Relationship Type="http://schemas.openxmlformats.org/officeDocument/2006/relationships/hyperlink" Target="https://www.sec.gov/cgi-bin/viewer?action=view&amp;cik=1397187&amp;accession_number=0001397187-24-000010&amp;xbrl_type=v" TargetMode="External" Id="rId74"/><Relationship Type="http://schemas.openxmlformats.org/officeDocument/2006/relationships/hyperlink" Target="https://www.sec.gov/cgi-bin/viewer?action=view&amp;cik=1397187&amp;accession_number=0001397187-25-000013&amp;xbrl_type=v" TargetMode="External" Id="rId75"/><Relationship Type="http://schemas.openxmlformats.org/officeDocument/2006/relationships/hyperlink" Target="https://www.sec.gov/cgi-bin/viewer?action=view&amp;cik=1397187&amp;accession_number=0001397187-26-000020&amp;xbrl_type=v" TargetMode="External" Id="rId76"/><Relationship Type="http://schemas.openxmlformats.org/officeDocument/2006/relationships/hyperlink" Target="https://www.sec.gov/cgi-bin/viewer?action=view&amp;cik=1397187&amp;accession_number=0001397187-26-000020&amp;xbrl_type=v" TargetMode="External" Id="rId77"/><Relationship Type="http://schemas.openxmlformats.org/officeDocument/2006/relationships/hyperlink" Target="https://www.sec.gov/cgi-bin/viewer?action=view&amp;cik=1397187&amp;accession_number=0001397187-23-000012&amp;xbrl_type=v" TargetMode="External" Id="rId78"/><Relationship Type="http://schemas.openxmlformats.org/officeDocument/2006/relationships/hyperlink" Target="https://www.sec.gov/cgi-bin/viewer?action=view&amp;cik=1397187&amp;accession_number=0001397187-24-000010&amp;xbrl_type=v" TargetMode="External" Id="rId79"/><Relationship Type="http://schemas.openxmlformats.org/officeDocument/2006/relationships/hyperlink" Target="https://www.sec.gov/cgi-bin/viewer?action=view&amp;cik=1397187&amp;accession_number=0001397187-25-000013&amp;xbrl_type=v" TargetMode="External" Id="rId80"/><Relationship Type="http://schemas.openxmlformats.org/officeDocument/2006/relationships/hyperlink" Target="https://www.sec.gov/cgi-bin/viewer?action=view&amp;cik=1397187&amp;accession_number=0001397187-26-000020&amp;xbrl_type=v" TargetMode="External" Id="rId81"/><Relationship Type="http://schemas.openxmlformats.org/officeDocument/2006/relationships/hyperlink" Target="https://www.sec.gov/cgi-bin/viewer?action=view&amp;cik=1397187&amp;accession_number=0001397187-23-000012&amp;xbrl_type=v" TargetMode="External" Id="rId82"/><Relationship Type="http://schemas.openxmlformats.org/officeDocument/2006/relationships/hyperlink" Target="https://www.sec.gov/cgi-bin/viewer?action=view&amp;cik=1397187&amp;accession_number=0001397187-24-000010&amp;xbrl_type=v" TargetMode="External" Id="rId83"/><Relationship Type="http://schemas.openxmlformats.org/officeDocument/2006/relationships/hyperlink" Target="https://www.sec.gov/cgi-bin/viewer?action=view&amp;cik=1397187&amp;accession_number=0001397187-25-000013&amp;xbrl_type=v" TargetMode="External" Id="rId84"/><Relationship Type="http://schemas.openxmlformats.org/officeDocument/2006/relationships/hyperlink" Target="https://www.sec.gov/cgi-bin/viewer?action=view&amp;cik=1397187&amp;accession_number=0001397187-26-000020&amp;xbrl_type=v" TargetMode="External" Id="rId85"/><Relationship Type="http://schemas.openxmlformats.org/officeDocument/2006/relationships/hyperlink" Target="https://www.sec.gov/cgi-bin/viewer?action=view&amp;cik=1397187&amp;accession_number=0001397187-23-000012&amp;xbrl_type=v" TargetMode="External" Id="rId86"/><Relationship Type="http://schemas.openxmlformats.org/officeDocument/2006/relationships/hyperlink" Target="https://www.sec.gov/cgi-bin/viewer?action=view&amp;cik=1397187&amp;accession_number=0001397187-24-000010&amp;xbrl_type=v" TargetMode="External" Id="rId87"/><Relationship Type="http://schemas.openxmlformats.org/officeDocument/2006/relationships/hyperlink" Target="https://www.sec.gov/cgi-bin/viewer?action=view&amp;cik=1397187&amp;accession_number=0001397187-25-000013&amp;xbrl_type=v" TargetMode="External" Id="rId88"/><Relationship Type="http://schemas.openxmlformats.org/officeDocument/2006/relationships/hyperlink" Target="https://www.sec.gov/cgi-bin/viewer?action=view&amp;cik=1397187&amp;accession_number=0001397187-26-000020&amp;xbrl_type=v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3-000012&amp;xbrl_type=v" TargetMode="External" Id="rId10"/><Relationship Type="http://schemas.openxmlformats.org/officeDocument/2006/relationships/hyperlink" Target="https://www.sec.gov/cgi-bin/viewer?action=view&amp;cik=1397187&amp;accession_number=0001397187-24-000010&amp;xbrl_type=v" TargetMode="External" Id="rId11"/><Relationship Type="http://schemas.openxmlformats.org/officeDocument/2006/relationships/hyperlink" Target="https://www.sec.gov/cgi-bin/viewer?action=view&amp;cik=1397187&amp;accession_number=0001397187-25-000013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3-000012&amp;xbrl_type=v" TargetMode="External" Id="rId15"/><Relationship Type="http://schemas.openxmlformats.org/officeDocument/2006/relationships/hyperlink" Target="https://www.sec.gov/cgi-bin/viewer?action=view&amp;cik=1397187&amp;accession_number=0001397187-24-000010&amp;xbrl_type=v" TargetMode="External" Id="rId16"/><Relationship Type="http://schemas.openxmlformats.org/officeDocument/2006/relationships/hyperlink" Target="https://www.sec.gov/cgi-bin/viewer?action=view&amp;cik=1397187&amp;accession_number=0001397187-25-000013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Relationship Type="http://schemas.openxmlformats.org/officeDocument/2006/relationships/hyperlink" Target="https://www.sec.gov/cgi-bin/viewer?action=view&amp;cik=1397187&amp;accession_number=0001397187-26-000020&amp;xbrl_type=v" TargetMode="External" Id="rId26"/><Relationship Type="http://schemas.openxmlformats.org/officeDocument/2006/relationships/hyperlink" Target="https://www.sec.gov/cgi-bin/viewer?action=view&amp;cik=1397187&amp;accession_number=0001397187-23-000012&amp;xbrl_type=v" TargetMode="External" Id="rId27"/><Relationship Type="http://schemas.openxmlformats.org/officeDocument/2006/relationships/hyperlink" Target="https://www.sec.gov/cgi-bin/viewer?action=view&amp;cik=1397187&amp;accession_number=0001397187-24-000010&amp;xbrl_type=v" TargetMode="External" Id="rId28"/><Relationship Type="http://schemas.openxmlformats.org/officeDocument/2006/relationships/hyperlink" Target="https://www.sec.gov/cgi-bin/viewer?action=view&amp;cik=1397187&amp;accession_number=0001397187-25-000013&amp;xbrl_type=v" TargetMode="External" Id="rId29"/><Relationship Type="http://schemas.openxmlformats.org/officeDocument/2006/relationships/hyperlink" Target="https://www.sec.gov/cgi-bin/viewer?action=view&amp;cik=1397187&amp;accession_number=0001397187-26-000020&amp;xbrl_type=v" TargetMode="External" Id="rId30"/><Relationship Type="http://schemas.openxmlformats.org/officeDocument/2006/relationships/hyperlink" Target="https://www.sec.gov/cgi-bin/viewer?action=view&amp;cik=1397187&amp;accession_number=0001397187-26-000020&amp;xbrl_type=v" TargetMode="External" Id="rId31"/><Relationship Type="http://schemas.openxmlformats.org/officeDocument/2006/relationships/hyperlink" Target="https://www.sec.gov/cgi-bin/viewer?action=view&amp;cik=1397187&amp;accession_number=0001397187-23-000012&amp;xbrl_type=v" TargetMode="External" Id="rId32"/><Relationship Type="http://schemas.openxmlformats.org/officeDocument/2006/relationships/hyperlink" Target="https://www.sec.gov/cgi-bin/viewer?action=view&amp;cik=1397187&amp;accession_number=0001397187-24-000010&amp;xbrl_type=v" TargetMode="External" Id="rId33"/><Relationship Type="http://schemas.openxmlformats.org/officeDocument/2006/relationships/hyperlink" Target="https://www.sec.gov/cgi-bin/viewer?action=view&amp;cik=1397187&amp;accession_number=0001397187-25-000013&amp;xbrl_type=v" TargetMode="External" Id="rId34"/><Relationship Type="http://schemas.openxmlformats.org/officeDocument/2006/relationships/hyperlink" Target="https://www.sec.gov/cgi-bin/viewer?action=view&amp;cik=1397187&amp;accession_number=0001397187-26-000020&amp;xbrl_type=v" TargetMode="External" Id="rId35"/><Relationship Type="http://schemas.openxmlformats.org/officeDocument/2006/relationships/hyperlink" Target="https://www.sec.gov/cgi-bin/viewer?action=view&amp;cik=1397187&amp;accession_number=0001397187-23-000012&amp;xbrl_type=v" TargetMode="External" Id="rId36"/><Relationship Type="http://schemas.openxmlformats.org/officeDocument/2006/relationships/hyperlink" Target="https://www.sec.gov/cgi-bin/viewer?action=view&amp;cik=1397187&amp;accession_number=0001397187-24-000010&amp;xbrl_type=v" TargetMode="External" Id="rId37"/><Relationship Type="http://schemas.openxmlformats.org/officeDocument/2006/relationships/hyperlink" Target="https://www.sec.gov/cgi-bin/viewer?action=view&amp;cik=1397187&amp;accession_number=0001397187-25-000013&amp;xbrl_type=v" TargetMode="External" Id="rId38"/><Relationship Type="http://schemas.openxmlformats.org/officeDocument/2006/relationships/hyperlink" Target="https://www.sec.gov/cgi-bin/viewer?action=view&amp;cik=1397187&amp;accession_number=0001397187-26-000020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Relationship Type="http://schemas.openxmlformats.org/officeDocument/2006/relationships/hyperlink" Target="https://www.sec.gov/cgi-bin/viewer?action=view&amp;cik=1397187&amp;accession_number=0001397187-23-000012&amp;xbrl_type=v" TargetMode="External" Id="rId45"/><Relationship Type="http://schemas.openxmlformats.org/officeDocument/2006/relationships/hyperlink" Target="https://www.sec.gov/cgi-bin/viewer?action=view&amp;cik=1397187&amp;accession_number=0001397187-24-000010&amp;xbrl_type=v" TargetMode="External" Id="rId46"/><Relationship Type="http://schemas.openxmlformats.org/officeDocument/2006/relationships/hyperlink" Target="https://www.sec.gov/cgi-bin/viewer?action=view&amp;cik=1397187&amp;accession_number=0001397187-25-000013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3-000012&amp;xbrl_type=v" TargetMode="External" Id="rId53"/><Relationship Type="http://schemas.openxmlformats.org/officeDocument/2006/relationships/hyperlink" Target="https://www.sec.gov/cgi-bin/viewer?action=view&amp;cik=1397187&amp;accession_number=0001397187-24-000010&amp;xbrl_type=v" TargetMode="External" Id="rId54"/><Relationship Type="http://schemas.openxmlformats.org/officeDocument/2006/relationships/hyperlink" Target="https://www.sec.gov/cgi-bin/viewer?action=view&amp;cik=1397187&amp;accession_number=0001397187-25-000013&amp;xbrl_type=v" TargetMode="External" Id="rId55"/><Relationship Type="http://schemas.openxmlformats.org/officeDocument/2006/relationships/hyperlink" Target="https://www.sec.gov/cgi-bin/viewer?action=view&amp;cik=1397187&amp;accession_number=0001397187-26-000020&amp;xbrl_type=v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"10-K" → FY2025 accession 0001397187-26-000020</t>
        </is>
      </c>
    </row>
    <row r="17" ht="36" customHeight="1">
      <c r="B17" s="9" t="inlineStr">
        <is>
          <t>FY2025 Form 10-K (ended Feb 1, 2026)
Ctrl+F: "CONSOLIDATED STATEMENTS OF OPERATIONS" or "CONSOLIDATED BALANCE SHEETS"</t>
        </is>
      </c>
    </row>
    <row r="18" ht="36" customHeight="1">
      <c r="B18" s="9" t="inlineStr">
        <is>
          <t>Q2 FY2026 results &amp; FY2026 guidance (Sep 3, 2026 earnings release)
Ctrl+F: "full year 2026" | "net revenue" | "diluted earnings per share"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3"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matches guidance; FY27–30 step up to low-single-digit then mid-single-digit recovery path.</t>
        </is>
      </c>
      <c r="C5" s="21" t="inlineStr">
        <is>
          <t>LULU Q2 FY2026 guidance</t>
        </is>
      </c>
      <c r="D5" s="22" t="inlineStr">
        <is>
          <t>"full year 2026" → "net revenue" → "5% to 7%" decrease; FY27–30 = projection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0.01</v>
      </c>
      <c r="K5" s="24" t="n">
        <v>0.03</v>
      </c>
      <c r="L5" s="24" t="n">
        <v>0.04</v>
      </c>
      <c r="M5" s="24" t="n">
        <v>0.04</v>
      </c>
    </row>
    <row r="6" ht="36" customHeight="1">
      <c r="A6" s="19" t="inlineStr">
        <is>
          <t>Gross margin %</t>
        </is>
      </c>
      <c r="B6" s="20" t="inlineStr">
        <is>
          <t>Gross margin recovers gradually from promo pressure; 56.5% to 58.0% still below peak ~58–59% historical.</t>
        </is>
      </c>
      <c r="C6" s="21" t="inlineStr">
        <is>
          <t>LULU historical gross margin (10-K)</t>
        </is>
      </c>
      <c r="D6" s="22" t="inlineStr">
        <is>
          <t>"Gross profit" $6,284,132 ÷ "Net revenue" $11,102,600 = 56.6% FY25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SG&amp;A % of revenue</t>
        </is>
      </c>
      <c r="B7" s="20" t="inlineStr">
        <is>
          <t>SG&amp;A leverage improves slowly as revenue stabilizes; ratio declines toward 39.5% by FY2030 from cost discipline.</t>
        </is>
      </c>
      <c r="C7" s="21" t="inlineStr">
        <is>
          <t>LULU historical SG&amp;A (10-K)</t>
        </is>
      </c>
      <c r="D7" s="22" t="inlineStr">
        <is>
          <t>"Selling, general and administrative expenses" $4,066,556 ÷ revenue = 36.7%</t>
        </is>
      </c>
      <c r="E7" s="23" t="n">
        <v>0.3399840799317627</v>
      </c>
      <c r="F7" s="23" t="n">
        <v>0.3531676701723352</v>
      </c>
      <c r="G7" s="23" t="n">
        <v>0.355339462337339</v>
      </c>
      <c r="H7" s="23" t="n">
        <v>0.3662706032821141</v>
      </c>
      <c r="I7" s="24" t="n">
        <v>0.425</v>
      </c>
      <c r="J7" s="24" t="n">
        <v>0.415</v>
      </c>
      <c r="K7" s="24" t="n">
        <v>0.405</v>
      </c>
      <c r="L7" s="24" t="n">
        <v>0.4</v>
      </c>
      <c r="M7" s="24" t="n">
        <v>0.395</v>
      </c>
    </row>
    <row r="8" ht="36" customHeight="1">
      <c r="A8" s="19" t="inlineStr">
        <is>
          <t>Amortization / other opex ($)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"Amortization of intangible assets" → FY25 $6,961 (≈$7M run-rate)</t>
        </is>
      </c>
      <c r="E8" s="25" t="n">
        <v>406485</v>
      </c>
      <c r="F8" s="25" t="n">
        <v>79511</v>
      </c>
      <c r="G8" s="25" t="n">
        <v>2735</v>
      </c>
      <c r="H8" s="25" t="n">
        <v>6961</v>
      </c>
      <c r="I8" s="26" t="n">
        <v>7000</v>
      </c>
      <c r="J8" s="26" t="n">
        <v>7000</v>
      </c>
      <c r="K8" s="26" t="n">
        <v>7000</v>
      </c>
      <c r="L8" s="26" t="n">
        <v>7000</v>
      </c>
      <c r="M8" s="26" t="n">
        <v>7000</v>
      </c>
    </row>
    <row r="9" ht="36" customHeight="1">
      <c r="A9" s="19" t="inlineStr">
        <is>
          <t>Other income, net ($)</t>
        </is>
      </c>
      <c r="B9" s="20" t="inlineStr">
        <is>
          <t>Interest income declines as cash is deployed; $130M FY26 stepping down with lower cash balances.</t>
        </is>
      </c>
      <c r="C9" s="21" t="inlineStr">
        <is>
          <t>LULU FY2025 10-K</t>
        </is>
      </c>
      <c r="D9" s="22" t="inlineStr">
        <is>
          <t>"Other income (expense), net" → FY25 $28,352 (interest income on cash)</t>
        </is>
      </c>
      <c r="E9" s="25" t="n">
        <v>4163</v>
      </c>
      <c r="F9" s="25" t="n">
        <v>43059</v>
      </c>
      <c r="G9" s="25" t="n">
        <v>70380</v>
      </c>
      <c r="H9" s="25" t="n">
        <v>28352</v>
      </c>
      <c r="I9" s="26" t="n">
        <v>130000</v>
      </c>
      <c r="J9" s="26" t="n">
        <v>60000</v>
      </c>
      <c r="K9" s="26" t="n">
        <v>75000</v>
      </c>
      <c r="L9" s="26" t="n">
        <v>95000</v>
      </c>
      <c r="M9" s="26" t="n">
        <v>115000</v>
      </c>
    </row>
    <row r="10" ht="36" customHeight="1">
      <c r="A10" s="19" t="inlineStr">
        <is>
          <t>Effective tax rate %</t>
        </is>
      </c>
      <c r="B10" s="20" t="inlineStr">
        <is>
          <t>30% effective tax rate on projections; conservative vs recent ~29% effective, allows for jurisdictional mix.</t>
        </is>
      </c>
      <c r="C10" s="21" t="inlineStr">
        <is>
          <t>LULU effective tax history (10-K)</t>
        </is>
      </c>
      <c r="D10" s="22" t="inlineStr">
        <is>
          <t>"Provision for income taxes" $659,784 ÷ "Income before income taxes" $2,238,967 = 29.5%</t>
        </is>
      </c>
      <c r="E10" s="23" t="n">
        <v>0.3585332413807594</v>
      </c>
      <c r="F10" s="23" t="n">
        <v>0.287509738088508</v>
      </c>
      <c r="G10" s="23" t="n">
        <v>0.2955893787336326</v>
      </c>
      <c r="H10" s="23" t="n">
        <v>0.2946823244826744</v>
      </c>
      <c r="I10" s="24" t="n">
        <v>0.3</v>
      </c>
      <c r="J10" s="24" t="n">
        <v>0.3</v>
      </c>
      <c r="K10" s="24" t="n">
        <v>0.3</v>
      </c>
      <c r="L10" s="24" t="n">
        <v>0.3</v>
      </c>
      <c r="M10" s="24" t="n">
        <v>0.3</v>
      </c>
    </row>
    <row r="11">
      <c r="A11" s="17" t="inlineStr">
        <is>
          <t>CAPITAL &amp; NON-CASH ITEMS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 ht="36" customHeight="1">
      <c r="A12" s="19" t="inlineStr">
        <is>
          <t>D&amp;A % of revenue</t>
        </is>
      </c>
      <c r="B12" s="20" t="inlineStr">
        <is>
          <t>D&amp;A 4.5–4.6% of revenue; tracks recent depreciation intensity on PPE and lease-related amortization.</t>
        </is>
      </c>
      <c r="C12" s="21" t="inlineStr">
        <is>
          <t>LULU CF statement (10-K)</t>
        </is>
      </c>
      <c r="D12" s="22" t="inlineStr">
        <is>
          <t>"Depreciation and amortization" $496,228 ÷ "Net revenue" $11,102,600 = 4.5%</t>
        </is>
      </c>
      <c r="E12" s="23" t="n">
        <v>0.03597686362326056</v>
      </c>
      <c r="F12" s="23" t="n">
        <v>0.03943996628437186</v>
      </c>
      <c r="G12" s="23" t="n">
        <v>0.04217214642137806</v>
      </c>
      <c r="H12" s="23" t="n">
        <v>0.04469475618323636</v>
      </c>
      <c r="I12" s="24" t="n">
        <v>0.046</v>
      </c>
      <c r="J12" s="24" t="n">
        <v>0.046</v>
      </c>
      <c r="K12" s="24" t="n">
        <v>0.045</v>
      </c>
      <c r="L12" s="24" t="n">
        <v>0.045</v>
      </c>
      <c r="M12" s="24" t="n">
        <v>0.045</v>
      </c>
    </row>
    <row r="13" ht="36" customHeight="1">
      <c r="A13" s="19" t="inlineStr">
        <is>
          <t>Capex % of revenue</t>
        </is>
      </c>
      <c r="B13" s="20" t="inlineStr">
        <is>
          <t>Capex fades from 5.5% to 5.0%; reflects completion of major supply-chain projects and normalized store growth.</t>
        </is>
      </c>
      <c r="C13" s="21" t="inlineStr">
        <is>
          <t>LULU CF statement (10-K)</t>
        </is>
      </c>
      <c r="D13" s="22" t="inlineStr">
        <is>
          <t>"Capital expenditures" $(680,802) ÷ "Net revenue" = 6.1%; model fades to 5.0%</t>
        </is>
      </c>
      <c r="E13" s="23" t="n">
        <v>0.07874429228811279</v>
      </c>
      <c r="F13" s="23" t="n">
        <v>0.06776652052264213</v>
      </c>
      <c r="G13" s="23" t="n">
        <v>0.0650948052563787</v>
      </c>
      <c r="H13" s="23" t="n">
        <v>0.06131915046925945</v>
      </c>
      <c r="I13" s="24" t="n">
        <v>0.055</v>
      </c>
      <c r="J13" s="24" t="n">
        <v>0.05</v>
      </c>
      <c r="K13" s="24" t="n">
        <v>0.05</v>
      </c>
      <c r="L13" s="24" t="n">
        <v>0.05</v>
      </c>
      <c r="M13" s="24" t="n">
        <v>0.05</v>
      </c>
    </row>
    <row r="14" ht="36" customHeight="1">
      <c r="A14" s="19" t="inlineStr">
        <is>
          <t>Stock-based compensation ($)</t>
        </is>
      </c>
      <c r="B14" s="20" t="inlineStr">
        <is>
          <t>$70M annual SBC; modest decline from FY25 as headcount growth slows in restructuring period.</t>
        </is>
      </c>
      <c r="C14" s="21" t="inlineStr">
        <is>
          <t>LULU CF statement (10-K)</t>
        </is>
      </c>
      <c r="D14" s="22" t="inlineStr">
        <is>
          <t>"Stock-based compensation" → FY25 $62,203; model $70,000</t>
        </is>
      </c>
      <c r="E14" s="25" t="n">
        <v>78075</v>
      </c>
      <c r="F14" s="25" t="n">
        <v>93560</v>
      </c>
      <c r="G14" s="25" t="n">
        <v>90011</v>
      </c>
      <c r="H14" s="25" t="n">
        <v>62203</v>
      </c>
      <c r="I14" s="26" t="n">
        <v>70000</v>
      </c>
      <c r="J14" s="26" t="n">
        <v>70000</v>
      </c>
      <c r="K14" s="26" t="n">
        <v>70000</v>
      </c>
      <c r="L14" s="26" t="n">
        <v>70000</v>
      </c>
      <c r="M14" s="26" t="n">
        <v>70000</v>
      </c>
    </row>
    <row r="15">
      <c r="A15" s="17" t="inlineStr">
        <is>
          <t>WORKING CAPITAL &amp; BALANCE SHEET DRIVERS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 ht="36" customHeight="1">
      <c r="A16" s="19" t="inlineStr">
        <is>
          <t>Inventories % of COGS</t>
        </is>
      </c>
      <c r="B16" s="20" t="inlineStr">
        <is>
          <t>Inventory 33–34% of COGS; slight normalization from FY25 build as Americas demand softens and clears.</t>
        </is>
      </c>
      <c r="C16" s="21" t="inlineStr">
        <is>
          <t>LULU balance sheet (10-K)</t>
        </is>
      </c>
      <c r="D16" s="22" t="inlineStr">
        <is>
          <t>"Inventories" $1,700,753 ÷ "Cost of goods sold" $4,818,468 = 35.3%</t>
        </is>
      </c>
      <c r="E16" s="23" t="n">
        <v>0.4000264774148757</v>
      </c>
      <c r="F16" s="23" t="n">
        <v>0.330085765808543</v>
      </c>
      <c r="G16" s="23" t="n">
        <v>0.3340226506520835</v>
      </c>
      <c r="H16" s="23" t="n">
        <v>0.3529655068789499</v>
      </c>
      <c r="I16" s="24" t="n">
        <v>0.34</v>
      </c>
      <c r="J16" s="24" t="n">
        <v>0.335</v>
      </c>
      <c r="K16" s="24" t="n">
        <v>0.33</v>
      </c>
      <c r="L16" s="24" t="n">
        <v>0.33</v>
      </c>
      <c r="M16" s="24" t="n">
        <v>0.33</v>
      </c>
    </row>
    <row r="17" ht="36" customHeight="1">
      <c r="A17" s="19" t="inlineStr">
        <is>
          <t>Accounts payable % of COGS</t>
        </is>
      </c>
      <c r="B17" s="20" t="inlineStr">
        <is>
          <t>AP 6.8% of COGS; holds near FY25 level reflecting vendor terms and production payment cadence.</t>
        </is>
      </c>
      <c r="C17" s="21" t="inlineStr">
        <is>
          <t>LULU balance sheet (10-K)</t>
        </is>
      </c>
      <c r="D17" s="22" t="inlineStr">
        <is>
          <t>"Accounts payable" $331,421 ÷ "Cost of goods sold" $4,818,468 = 6.9%</t>
        </is>
      </c>
      <c r="E17" s="23" t="n">
        <v>0.04774005037894764</v>
      </c>
      <c r="F17" s="23" t="n">
        <v>0.08689576951688993</v>
      </c>
      <c r="G17" s="23" t="n">
        <v>0.06286453501771355</v>
      </c>
      <c r="H17" s="23" t="n">
        <v>0.06878140521012073</v>
      </c>
      <c r="I17" s="24" t="n">
        <v>0.068</v>
      </c>
      <c r="J17" s="24" t="n">
        <v>0.068</v>
      </c>
      <c r="K17" s="24" t="n">
        <v>0.068</v>
      </c>
      <c r="L17" s="24" t="n">
        <v>0.068</v>
      </c>
      <c r="M17" s="24" t="n">
        <v>0.068</v>
      </c>
    </row>
    <row r="18" ht="36" customHeight="1">
      <c r="A18" s="19" t="inlineStr">
        <is>
          <t>Accrued liabilities % of revenue</t>
        </is>
      </c>
      <c r="B18" s="20" t="inlineStr">
        <is>
          <t>Accrued liabilities 5.8% of revenue; stable comp, marketing, and operating accrual ratio.</t>
        </is>
      </c>
      <c r="C18" s="21" t="inlineStr">
        <is>
          <t>LULU balance sheet (10-K)</t>
        </is>
      </c>
      <c r="D18" s="22" t="inlineStr">
        <is>
          <t>"Accrued liabilities" $662,982 ÷ "Net revenue" $11,102,600 = 6.0%</t>
        </is>
      </c>
      <c r="E18" s="23" t="n">
        <v>0.04922287331092786</v>
      </c>
      <c r="F18" s="23" t="n">
        <v>0.03623504799424655</v>
      </c>
      <c r="G18" s="23" t="n">
        <v>0.05283871763520759</v>
      </c>
      <c r="H18" s="23" t="n">
        <v>0.05971412101669879</v>
      </c>
      <c r="I18" s="24" t="n">
        <v>0.058</v>
      </c>
      <c r="J18" s="24" t="n">
        <v>0.058</v>
      </c>
      <c r="K18" s="24" t="n">
        <v>0.058</v>
      </c>
      <c r="L18" s="24" t="n">
        <v>0.058</v>
      </c>
      <c r="M18" s="24" t="n">
        <v>0.058</v>
      </c>
    </row>
    <row r="19" ht="36" customHeight="1">
      <c r="A19" s="19" t="inlineStr">
        <is>
          <t>Other current assets % of revenue</t>
        </is>
      </c>
      <c r="B19" s="20" t="inlineStr">
        <is>
          <t>Other current assets 6.8% of revenue; prepaid and receivable balance consistent with recent history.</t>
        </is>
      </c>
      <c r="C19" s="21" t="inlineStr">
        <is>
          <t>LULU balance sheet (10-K)</t>
        </is>
      </c>
      <c r="D19" s="22" t="inlineStr">
        <is>
          <t>"Other current assets" → derive from current assets less cash, A/R, inventory</t>
        </is>
      </c>
      <c r="E19" s="23" t="n">
        <v>0.06870325668471483</v>
      </c>
      <c r="F19" s="23" t="n">
        <v>0.05125166358639391</v>
      </c>
      <c r="G19" s="23" t="n">
        <v>0.05231190108617899</v>
      </c>
      <c r="H19" s="23" t="n">
        <v>0.06797921207645057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36" customHeight="1">
      <c r="A20" s="19" t="inlineStr">
        <is>
          <t>Operating lease ROU asset % of revenue</t>
        </is>
      </c>
      <c r="B20" s="20" t="inlineStr">
        <is>
          <t>ROU assets 14.7% of revenue; lease-intensive store model, stable vs FY25 operating lease footprint.</t>
        </is>
      </c>
      <c r="C20" s="21" t="inlineStr">
        <is>
          <t>LULU lease disclosures (10-K)</t>
        </is>
      </c>
      <c r="D20" s="22" t="inlineStr">
        <is>
          <t>"Operating lease right-of-use assets" $1,630,181 ÷ revenue = 14.7%</t>
        </is>
      </c>
      <c r="E20" s="23" t="n">
        <v>0.1195261511040355</v>
      </c>
      <c r="F20" s="23" t="n">
        <v>0.1315701656610818</v>
      </c>
      <c r="G20" s="23" t="n">
        <v>0.1337588918001165</v>
      </c>
      <c r="H20" s="23" t="n">
        <v>0.1468287608307964</v>
      </c>
      <c r="I20" s="24" t="n">
        <v>0.147</v>
      </c>
      <c r="J20" s="24" t="n">
        <v>0.147</v>
      </c>
      <c r="K20" s="24" t="n">
        <v>0.147</v>
      </c>
      <c r="L20" s="24" t="n">
        <v>0.147</v>
      </c>
      <c r="M20" s="24" t="n">
        <v>0.147</v>
      </c>
    </row>
    <row r="21" ht="36" customHeight="1">
      <c r="A21" s="19" t="inlineStr">
        <is>
          <t>Other non-current assets % of revenue</t>
        </is>
      </c>
      <c r="B21" s="20" t="inlineStr">
        <is>
          <t>Other non-current assets 3.0% of revenue; deferred costs and long-term deposits at normalized level.</t>
        </is>
      </c>
      <c r="C21" s="21" t="inlineStr">
        <is>
          <t>LULU balance sheet (10-K)</t>
        </is>
      </c>
      <c r="D21" s="22" t="inlineStr">
        <is>
          <t>"Other non-current assets" → total non-current assets less PP&amp;E, ROU, goodwill</t>
        </is>
      </c>
      <c r="E21" s="23" t="n">
        <v>0.02002917692803345</v>
      </c>
      <c r="F21" s="23" t="n">
        <v>0.02036119550760462</v>
      </c>
      <c r="G21" s="23" t="n">
        <v>0.02407659296838742</v>
      </c>
      <c r="H21" s="23" t="n">
        <v>0.03052861491902797</v>
      </c>
      <c r="I21" s="24" t="n">
        <v>0.03</v>
      </c>
      <c r="J21" s="24" t="n">
        <v>0.03</v>
      </c>
      <c r="K21" s="24" t="n">
        <v>0.03</v>
      </c>
      <c r="L21" s="24" t="n">
        <v>0.03</v>
      </c>
      <c r="M21" s="24" t="n">
        <v>0.03</v>
      </c>
    </row>
    <row r="22" ht="36" customHeight="1">
      <c r="A22" s="19" t="inlineStr">
        <is>
          <t>Op lease liab (current) % of revenue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"Current portion of operating lease liabilities" $298,724 ÷ revenue = 2.7%</t>
        </is>
      </c>
      <c r="E22" s="23" t="n">
        <v>0.02564225860789656</v>
      </c>
      <c r="F22" s="23" t="n">
        <v>0.02591358727754827</v>
      </c>
      <c r="G22" s="23" t="n">
        <v>0.02598703491061591</v>
      </c>
      <c r="H22" s="23" t="n">
        <v>0.02690576981968188</v>
      </c>
      <c r="I22" s="24" t="n">
        <v>0.027</v>
      </c>
      <c r="J22" s="24" t="n">
        <v>0.027</v>
      </c>
      <c r="K22" s="24" t="n">
        <v>0.027</v>
      </c>
      <c r="L22" s="24" t="n">
        <v>0.027</v>
      </c>
      <c r="M22" s="24" t="n">
        <v>0.027</v>
      </c>
    </row>
    <row r="23" ht="36" customHeight="1">
      <c r="A23" s="19" t="inlineStr">
        <is>
          <t>Op lease liab (non-current) % of revenue</t>
        </is>
      </c>
      <c r="B23" s="20" t="inlineStr">
        <is>
          <t>Non-current lease liabilities 13.5% of revenue; long-term store lease commitments per 10-K.</t>
        </is>
      </c>
      <c r="C23" s="21" t="inlineStr">
        <is>
          <t>LULU lease disclosures (10-K)</t>
        </is>
      </c>
      <c r="D23" s="22" t="inlineStr">
        <is>
          <t>"Operating lease liabilities" $1,499,717 (non-current) ÷ revenue = 13.5%</t>
        </is>
      </c>
      <c r="E23" s="23" t="n">
        <v>0.1063263776740277</v>
      </c>
      <c r="F23" s="23" t="n">
        <v>0.1199686712453887</v>
      </c>
      <c r="G23" s="23" t="n">
        <v>0.1228392068624797</v>
      </c>
      <c r="H23" s="23" t="n">
        <v>0.1350779997478068</v>
      </c>
      <c r="I23" s="24" t="n">
        <v>0.135</v>
      </c>
      <c r="J23" s="24" t="n">
        <v>0.135</v>
      </c>
      <c r="K23" s="24" t="n">
        <v>0.135</v>
      </c>
      <c r="L23" s="24" t="n">
        <v>0.135</v>
      </c>
      <c r="M23" s="24" t="n">
        <v>0.135</v>
      </c>
    </row>
    <row r="24" ht="36" customHeight="1">
      <c r="A24" s="19" t="inlineStr">
        <is>
          <t>Other current liabilities % of revenue</t>
        </is>
      </c>
      <c r="B24" s="20" t="inlineStr">
        <is>
          <t>Other current liabilities 5.5% of revenue; gift cards, deferred revenue, and other short-term obligations.</t>
        </is>
      </c>
      <c r="C24" s="21" t="inlineStr">
        <is>
          <t>LULU balance sheet (10-K)</t>
        </is>
      </c>
      <c r="D24" s="22" t="inlineStr">
        <is>
          <t>"Other current liabilities" → gift cards, deferred revenue (ex-lease) ÷ revenue</t>
        </is>
      </c>
      <c r="E24" s="23" t="n">
        <v>0.08782065461170298</v>
      </c>
      <c r="F24" s="23" t="n">
        <v>0.0712106459549251</v>
      </c>
      <c r="G24" s="23" t="n">
        <v>0.06928582073919408</v>
      </c>
      <c r="H24" s="23" t="n">
        <v>0.05353890079801128</v>
      </c>
      <c r="I24" s="24" t="n">
        <v>0.055</v>
      </c>
      <c r="J24" s="24" t="n">
        <v>0.055</v>
      </c>
      <c r="K24" s="24" t="n">
        <v>0.055</v>
      </c>
      <c r="L24" s="24" t="n">
        <v>0.055</v>
      </c>
      <c r="M24" s="24" t="n">
        <v>0.055</v>
      </c>
    </row>
    <row r="25" ht="36" customHeight="1">
      <c r="A25" s="19" t="inlineStr">
        <is>
          <t>Other non-current liab % of revenue</t>
        </is>
      </c>
      <c r="B25" s="20" t="inlineStr">
        <is>
          <t>Other non-current liabilities 0.5% of revenue; minor long-term accruals and provisions.</t>
        </is>
      </c>
      <c r="C25" s="21" t="inlineStr">
        <is>
          <t>LULU balance sheet (10-K)</t>
        </is>
      </c>
      <c r="D25" s="22" t="inlineStr">
        <is>
          <t>"Other non-current liabilities" → minor long-term accruals ÷ revenue</t>
        </is>
      </c>
      <c r="E25" s="23" t="n">
        <v>0.005991602509235539</v>
      </c>
      <c r="F25" s="23" t="n">
        <v>0.00468486304273564</v>
      </c>
      <c r="G25" s="23" t="n">
        <v>0.003852428654513556</v>
      </c>
      <c r="H25" s="23" t="n">
        <v>0.004986219444094176</v>
      </c>
      <c r="I25" s="24" t="n">
        <v>0.005</v>
      </c>
      <c r="J25" s="24" t="n">
        <v>0.005</v>
      </c>
      <c r="K25" s="24" t="n">
        <v>0.005</v>
      </c>
      <c r="L25" s="24" t="n">
        <v>0.005</v>
      </c>
      <c r="M25" s="24" t="n">
        <v>0.005</v>
      </c>
    </row>
    <row r="26">
      <c r="A26" s="17" t="inlineStr">
        <is>
          <t>CAPITAL RETURN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Share repurchases ($)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"Repurchase of common stock" → FY25 $(1,178,349); model $(500,000)/yr</t>
        </is>
      </c>
      <c r="E27" s="25" t="n">
        <v>444001</v>
      </c>
      <c r="F27" s="25" t="n">
        <v>558652</v>
      </c>
      <c r="G27" s="25" t="n">
        <v>1636879</v>
      </c>
      <c r="H27" s="25" t="n">
        <v>1178349</v>
      </c>
      <c r="I27" s="26" t="n">
        <v>500000</v>
      </c>
      <c r="J27" s="26" t="n">
        <v>500000</v>
      </c>
      <c r="K27" s="26" t="n">
        <v>500000</v>
      </c>
      <c r="L27" s="26" t="n">
        <v>500000</v>
      </c>
      <c r="M27" s="26" t="n">
        <v>500000</v>
      </c>
    </row>
    <row r="28" ht="36" customHeight="1">
      <c r="A28" s="19" t="inlineStr">
        <is>
          <t>Avg repurchase price ($/sh)</t>
        </is>
      </c>
      <c r="B28" s="20" t="inlineStr">
        <is>
          <t>Repurchase price rises with recovery thesis; $105 to $135 reflects assumed gradual share-price normalization.</t>
        </is>
      </c>
      <c r="C28" s="21" t="inlineStr">
        <is>
          <t>LULU avg repurchase price (10-K/est.)</t>
        </is>
      </c>
      <c r="D28" s="22" t="inlineStr">
        <is>
          <t>"Repurchase of common stock" footnote → avg price paid per share</t>
        </is>
      </c>
      <c r="I28" s="27" t="n">
        <v>105</v>
      </c>
      <c r="J28" s="27" t="n">
        <v>112</v>
      </c>
      <c r="K28" s="27" t="n">
        <v>120</v>
      </c>
      <c r="L28" s="27" t="n">
        <v>128</v>
      </c>
      <c r="M28" s="27" t="n">
        <v>135</v>
      </c>
    </row>
    <row r="30">
      <c r="A30" s="28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7" r:id="rId24"/>
    <hyperlink xmlns:r="http://schemas.openxmlformats.org/officeDocument/2006/relationships" ref="C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matches guidance; FY27–30 step up to low-single-digit then mid-single-digit recovery path.</t>
        </is>
      </c>
      <c r="C4" s="21" t="inlineStr">
        <is>
          <t>LULU Q2 FY2026 guidance</t>
        </is>
      </c>
      <c r="D4" s="22" t="inlineStr">
        <is>
          <t>"full year 2026" → "net revenue" → "5% to 7%" decrease; FY27–30 = projection</t>
        </is>
      </c>
      <c r="E4" s="31" t="n">
        <v>8110518</v>
      </c>
      <c r="F4" s="31" t="n">
        <v>9619278</v>
      </c>
      <c r="G4" s="31" t="n">
        <v>10588126</v>
      </c>
      <c r="H4" s="31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</t>
        </is>
      </c>
      <c r="B5" s="20" t="inlineStr">
        <is>
          <t>Gross margin recovers gradually from promo pressure; 56.5% to 58.0% still below peak ~58–59% historical.</t>
        </is>
      </c>
      <c r="C5" s="21" t="inlineStr">
        <is>
          <t>LULU historical gross margin (10-K)</t>
        </is>
      </c>
      <c r="D5" s="22" t="inlineStr">
        <is>
          <t>"Gross profit" $6,284,132 ÷ "Net revenue" $11,102,600 = 56.6% FY25</t>
        </is>
      </c>
      <c r="E5" s="31" t="n">
        <v>3618178</v>
      </c>
      <c r="F5" s="31" t="n">
        <v>4009873</v>
      </c>
      <c r="G5" s="31" t="n">
        <v>4317315</v>
      </c>
      <c r="H5" s="31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>
      <c r="A6" s="32" t="inlineStr">
        <is>
          <t>Gross profit</t>
        </is>
      </c>
      <c r="E6" s="33">
        <f>E4-E5</f>
        <v/>
      </c>
      <c r="F6" s="33">
        <f>F4-F5</f>
        <v/>
      </c>
      <c r="G6" s="33">
        <f>G4-G5</f>
        <v/>
      </c>
      <c r="H6" s="33">
        <f>H4-H5</f>
        <v/>
      </c>
      <c r="I6" s="33">
        <f>I4-I5</f>
        <v/>
      </c>
      <c r="J6" s="33">
        <f>J4-J5</f>
        <v/>
      </c>
      <c r="K6" s="33">
        <f>K4-K5</f>
        <v/>
      </c>
      <c r="L6" s="33">
        <f>L4-L5</f>
        <v/>
      </c>
      <c r="M6" s="33">
        <f>M4-M5</f>
        <v/>
      </c>
    </row>
    <row r="7" ht="36" customHeight="1">
      <c r="A7" s="19" t="inlineStr">
        <is>
          <t>Selling, general &amp; administrative</t>
        </is>
      </c>
      <c r="B7" s="20" t="inlineStr">
        <is>
          <t>SG&amp;A leverage improves slowly as revenue stabilizes; ratio declines toward 39.5% by FY2030 from cost discipline.</t>
        </is>
      </c>
      <c r="C7" s="21" t="inlineStr">
        <is>
          <t>LULU historical SG&amp;A (10-K)</t>
        </is>
      </c>
      <c r="D7" s="22" t="inlineStr">
        <is>
          <t>"Selling, general and administrative expenses" $4,066,556 ÷ revenue = 36.7%</t>
        </is>
      </c>
      <c r="E7" s="31" t="n">
        <v>2757447</v>
      </c>
      <c r="F7" s="31" t="n">
        <v>3397218</v>
      </c>
      <c r="G7" s="31" t="n">
        <v>3762379</v>
      </c>
      <c r="H7" s="31" t="n">
        <v>4066556</v>
      </c>
      <c r="I7" s="26">
        <f>I4*'Assumptions'!I7</f>
        <v/>
      </c>
      <c r="J7" s="26">
        <f>J4*'Assumptions'!J7</f>
        <v/>
      </c>
      <c r="K7" s="26">
        <f>K4*'Assumptions'!K7</f>
        <v/>
      </c>
      <c r="L7" s="26">
        <f>L4*'Assumptions'!L7</f>
        <v/>
      </c>
      <c r="M7" s="26">
        <f>M4*'Assumptions'!M7</f>
        <v/>
      </c>
    </row>
    <row r="8" ht="36" customHeight="1">
      <c r="A8" s="19" t="inlineStr">
        <is>
          <t>Amortization of intangibles / other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"Amortization of intangible assets" → FY25 $6,961 (≈$7M run-rate)</t>
        </is>
      </c>
      <c r="E8" s="31" t="n">
        <v>406485</v>
      </c>
      <c r="F8" s="31" t="n">
        <v>79511</v>
      </c>
      <c r="G8" s="31" t="n">
        <v>2735</v>
      </c>
      <c r="H8" s="31" t="n">
        <v>6961</v>
      </c>
      <c r="I8" s="26">
        <f>'Assumptions'!I8</f>
        <v/>
      </c>
      <c r="J8" s="26">
        <f>'Assumptions'!J8</f>
        <v/>
      </c>
      <c r="K8" s="26">
        <f>'Assumptions'!K8</f>
        <v/>
      </c>
      <c r="L8" s="26">
        <f>'Assumptions'!L8</f>
        <v/>
      </c>
      <c r="M8" s="26">
        <f>'Assumptions'!M8</f>
        <v/>
      </c>
    </row>
    <row r="9">
      <c r="A9" s="32" t="inlineStr">
        <is>
          <t>Operating income (EBIT)</t>
        </is>
      </c>
      <c r="E9" s="33">
        <f>E6-E7-E8</f>
        <v/>
      </c>
      <c r="F9" s="33">
        <f>F6-F7-F8</f>
        <v/>
      </c>
      <c r="G9" s="33">
        <f>G6-G7-G8</f>
        <v/>
      </c>
      <c r="H9" s="33">
        <f>H6-H7-H8</f>
        <v/>
      </c>
      <c r="I9" s="33">
        <f>I6-I7-I8</f>
        <v/>
      </c>
      <c r="J9" s="33">
        <f>J6-J7-J8</f>
        <v/>
      </c>
      <c r="K9" s="33">
        <f>K6-K7-K8</f>
        <v/>
      </c>
      <c r="L9" s="33">
        <f>L6-L7-L8</f>
        <v/>
      </c>
      <c r="M9" s="33">
        <f>M6-M7-M8</f>
        <v/>
      </c>
    </row>
    <row r="10" ht="36" customHeight="1">
      <c r="A10" s="19" t="inlineStr">
        <is>
          <t>Other income, net</t>
        </is>
      </c>
      <c r="B10" s="20" t="inlineStr">
        <is>
          <t>Interest income declines as cash is deployed; $130M FY26 stepping down with lower cash balances.</t>
        </is>
      </c>
      <c r="C10" s="21" t="inlineStr">
        <is>
          <t>LULU FY2025 10-K</t>
        </is>
      </c>
      <c r="D10" s="22" t="inlineStr">
        <is>
          <t>"Other income (expense), net" → FY25 $28,352 (interest income on cash)</t>
        </is>
      </c>
      <c r="E10" s="31" t="n">
        <v>4163</v>
      </c>
      <c r="F10" s="31" t="n">
        <v>43059</v>
      </c>
      <c r="G10" s="31" t="n">
        <v>70380</v>
      </c>
      <c r="H10" s="31" t="n">
        <v>28352</v>
      </c>
      <c r="I10" s="26">
        <f>'Assumptions'!I9</f>
        <v/>
      </c>
      <c r="J10" s="26">
        <f>'Assumptions'!J9</f>
        <v/>
      </c>
      <c r="K10" s="26">
        <f>'Assumptions'!K9</f>
        <v/>
      </c>
      <c r="L10" s="26">
        <f>'Assumptions'!L9</f>
        <v/>
      </c>
      <c r="M10" s="26">
        <f>'Assumptions'!M9</f>
        <v/>
      </c>
    </row>
    <row r="11">
      <c r="A11" s="32" t="inlineStr">
        <is>
          <t>Pre-tax income</t>
        </is>
      </c>
      <c r="E11" s="33">
        <f>E9+E10</f>
        <v/>
      </c>
      <c r="F11" s="33">
        <f>F9+F10</f>
        <v/>
      </c>
      <c r="G11" s="33">
        <f>G9+G10</f>
        <v/>
      </c>
      <c r="H11" s="33">
        <f>H9+H10</f>
        <v/>
      </c>
      <c r="I11" s="33">
        <f>I9+I10</f>
        <v/>
      </c>
      <c r="J11" s="33">
        <f>J9+J10</f>
        <v/>
      </c>
      <c r="K11" s="33">
        <f>K9+K10</f>
        <v/>
      </c>
      <c r="L11" s="33">
        <f>L9+L10</f>
        <v/>
      </c>
      <c r="M11" s="33">
        <f>M9+M10</f>
        <v/>
      </c>
    </row>
    <row r="12" ht="36" customHeight="1">
      <c r="A12" s="19" t="inlineStr">
        <is>
          <t>Income tax expense</t>
        </is>
      </c>
      <c r="B12" s="20" t="inlineStr">
        <is>
          <t>30% effective tax rate on projections; conservative vs recent ~29% effective, allows for jurisdictional mix.</t>
        </is>
      </c>
      <c r="C12" s="21" t="inlineStr">
        <is>
          <t>LULU effective tax history (10-K)</t>
        </is>
      </c>
      <c r="D12" s="22" t="inlineStr">
        <is>
          <t>"Provision for income taxes" $659,784 ÷ "Income before income taxes" $2,238,967 = 29.5%</t>
        </is>
      </c>
      <c r="E12" s="31" t="n">
        <v>477771</v>
      </c>
      <c r="F12" s="31" t="n">
        <v>625545</v>
      </c>
      <c r="G12" s="31" t="n">
        <v>761461</v>
      </c>
      <c r="H12" s="31" t="n">
        <v>659784</v>
      </c>
      <c r="I12" s="26">
        <f>I11*'Assumptions'!I10</f>
        <v/>
      </c>
      <c r="J12" s="26">
        <f>J11*'Assumptions'!J10</f>
        <v/>
      </c>
      <c r="K12" s="26">
        <f>K11*'Assumptions'!K10</f>
        <v/>
      </c>
      <c r="L12" s="26">
        <f>L11*'Assumptions'!L10</f>
        <v/>
      </c>
      <c r="M12" s="26">
        <f>M11*'Assumptions'!M10</f>
        <v/>
      </c>
    </row>
    <row r="13">
      <c r="A13" s="32" t="inlineStr">
        <is>
          <t>Net income</t>
        </is>
      </c>
      <c r="E13" s="34">
        <f>E11-E12</f>
        <v/>
      </c>
      <c r="F13" s="34">
        <f>F11-F12</f>
        <v/>
      </c>
      <c r="G13" s="34">
        <f>G11-G12</f>
        <v/>
      </c>
      <c r="H13" s="34">
        <f>H11-H12</f>
        <v/>
      </c>
      <c r="I13" s="34">
        <f>I11-I12</f>
        <v/>
      </c>
      <c r="J13" s="34">
        <f>J11-J12</f>
        <v/>
      </c>
      <c r="K13" s="34">
        <f>K11-K12</f>
        <v/>
      </c>
      <c r="L13" s="34">
        <f>L11-L12</f>
        <v/>
      </c>
      <c r="M13" s="34">
        <f>M11-M12</f>
        <v/>
      </c>
    </row>
    <row r="15" ht="54" customHeight="1">
      <c r="A15" s="19" t="inlineStr">
        <is>
          <t>Diluted weighted-avg shares (000)</t>
        </is>
      </c>
      <c r="B15" s="22" t="inlineStr">
        <is>
          <t>$500M annual repurchases; continued capital return at moderated pace vs FY24–25 peak buyback levels.
Also: Repurchase price rises with recovery thesis; $105 to $135 reflects assumed gradual share-price normalization.</t>
        </is>
      </c>
      <c r="C15" s="35" t="inlineStr">
        <is>
          <t>LULU CF: share repurchases (10-K)
Also: LULU avg repurchase price (10-K/est.)</t>
        </is>
      </c>
      <c r="D15" s="22" t="inlineStr">
        <is>
          <t>"Repurchase of common stock" → FY25 $(1,178,349); model $(500,000)/yr
Also: "Repurchase of common stock" footnote → avg price paid per share</t>
        </is>
      </c>
      <c r="E15" s="31" t="n">
        <v>128017</v>
      </c>
      <c r="F15" s="31" t="n">
        <v>127060</v>
      </c>
      <c r="G15" s="31" t="n">
        <v>123935</v>
      </c>
      <c r="H15" s="31" t="n">
        <v>119068</v>
      </c>
      <c r="I15" s="26">
        <f>H15-'Assumptions'!I27/'Assumptions'!I28</f>
        <v/>
      </c>
      <c r="J15" s="26">
        <f>I15-'Assumptions'!J27/'Assumptions'!J28</f>
        <v/>
      </c>
      <c r="K15" s="26">
        <f>J15-'Assumptions'!K27/'Assumptions'!K28</f>
        <v/>
      </c>
      <c r="L15" s="26">
        <f>K15-'Assumptions'!L27/'Assumptions'!L28</f>
        <v/>
      </c>
      <c r="M15" s="26">
        <f>L15-'Assumptions'!M27/'Assumptions'!M28</f>
        <v/>
      </c>
    </row>
    <row r="16">
      <c r="A16" s="32" t="inlineStr">
        <is>
          <t>Diluted EPS ($)</t>
        </is>
      </c>
      <c r="E16" s="36" t="n">
        <v>6.68</v>
      </c>
      <c r="F16" s="36" t="n">
        <v>12.2</v>
      </c>
      <c r="G16" s="36" t="n">
        <v>14.64</v>
      </c>
      <c r="H16" s="36" t="n">
        <v>13.26</v>
      </c>
      <c r="I16" s="37">
        <f>I13/I15</f>
        <v/>
      </c>
      <c r="J16" s="37">
        <f>J13/J15</f>
        <v/>
      </c>
      <c r="K16" s="37">
        <f>K13/K15</f>
        <v/>
      </c>
      <c r="L16" s="37">
        <f>L13/L15</f>
        <v/>
      </c>
      <c r="M16" s="37">
        <f>M13/M15</f>
        <v/>
      </c>
    </row>
    <row r="18">
      <c r="A18" s="38" t="inlineStr">
        <is>
          <t>Margins &amp; growth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39" t="inlineStr">
        <is>
          <t>Gross margin %</t>
        </is>
      </c>
      <c r="E19" s="40">
        <f>E6/E4</f>
        <v/>
      </c>
      <c r="F19" s="40">
        <f>F6/F4</f>
        <v/>
      </c>
      <c r="G19" s="40">
        <f>G6/G4</f>
        <v/>
      </c>
      <c r="H19" s="40">
        <f>H6/H4</f>
        <v/>
      </c>
      <c r="I19" s="40">
        <f>I6/I4</f>
        <v/>
      </c>
      <c r="J19" s="40">
        <f>J6/J4</f>
        <v/>
      </c>
      <c r="K19" s="40">
        <f>K6/K4</f>
        <v/>
      </c>
      <c r="L19" s="40">
        <f>L6/L4</f>
        <v/>
      </c>
      <c r="M19" s="40">
        <f>M6/M4</f>
        <v/>
      </c>
    </row>
    <row r="20">
      <c r="A20" s="39" t="inlineStr">
        <is>
          <t>Operating margin %</t>
        </is>
      </c>
      <c r="E20" s="40">
        <f>E9/E4</f>
        <v/>
      </c>
      <c r="F20" s="40">
        <f>F9/F4</f>
        <v/>
      </c>
      <c r="G20" s="40">
        <f>G9/G4</f>
        <v/>
      </c>
      <c r="H20" s="40">
        <f>H9/H4</f>
        <v/>
      </c>
      <c r="I20" s="40">
        <f>I9/I4</f>
        <v/>
      </c>
      <c r="J20" s="40">
        <f>J9/J4</f>
        <v/>
      </c>
      <c r="K20" s="40">
        <f>K9/K4</f>
        <v/>
      </c>
      <c r="L20" s="40">
        <f>L9/L4</f>
        <v/>
      </c>
      <c r="M20" s="40">
        <f>M9/M4</f>
        <v/>
      </c>
    </row>
    <row r="21">
      <c r="A21" s="39" t="inlineStr">
        <is>
          <t>Net margin %</t>
        </is>
      </c>
      <c r="E21" s="40">
        <f>E13/E4</f>
        <v/>
      </c>
      <c r="F21" s="40">
        <f>F13/F4</f>
        <v/>
      </c>
      <c r="G21" s="40">
        <f>G13/G4</f>
        <v/>
      </c>
      <c r="H21" s="40">
        <f>H13/H4</f>
        <v/>
      </c>
      <c r="I21" s="40">
        <f>I13/I4</f>
        <v/>
      </c>
      <c r="J21" s="40">
        <f>J13/J4</f>
        <v/>
      </c>
      <c r="K21" s="40">
        <f>K13/K4</f>
        <v/>
      </c>
      <c r="L21" s="40">
        <f>L13/L4</f>
        <v/>
      </c>
      <c r="M21" s="40">
        <f>M13/M4</f>
        <v/>
      </c>
    </row>
    <row r="22">
      <c r="A22" s="39" t="inlineStr">
        <is>
          <t>Revenue growth %</t>
        </is>
      </c>
      <c r="E22" s="41" t="inlineStr">
        <is>
          <t>n/a</t>
        </is>
      </c>
      <c r="F22" s="40">
        <f>F4/E4-1</f>
        <v/>
      </c>
      <c r="G22" s="40">
        <f>G4/F4-1</f>
        <v/>
      </c>
      <c r="H22" s="40">
        <f>H4/G4-1</f>
        <v/>
      </c>
      <c r="I22" s="40">
        <f>I4/H4-1</f>
        <v/>
      </c>
      <c r="J22" s="40">
        <f>J4/I4-1</f>
        <v/>
      </c>
      <c r="K22" s="40">
        <f>K4/J4-1</f>
        <v/>
      </c>
      <c r="L22" s="40">
        <f>L4/K4-1</f>
        <v/>
      </c>
      <c r="M22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7" r:id="rId15"/>
    <hyperlink xmlns:r="http://schemas.openxmlformats.org/officeDocument/2006/relationships" ref="E7" r:id="rId16"/>
    <hyperlink xmlns:r="http://schemas.openxmlformats.org/officeDocument/2006/relationships" ref="F7" r:id="rId17"/>
    <hyperlink xmlns:r="http://schemas.openxmlformats.org/officeDocument/2006/relationships" ref="G7" r:id="rId18"/>
    <hyperlink xmlns:r="http://schemas.openxmlformats.org/officeDocument/2006/relationships" ref="H7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10" r:id="rId25"/>
    <hyperlink xmlns:r="http://schemas.openxmlformats.org/officeDocument/2006/relationships" ref="E10" r:id="rId26"/>
    <hyperlink xmlns:r="http://schemas.openxmlformats.org/officeDocument/2006/relationships" ref="F10" r:id="rId27"/>
    <hyperlink xmlns:r="http://schemas.openxmlformats.org/officeDocument/2006/relationships" ref="G10" r:id="rId28"/>
    <hyperlink xmlns:r="http://schemas.openxmlformats.org/officeDocument/2006/relationships" ref="H10" r:id="rId29"/>
    <hyperlink xmlns:r="http://schemas.openxmlformats.org/officeDocument/2006/relationships" ref="C12" r:id="rId30"/>
    <hyperlink xmlns:r="http://schemas.openxmlformats.org/officeDocument/2006/relationships" ref="E12" r:id="rId31"/>
    <hyperlink xmlns:r="http://schemas.openxmlformats.org/officeDocument/2006/relationships" ref="F12" r:id="rId32"/>
    <hyperlink xmlns:r="http://schemas.openxmlformats.org/officeDocument/2006/relationships" ref="G12" r:id="rId33"/>
    <hyperlink xmlns:r="http://schemas.openxmlformats.org/officeDocument/2006/relationships" ref="H12" r:id="rId34"/>
    <hyperlink xmlns:r="http://schemas.openxmlformats.org/officeDocument/2006/relationships" ref="C15" r:id="rId35"/>
    <hyperlink xmlns:r="http://schemas.openxmlformats.org/officeDocument/2006/relationships" ref="E15" r:id="rId36"/>
    <hyperlink xmlns:r="http://schemas.openxmlformats.org/officeDocument/2006/relationships" ref="F15" r:id="rId37"/>
    <hyperlink xmlns:r="http://schemas.openxmlformats.org/officeDocument/2006/relationships" ref="G15" r:id="rId38"/>
    <hyperlink xmlns:r="http://schemas.openxmlformats.org/officeDocument/2006/relationships" ref="H15" r:id="rId39"/>
    <hyperlink xmlns:r="http://schemas.openxmlformats.org/officeDocument/2006/relationships" ref="E16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1" t="n">
        <v>1154867</v>
      </c>
      <c r="F6" s="31" t="n">
        <v>2243971</v>
      </c>
      <c r="G6" s="31" t="n">
        <v>1984336</v>
      </c>
      <c r="H6" s="31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"Inventories" $1,700,753 ÷ "Cost of goods sold" $4,818,468 = 35.3%</t>
        </is>
      </c>
      <c r="E7" s="31" t="n">
        <v>1447367</v>
      </c>
      <c r="F7" s="31" t="n">
        <v>1323602</v>
      </c>
      <c r="G7" s="31" t="n">
        <v>1442081</v>
      </c>
      <c r="H7" s="31" t="n">
        <v>1700753</v>
      </c>
      <c r="I7" s="26">
        <f>'Income Statement'!I5*'Assumptions'!I16</f>
        <v/>
      </c>
      <c r="J7" s="26">
        <f>'Income Statement'!J5*'Assumptions'!J16</f>
        <v/>
      </c>
      <c r="K7" s="26">
        <f>'Income Statement'!K5*'Assumptions'!K16</f>
        <v/>
      </c>
      <c r="L7" s="26">
        <f>'Income Statement'!L5*'Assumptions'!L16</f>
        <v/>
      </c>
      <c r="M7" s="26">
        <f>'Income Statement'!M5*'Assumptions'!M16</f>
        <v/>
      </c>
    </row>
    <row r="8" ht="36" customHeight="1">
      <c r="A8" s="19" t="inlineStr">
        <is>
          <t>Other current assets</t>
        </is>
      </c>
      <c r="B8" s="20" t="inlineStr">
        <is>
          <t>Other current assets 6.8% of revenue; prepaid and receivable balance consistent with recent history.</t>
        </is>
      </c>
      <c r="C8" s="21" t="inlineStr">
        <is>
          <t>LULU balance sheet (10-K)</t>
        </is>
      </c>
      <c r="D8" s="22" t="inlineStr">
        <is>
          <t>"Other current assets" → derive from current assets less cash, A/R, inventory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Statement'!I4*'Assumptions'!I19</f>
        <v/>
      </c>
      <c r="J8" s="26">
        <f>'Income Statement'!J4*'Assumptions'!J19</f>
        <v/>
      </c>
      <c r="K8" s="26">
        <f>'Income Statement'!K4*'Assumptions'!K19</f>
        <v/>
      </c>
      <c r="L8" s="26">
        <f>'Income Statement'!L4*'Assumptions'!L19</f>
        <v/>
      </c>
      <c r="M8" s="26">
        <f>'Income Statement'!M4*'Assumptions'!M19</f>
        <v/>
      </c>
    </row>
    <row r="9">
      <c r="A9" s="32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Capex fades from 5.5% to 5.0%; reflects completion of major supply-chain projects and normalized store growth.</t>
        </is>
      </c>
      <c r="C11" s="21" t="inlineStr">
        <is>
          <t>LULU CF statement (10-K)</t>
        </is>
      </c>
      <c r="D11" s="22" t="inlineStr">
        <is>
          <t>"Capital expenditures" $(680,802) ÷ "Net revenue" = 6.1%; model fades to 5.0%</t>
        </is>
      </c>
      <c r="E11" s="31" t="n">
        <v>1269614</v>
      </c>
      <c r="F11" s="31" t="n">
        <v>1545811</v>
      </c>
      <c r="G11" s="31" t="n">
        <v>1780617</v>
      </c>
      <c r="H11" s="31" t="n">
        <v>2033720</v>
      </c>
      <c r="I11" s="26">
        <f>H11+'Income Statement'!I4*'Assumptions'!I13-'Income Statement'!I4*'Assumptions'!I12</f>
        <v/>
      </c>
      <c r="J11" s="26">
        <f>I11+'Income Statement'!J4*'Assumptions'!J13-'Income Statement'!J4*'Assumptions'!J12</f>
        <v/>
      </c>
      <c r="K11" s="26">
        <f>J11+'Income Statement'!K4*'Assumptions'!K13-'Income Statement'!K4*'Assumptions'!K12</f>
        <v/>
      </c>
      <c r="L11" s="26">
        <f>K11+'Income Statement'!L4*'Assumptions'!L13-'Income Statement'!L4*'Assumptions'!L12</f>
        <v/>
      </c>
      <c r="M11" s="26">
        <f>L11+'Income Statement'!M4*'Assumptions'!M13-'Income Statement'!M4*'Assumptions'!M12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"Operating lease right-of-use assets" $1,630,181 ÷ revenue = 14.7%</t>
        </is>
      </c>
      <c r="E12" s="31" t="n">
        <v>969419</v>
      </c>
      <c r="F12" s="31" t="n">
        <v>1265610</v>
      </c>
      <c r="G12" s="31" t="n">
        <v>1416256</v>
      </c>
      <c r="H12" s="31" t="n">
        <v>1630181</v>
      </c>
      <c r="I12" s="26">
        <f>'Income Statement'!I4*'Assumptions'!I20</f>
        <v/>
      </c>
      <c r="J12" s="26">
        <f>'Income Statement'!J4*'Assumptions'!J20</f>
        <v/>
      </c>
      <c r="K12" s="26">
        <f>'Income Statement'!K4*'Assumptions'!K20</f>
        <v/>
      </c>
      <c r="L12" s="26">
        <f>'Income Statement'!L4*'Assumptions'!L20</f>
        <v/>
      </c>
      <c r="M12" s="26">
        <f>'Income Statement'!M4*'Assumptions'!M20</f>
        <v/>
      </c>
    </row>
    <row r="13">
      <c r="A13" s="19" t="inlineStr">
        <is>
          <t>Goodwill &amp; intangible assets</t>
        </is>
      </c>
      <c r="E13" s="31" t="n">
        <v>46105</v>
      </c>
      <c r="F13" s="31" t="n">
        <v>24083</v>
      </c>
      <c r="G13" s="31" t="n">
        <v>171191</v>
      </c>
      <c r="H13" s="31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Other non-current assets 3.0% of revenue; deferred costs and long-term deposits at normalized level.</t>
        </is>
      </c>
      <c r="C14" s="21" t="inlineStr">
        <is>
          <t>LULU balance sheet (10-K)</t>
        </is>
      </c>
      <c r="D14" s="22" t="inlineStr">
        <is>
          <t>"Other non-current assets" → total non-current assets less PP&amp;E, ROU, goodwill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Statement'!I4*'Assumptions'!I21</f>
        <v/>
      </c>
      <c r="J14" s="26">
        <f>'Income Statement'!J4*'Assumptions'!J21</f>
        <v/>
      </c>
      <c r="K14" s="26">
        <f>'Income Statement'!K4*'Assumptions'!K21</f>
        <v/>
      </c>
      <c r="L14" s="26">
        <f>'Income Statement'!L4*'Assumptions'!L21</f>
        <v/>
      </c>
      <c r="M14" s="26">
        <f>'Income Statement'!M4*'Assumptions'!M21</f>
        <v/>
      </c>
    </row>
    <row r="15">
      <c r="A15" s="32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4">
        <f>I9+I11+I12+I13+I14</f>
        <v/>
      </c>
      <c r="J15" s="34">
        <f>J9+J11+J12+J13+J14</f>
        <v/>
      </c>
      <c r="K15" s="34">
        <f>K9+K11+K12+K13+K14</f>
        <v/>
      </c>
      <c r="L15" s="34">
        <f>L9+L11+L12+L13+L14</f>
        <v/>
      </c>
      <c r="M15" s="34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"Accounts payable" $331,421 ÷ "Cost of goods sold" $4,818,468 = 6.9%</t>
        </is>
      </c>
      <c r="E19" s="31" t="n">
        <v>172732</v>
      </c>
      <c r="F19" s="31" t="n">
        <v>348441</v>
      </c>
      <c r="G19" s="31" t="n">
        <v>271406</v>
      </c>
      <c r="H19" s="31" t="n">
        <v>331421</v>
      </c>
      <c r="I19" s="26">
        <f>'Income Statement'!I5*'Assumptions'!I17</f>
        <v/>
      </c>
      <c r="J19" s="26">
        <f>'Income Statement'!J5*'Assumptions'!J17</f>
        <v/>
      </c>
      <c r="K19" s="26">
        <f>'Income Statement'!K5*'Assumptions'!K17</f>
        <v/>
      </c>
      <c r="L19" s="26">
        <f>'Income Statement'!L5*'Assumptions'!L17</f>
        <v/>
      </c>
      <c r="M19" s="26">
        <f>'Income Statement'!M5*'Assumptions'!M17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"Accrued liabilities" $662,982 ÷ "Net revenue" $11,102,600 = 6.0%</t>
        </is>
      </c>
      <c r="E20" s="31" t="n">
        <v>399223</v>
      </c>
      <c r="F20" s="31" t="n">
        <v>348555</v>
      </c>
      <c r="G20" s="31" t="n">
        <v>559463</v>
      </c>
      <c r="H20" s="31" t="n">
        <v>662982</v>
      </c>
      <c r="I20" s="26">
        <f>'Income Statement'!I4*'Assumptions'!I18</f>
        <v/>
      </c>
      <c r="J20" s="26">
        <f>'Income Statement'!J4*'Assumptions'!J18</f>
        <v/>
      </c>
      <c r="K20" s="26">
        <f>'Income Statement'!K4*'Assumptions'!K18</f>
        <v/>
      </c>
      <c r="L20" s="26">
        <f>'Income Statement'!L4*'Assumptions'!L18</f>
        <v/>
      </c>
      <c r="M20" s="26">
        <f>'Income Statement'!M4*'Assumptions'!M18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"Current portion of operating lease liabilities" $298,724 ÷ revenue = 2.7%</t>
        </is>
      </c>
      <c r="E21" s="31" t="n">
        <v>207972</v>
      </c>
      <c r="F21" s="31" t="n">
        <v>249270</v>
      </c>
      <c r="G21" s="31" t="n">
        <v>275154</v>
      </c>
      <c r="H21" s="31" t="n">
        <v>298724</v>
      </c>
      <c r="I21" s="26">
        <f>'Income Statement'!I4*'Assumptions'!I22</f>
        <v/>
      </c>
      <c r="J21" s="26">
        <f>'Income Statement'!J4*'Assumptions'!J22</f>
        <v/>
      </c>
      <c r="K21" s="26">
        <f>'Income Statement'!K4*'Assumptions'!K22</f>
        <v/>
      </c>
      <c r="L21" s="26">
        <f>'Income Statement'!L4*'Assumptions'!L22</f>
        <v/>
      </c>
      <c r="M21" s="26">
        <f>'Income Statement'!M4*'Assumptions'!M22</f>
        <v/>
      </c>
    </row>
    <row r="22" ht="36" customHeight="1">
      <c r="A22" s="19" t="inlineStr">
        <is>
          <t>Other current liabilities</t>
        </is>
      </c>
      <c r="B22" s="20" t="inlineStr">
        <is>
          <t>Other current liabilities 5.5% of revenue; gift cards, deferred revenue, and other short-term obligations.</t>
        </is>
      </c>
      <c r="C22" s="21" t="inlineStr">
        <is>
          <t>LULU balance sheet (10-K)</t>
        </is>
      </c>
      <c r="D22" s="22" t="inlineStr">
        <is>
          <t>"Other current liabilities" → gift cards, deferred revenue (ex-lease) ÷ revenue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>
      <c r="A23" s="32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3">
        <f>I19+I20+I21+I22</f>
        <v/>
      </c>
      <c r="J23" s="33">
        <f>J19+J20+J21+J22</f>
        <v/>
      </c>
      <c r="K23" s="33">
        <f>K19+K20+K21+K22</f>
        <v/>
      </c>
      <c r="L23" s="33">
        <f>L19+L20+L21+L22</f>
        <v/>
      </c>
      <c r="M23" s="33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"Operating lease liabilities" $1,499,717 (non-current) ÷ revenue = 13.5%</t>
        </is>
      </c>
      <c r="E25" s="31" t="n">
        <v>862362</v>
      </c>
      <c r="F25" s="31" t="n">
        <v>1154012</v>
      </c>
      <c r="G25" s="31" t="n">
        <v>1300637</v>
      </c>
      <c r="H25" s="31" t="n">
        <v>1499717</v>
      </c>
      <c r="I25" s="26">
        <f>'Income Statement'!I4*'Assumptions'!I23</f>
        <v/>
      </c>
      <c r="J25" s="26">
        <f>'Income Statement'!J4*'Assumptions'!J23</f>
        <v/>
      </c>
      <c r="K25" s="26">
        <f>'Income Statement'!K4*'Assumptions'!K23</f>
        <v/>
      </c>
      <c r="L25" s="26">
        <f>'Income Statement'!L4*'Assumptions'!L23</f>
        <v/>
      </c>
      <c r="M25" s="26">
        <f>'Income Statement'!M4*'Assumptions'!M23</f>
        <v/>
      </c>
    </row>
    <row r="26">
      <c r="A26" s="19" t="inlineStr">
        <is>
          <t>Deferred income taxes</t>
        </is>
      </c>
      <c r="E26" s="31" t="n">
        <v>55084</v>
      </c>
      <c r="F26" s="31" t="n">
        <v>29522</v>
      </c>
      <c r="G26" s="31" t="n">
        <v>98188</v>
      </c>
      <c r="H26" s="31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"Other non-current liabilities" → minor long-term accruals ÷ revenue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Statement'!I4*'Assumptions'!I25</f>
        <v/>
      </c>
      <c r="J27" s="26">
        <f>'Income Statement'!J4*'Assumptions'!J25</f>
        <v/>
      </c>
      <c r="K27" s="26">
        <f>'Income Statement'!K4*'Assumptions'!K25</f>
        <v/>
      </c>
      <c r="L27" s="26">
        <f>'Income Statement'!L4*'Assumptions'!L25</f>
        <v/>
      </c>
      <c r="M27" s="26">
        <f>'Income Statement'!M4*'Assumptions'!M25</f>
        <v/>
      </c>
    </row>
    <row r="28">
      <c r="A28" s="32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3">
        <f>I23+I25+I26+I27</f>
        <v/>
      </c>
      <c r="J28" s="33">
        <f>J23+J25+J26+J27</f>
        <v/>
      </c>
      <c r="K28" s="33">
        <f>K23+K25+K26+K27</f>
        <v/>
      </c>
      <c r="L28" s="33">
        <f>L23+L25+L26+L27</f>
        <v/>
      </c>
      <c r="M28" s="33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$70M annual SBC; modest decline from FY25 as headcount growth slows in restructuring period.</t>
        </is>
      </c>
      <c r="C31" s="21" t="inlineStr">
        <is>
          <t>LULU CF statement (10-K)</t>
        </is>
      </c>
      <c r="D31" s="22" t="inlineStr">
        <is>
          <t>"Stock-based compensation" → FY25 $62,203; model $70,000</t>
        </is>
      </c>
      <c r="E31" s="31" t="n">
        <v>475256</v>
      </c>
      <c r="F31" s="31" t="n">
        <v>575975</v>
      </c>
      <c r="G31" s="31" t="n">
        <v>638771</v>
      </c>
      <c r="H31" s="31" t="n">
        <v>669949</v>
      </c>
      <c r="I31" s="26">
        <f>H31+'Assumptions'!I14</f>
        <v/>
      </c>
      <c r="J31" s="26">
        <f>I31+'Assumptions'!J14</f>
        <v/>
      </c>
      <c r="K31" s="26">
        <f>J31+'Assumptions'!K14</f>
        <v/>
      </c>
      <c r="L31" s="26">
        <f>K31+'Assumptions'!L14</f>
        <v/>
      </c>
      <c r="M31" s="26">
        <f>L31+'Assumptions'!M14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"Repurchase of common stock" → FY25 $(1,178,349); model $(500,000)/yr</t>
        </is>
      </c>
      <c r="E32" s="31" t="n">
        <v>2926127</v>
      </c>
      <c r="F32" s="31" t="n">
        <v>3920362</v>
      </c>
      <c r="G32" s="31" t="n">
        <v>4109717</v>
      </c>
      <c r="H32" s="31" t="n">
        <v>4522581</v>
      </c>
      <c r="I32" s="26">
        <f>H32+'Income Statement'!I13-'Assumptions'!I27</f>
        <v/>
      </c>
      <c r="J32" s="26">
        <f>I32+'Income Statement'!J13-'Assumptions'!J27</f>
        <v/>
      </c>
      <c r="K32" s="26">
        <f>J32+'Income Statement'!K13-'Assumptions'!K27</f>
        <v/>
      </c>
      <c r="L32" s="26">
        <f>K32+'Income Statement'!L13-'Assumptions'!L27</f>
        <v/>
      </c>
      <c r="M32" s="26">
        <f>L32+'Income Statement'!M13-'Assumptions'!M27</f>
        <v/>
      </c>
    </row>
    <row r="33">
      <c r="A33" s="19" t="inlineStr">
        <is>
          <t>Accumulated other comprehensive loss</t>
        </is>
      </c>
      <c r="E33" s="31" t="n">
        <v>-252584</v>
      </c>
      <c r="F33" s="31" t="n">
        <v>-264256</v>
      </c>
      <c r="G33" s="31" t="n">
        <v>-424441</v>
      </c>
      <c r="H33" s="31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2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3">
        <f>I31+I32+I33</f>
        <v/>
      </c>
      <c r="J34" s="33">
        <f>J31+J32+J33</f>
        <v/>
      </c>
      <c r="K34" s="33">
        <f>K31+K32+K33</f>
        <v/>
      </c>
      <c r="L34" s="33">
        <f>L31+L32+L33</f>
        <v/>
      </c>
      <c r="M34" s="33">
        <f>M31+M32+M33</f>
        <v/>
      </c>
    </row>
    <row r="35">
      <c r="A35" s="32" t="inlineStr">
        <is>
          <t>TOTAL LIABILITIES &amp; EQUITY</t>
        </is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  <c r="L35" s="34">
        <f>L28+L34</f>
        <v/>
      </c>
      <c r="M35" s="34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1" t="n">
        <v>854800</v>
      </c>
      <c r="F5" s="31" t="n">
        <v>1550190</v>
      </c>
      <c r="G5" s="31" t="n">
        <v>1814616</v>
      </c>
      <c r="H5" s="31" t="n">
        <v>1579183</v>
      </c>
      <c r="I5" s="25">
        <f>'Income Statement'!I13</f>
        <v/>
      </c>
      <c r="J5" s="25">
        <f>'Income Statement'!J13</f>
        <v/>
      </c>
      <c r="K5" s="25">
        <f>'Income Statement'!K13</f>
        <v/>
      </c>
      <c r="L5" s="25">
        <f>'Income Statement'!L13</f>
        <v/>
      </c>
      <c r="M5" s="25">
        <f>'Income Statement'!M13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"Depreciation and amortization" $496,228 ÷ "Net revenue" $11,102,600 = 4.5%</t>
        </is>
      </c>
      <c r="E6" s="31" t="n">
        <v>291791</v>
      </c>
      <c r="F6" s="31" t="n">
        <v>379384</v>
      </c>
      <c r="G6" s="31" t="n">
        <v>446524</v>
      </c>
      <c r="H6" s="31" t="n">
        <v>496228</v>
      </c>
      <c r="I6" s="26">
        <f>'Income Statement'!I4*'Assumptions'!I12</f>
        <v/>
      </c>
      <c r="J6" s="26">
        <f>'Income Statement'!J4*'Assumptions'!J12</f>
        <v/>
      </c>
      <c r="K6" s="26">
        <f>'Income Statement'!K4*'Assumptions'!K12</f>
        <v/>
      </c>
      <c r="L6" s="26">
        <f>'Income Statement'!L4*'Assumptions'!L12</f>
        <v/>
      </c>
      <c r="M6" s="26">
        <f>'Income Statement'!M4*'Assumptions'!M12</f>
        <v/>
      </c>
    </row>
    <row r="7" ht="36" customHeight="1">
      <c r="A7" s="19" t="inlineStr">
        <is>
          <t>Stock-based compensation</t>
        </is>
      </c>
      <c r="B7" s="20" t="inlineStr">
        <is>
          <t>$70M annual SBC; modest decline from FY25 as headcount growth slows in restructuring period.</t>
        </is>
      </c>
      <c r="C7" s="21" t="inlineStr">
        <is>
          <t>LULU CF statement (10-K)</t>
        </is>
      </c>
      <c r="D7" s="22" t="inlineStr">
        <is>
          <t>"Stock-based compensation" → FY25 $62,203; model $70,000</t>
        </is>
      </c>
      <c r="E7" s="31" t="n">
        <v>78075</v>
      </c>
      <c r="F7" s="31" t="n">
        <v>93560</v>
      </c>
      <c r="G7" s="31" t="n">
        <v>90011</v>
      </c>
      <c r="H7" s="31" t="n">
        <v>62203</v>
      </c>
      <c r="I7" s="26">
        <f>'Assumptions'!I14</f>
        <v/>
      </c>
      <c r="J7" s="26">
        <f>'Assumptions'!J14</f>
        <v/>
      </c>
      <c r="K7" s="26">
        <f>'Assumptions'!K14</f>
        <v/>
      </c>
      <c r="L7" s="26">
        <f>'Assumptions'!L14</f>
        <v/>
      </c>
      <c r="M7" s="26">
        <f>'Assumptions'!M14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"Inventories" $1,700,753 ÷ "Cost of goods sold" $4,818,468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Other current assets 6.8% of revenue; prepaid and receivable balance consistent with recent history.</t>
        </is>
      </c>
      <c r="C9" s="21" t="inlineStr">
        <is>
          <t>LULU balance sheet (10-K)</t>
        </is>
      </c>
      <c r="D9" s="22" t="inlineStr">
        <is>
          <t>"Other current assets" → derive from current assets less cash, A/R, inventory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"Operating lease right-of-use assets" $1,630,181 ÷ revenue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Other non-current assets 3.0% of revenue; deferred costs and long-term deposits at normalized level.</t>
        </is>
      </c>
      <c r="C11" s="21" t="inlineStr">
        <is>
          <t>LULU balance sheet (10-K)</t>
        </is>
      </c>
      <c r="D11" s="22" t="inlineStr">
        <is>
          <t>"Other non-current assets" → total non-current assets less PP&amp;E, ROU, goodwill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"Accounts payable" $331,421 ÷ "Cost of goods sold" $4,818,468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"Accrued liabilities" $662,982 ÷ "Net revenue" $11,102,600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Other current liabilities 5.5% of revenue; gift cards, deferred revenue, and other short-term obligations.</t>
        </is>
      </c>
      <c r="C14" s="21" t="inlineStr">
        <is>
          <t>LULU balance sheet (10-K)</t>
        </is>
      </c>
      <c r="D14" s="22" t="inlineStr">
        <is>
          <t>"Other current liabilities" → gift cards, deferred revenue (ex-lease) ÷ revenue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"Current portion of operating lease liabilities" $298,724 ÷ revenue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2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3">
        <f>I5+I6+I7+SUM(I8:I17)</f>
        <v/>
      </c>
      <c r="J19" s="33">
        <f>J5+J6+J7+SUM(J8:J17)</f>
        <v/>
      </c>
      <c r="K19" s="33">
        <f>K5+K6+K7+SUM(K8:K17)</f>
        <v/>
      </c>
      <c r="L19" s="33">
        <f>L5+L6+L7+SUM(L8:L17)</f>
        <v/>
      </c>
      <c r="M19" s="33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Capex fades from 5.5% to 5.0%; reflects completion of major supply-chain projects and normalized store growth.</t>
        </is>
      </c>
      <c r="C22" s="21" t="inlineStr">
        <is>
          <t>LULU CF statement (10-K)</t>
        </is>
      </c>
      <c r="D22" s="22" t="inlineStr">
        <is>
          <t>"Capital expenditures" $(680,802) ÷ "Net revenue" = 6.1%; model fades to 5.0%</t>
        </is>
      </c>
      <c r="E22" s="31" t="n">
        <v>-638657</v>
      </c>
      <c r="F22" s="31" t="n">
        <v>-651865</v>
      </c>
      <c r="G22" s="31" t="n">
        <v>-689232</v>
      </c>
      <c r="H22" s="31" t="n">
        <v>-680802</v>
      </c>
      <c r="I22" s="26">
        <f>-'Income Statement'!I4*'Assumptions'!I13</f>
        <v/>
      </c>
      <c r="J22" s="26">
        <f>-'Income Statement'!J4*'Assumptions'!J13</f>
        <v/>
      </c>
      <c r="K22" s="26">
        <f>-'Income Statement'!K4*'Assumptions'!K13</f>
        <v/>
      </c>
      <c r="L22" s="26">
        <f>-'Income Statement'!L4*'Assumptions'!L13</f>
        <v/>
      </c>
      <c r="M22" s="26">
        <f>-'Income Statement'!M4*'Assumptions'!M13</f>
        <v/>
      </c>
    </row>
    <row r="23">
      <c r="A23" s="32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3">
        <f>I22</f>
        <v/>
      </c>
      <c r="J23" s="33">
        <f>J22</f>
        <v/>
      </c>
      <c r="K23" s="33">
        <f>K22</f>
        <v/>
      </c>
      <c r="L23" s="33">
        <f>L22</f>
        <v/>
      </c>
      <c r="M23" s="33">
        <f>M22</f>
        <v/>
      </c>
    </row>
    <row r="24">
      <c r="A24" s="28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"Repurchase of common stock" → FY25 $(1,178,349); model $(500,000)/yr</t>
        </is>
      </c>
      <c r="E27" s="31" t="n">
        <v>-444001</v>
      </c>
      <c r="F27" s="31" t="n">
        <v>-558652</v>
      </c>
      <c r="G27" s="31" t="n">
        <v>-1636879</v>
      </c>
      <c r="H27" s="31" t="n">
        <v>-1178349</v>
      </c>
      <c r="I27" s="26">
        <f>-'Assumptions'!I27</f>
        <v/>
      </c>
      <c r="J27" s="26">
        <f>-'Assumptions'!J27</f>
        <v/>
      </c>
      <c r="K27" s="26">
        <f>-'Assumptions'!K27</f>
        <v/>
      </c>
      <c r="L27" s="26">
        <f>-'Assumptions'!L27</f>
        <v/>
      </c>
      <c r="M27" s="26">
        <f>-'Assumptions'!M27</f>
        <v/>
      </c>
    </row>
    <row r="28">
      <c r="A28" s="32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3">
        <f>I27</f>
        <v/>
      </c>
      <c r="J28" s="33">
        <f>J27</f>
        <v/>
      </c>
      <c r="K28" s="33">
        <f>K27</f>
        <v/>
      </c>
      <c r="L28" s="33">
        <f>L27</f>
        <v/>
      </c>
      <c r="M28" s="33">
        <f>M27</f>
        <v/>
      </c>
    </row>
    <row r="29">
      <c r="A29" s="28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  <c r="L31" s="33">
        <f>L19+L23+L28</f>
        <v/>
      </c>
      <c r="M31" s="33">
        <f>M19+M23+M28</f>
        <v/>
      </c>
    </row>
    <row r="32">
      <c r="A32" s="19" t="inlineStr">
        <is>
          <t>Cash, beginning of year</t>
        </is>
      </c>
      <c r="E32" s="31" t="n">
        <v>1150517</v>
      </c>
      <c r="F32" s="31" t="n">
        <v>1154867</v>
      </c>
      <c r="G32" s="25">
        <f>'Balance Sheet'!F6</f>
        <v/>
      </c>
      <c r="H32" s="31" t="n">
        <v>1984336</v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2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4">
        <f>I32+I31</f>
        <v/>
      </c>
      <c r="J33" s="34">
        <f>J32+J31</f>
        <v/>
      </c>
      <c r="K33" s="34">
        <f>K32+K31</f>
        <v/>
      </c>
      <c r="L33" s="34">
        <f>L32+L31</f>
        <v/>
      </c>
      <c r="M33" s="34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2026-09-06T19:41:17Z</dcterms:created>
  <dcterms:modified xmlns:dcterms="http://purl.org/dc/terms/" xmlns:xsi="http://www.w3.org/2001/XMLSchema-instance" xsi:type="dcterms:W3CDTF">2026-09-06T19:41:17Z</dcterms:modified>
</cp:coreProperties>
</file>
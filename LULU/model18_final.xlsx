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corporate.lululemon.com/newsroom/press-releases/2026/09-03-2026-210528733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fred.stlouisfed.org/series/GDPC1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www.nasdaq.com/market-activity/stocks/lulu" TargetMode="External" Id="rId45"/><Relationship Type="http://schemas.openxmlformats.org/officeDocument/2006/relationships/hyperlink" Target="https://fred.stlouisfed.org/series/GDPC1" TargetMode="External" Id="rId46"/><Relationship Type="http://schemas.openxmlformats.org/officeDocument/2006/relationships/hyperlink" Target="https://www.stern.nyu.edu/~adamodar/New_Home_Page/datafile/histimpl.html" TargetMode="External" Id="rId47"/><Relationship Type="http://schemas.openxmlformats.org/officeDocument/2006/relationships/hyperlink" Target="https://fred.stlouisfed.org/series/GDPC1" TargetMode="External" Id="rId48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GLOBAL INVESTMENT SOCIETY  |  INVESTMENT RESEARCH DIVISION</t>
        </is>
      </c>
    </row>
    <row r="3"/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6"/>
    <row r="7">
      <c r="B7" s="4" t="inlineStr">
        <is>
          <t>Recommendation:  LONG / OVERWEIGHT</t>
        </is>
      </c>
    </row>
    <row r="8"/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= analyst assumptions (cols B/C on driver tabs)</t>
        </is>
      </c>
    </row>
    <row r="13"/>
    <row r="14">
      <c r="B14" s="5" t="inlineStr">
        <is>
          <t>TABS</t>
        </is>
      </c>
    </row>
    <row r="15">
      <c r="B15" s="9" t="inlineStr">
        <is>
          <t>WACC  •  Revenue Drivers  •  NOPAT Bridge  •  Scenarios  •  DCF  • 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NOPAT Bridge, DCF, Comps &amp; 3-Statement
.</t>
        </is>
      </c>
    </row>
    <row r="18"/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</t>
        </is>
      </c>
    </row>
    <row r="21" ht="36" customHeight="1">
      <c r="B21" s="10" t="inlineStr">
        <is>
          <t>FY2025 Form 10-K (ended Feb 1, 2026)</t>
        </is>
      </c>
    </row>
    <row r="22" ht="36" customHeight="1">
      <c r="B22" s="10" t="inlineStr">
        <is>
          <t>Market data &amp; Q2 FY2026 results (Sep 3, 2026 earnings release)</t>
        </is>
      </c>
    </row>
    <row r="23" ht="36" customHeight="1">
      <c r="B23" s="10" t="inlineStr">
        <is>
          <t>Current share price (NASDAQ: LULU)</t>
        </is>
      </c>
    </row>
    <row r="24"/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hidden="1" outlineLevel="1"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Notes</t>
        </is>
      </c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inlineStr">
        <is>
          <t>FRED DGS10 anchor (4.8%).</t>
        </is>
      </c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Damodaran implied ERP + 177bps overlay.</t>
        </is>
      </c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inlineStr">
        <is>
          <t>FY26 mgmt guidance (~30%).</t>
        </is>
      </c>
      <c r="C5" s="18" t="inlineStr">
        <is>
          <t>Q2 FY2026 outlook: tax rate ≈ 30%</t>
        </is>
      </c>
      <c r="D5" s="19" t="n"/>
      <c r="E5" s="20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NASDAQ last sale (~$100).</t>
        </is>
      </c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FY25 10-K share count.</t>
        </is>
      </c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Price × shares outstanding.</t>
        </is>
      </c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lease debt equiv.</t>
        </is>
      </c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inlineStr">
        <is>
          <t xml:space="preserve">  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No term debt (FY25 10-K).</t>
        </is>
      </c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5"/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inlineStr">
        <is>
          <t>Yahoo βL (5Y monthly).</t>
        </is>
      </c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inlineStr">
        <is>
          <t>Yahoo MRQ total debt.</t>
        </is>
      </c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inlineStr">
        <is>
          <t>Price × shares (Yahoo page).</t>
        </is>
      </c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inlineStr">
        <is>
          <t>Yahoo MRQ D/E for Hamada.</t>
        </is>
      </c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inlineStr">
        <is>
          <t>Yahoo book D/E reference.</t>
        </is>
      </c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inlineStr">
        <is>
          <t>Hamada unlever (Yahoo D/E).</t>
        </is>
      </c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inlineStr">
        <is>
          <t>FY25 lease debt / mkt cap.</t>
        </is>
      </c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inlineStr">
        <is>
          <t>Damodaran benchmark (unused).</t>
        </is>
      </c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inlineStr">
        <is>
          <t>Relevered β for CAPM.</t>
        </is>
      </c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inlineStr">
        <is>
          <t xml:space="preserve">  β walkthrough (Hamada; Yahoo Key Statistics source):</t>
        </is>
      </c>
    </row>
    <row r="27">
      <c r="A27" s="26" t="inlineStr">
        <is>
          <t xml:space="preserve">  (0) Yahoo βL = 0.86 (Beta 5Y Monthly). No vendor publishes D/E inside the regression.</t>
        </is>
      </c>
    </row>
    <row r="28">
      <c r="A28" s="26" t="inlineStr">
        <is>
          <t xml:space="preserve">  (1) Unlever at Yahoo market D/E = $2.14B debt (mrq) ÷ $11.14B mkt cap ≈ 0.19 → βu ≈ 0.76.</t>
        </is>
      </c>
    </row>
    <row r="29">
      <c r="A29" s="26" t="inlineStr">
        <is>
          <t xml:space="preserve">  (2) Relever at WACC D/E = FY25 10-K leases ÷ our market cap ≈ 0.16 → β used ≈ 0.84.</t>
        </is>
      </c>
    </row>
    <row r="30">
      <c r="A30" s="26" t="inlineStr">
        <is>
          <t xml:space="preserve">  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3"/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inlineStr">
        <is>
          <t>Lease-equivalent borrowing cost.</t>
        </is>
      </c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7"/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inlineStr">
        <is>
          <t>Mkt cap / total capital.</t>
        </is>
      </c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inlineStr">
        <is>
          <t>Lease debt / total capital.</t>
        </is>
      </c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3"/>
  <sheetViews>
    <sheetView showGridLines="0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hidden="1" outlineLevel="1"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Notes</t>
        </is>
      </c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inlineStr">
        <is>
          <t>Q2 FY26 mgmt guidance midpoint.</t>
        </is>
      </c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StockAnalysis 3Y revenue forecast.</t>
        </is>
      </c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Q2 FY26 run-rate OM (ex-tariff).</t>
        </is>
      </c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FY26 one-time tariff refund.</t>
        </is>
      </c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Partial recovery vs FY25 OM.</t>
        </is>
      </c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Lease-adjusted CAPM (WACC tab).</t>
        </is>
      </c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FRED GDPC1 anchor (~2.1%).</t>
        </is>
      </c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FY26 mgmt guidance (~30%).</t>
        </is>
      </c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FY25 D&amp;A run-rate vs sales.</t>
        </is>
      </c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guide fade to 5.5%.</t>
        </is>
      </c>
      <c r="C13" s="38" t="inlineStr">
        <is>
          <t>LULU 10-K: 2026 capex guide $725–745M
Also: Q2 FY2026 outlook: $10.350B–$10.500B sales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inlineStr">
        <is>
          <t>Held flat vs FY25 actuals.</t>
        </is>
      </c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inlineStr">
        <is>
          <t>Flat vs FY25 actuals.</t>
        </is>
      </c>
      <c r="C15" s="18" t="inlineStr">
        <is>
          <t>LULU FY2025 10-K: Accounts receivable, net</t>
        </is>
      </c>
      <c r="D15" s="19" t="n"/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inlineStr">
        <is>
          <t>FY25 anchor minus 1 day/yr.</t>
        </is>
      </c>
      <c r="C16" s="18" t="inlineStr">
        <is>
          <t>LULU FY2025 10-K: Inventories &amp; COGS</t>
        </is>
      </c>
      <c r="D16" s="19" t="n"/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Minus 1 day per forecast yr.</t>
        </is>
      </c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Flat vs FY25 actuals.</t>
        </is>
      </c>
      <c r="C18" s="18" t="inlineStr">
        <is>
          <t>LULU FY2025 10-K: Accounts payable &amp; COGS</t>
        </is>
      </c>
      <c r="D18" s="19" t="n"/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FY25 OCA % of revenue.</t>
        </is>
      </c>
      <c r="C19" s="18" t="inlineStr">
        <is>
          <t>LULU FY2025 10-K: other current assets (residual)</t>
        </is>
      </c>
      <c r="D19" s="19" t="n"/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FY25 accrued % of revenue.</t>
        </is>
      </c>
      <c r="C20" s="18" t="inlineStr">
        <is>
          <t>LULU FY2025 10-K: Accrued liabilities and other</t>
        </is>
      </c>
      <c r="D20" s="19" t="n"/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 xml:space="preserve">  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 xml:space="preserve">  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 xml:space="preserve">  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 xml:space="preserve">  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 xml:space="preserve">  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 xml:space="preserve">  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 xml:space="preserve">  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 xml:space="preserve">  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 xml:space="preserve">  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 xml:space="preserve">  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 xml:space="preserve">  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 xml:space="preserve">  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 xml:space="preserve">  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 xml:space="preserve">  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 xml:space="preserve">  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 xml:space="preserve">  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 xml:space="preserve">  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 xml:space="preserve">  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 xml:space="preserve">  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 xml:space="preserve">  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 xml:space="preserve">  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 xml:space="preserve">  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 xml:space="preserve">  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 xml:space="preserve">  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 xml:space="preserve">  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 xml:space="preserve">  NOPAT – year 1</t>
        </is>
      </c>
      <c r="F50" s="42">
        <f>F45*(1-'NOPAT Bridge'!F$39)</f>
        <v/>
      </c>
      <c r="G50" s="42">
        <f>'NOPAT Bridge'!F41</f>
        <v/>
      </c>
      <c r="H50" s="42">
        <f>H45*(1-'NOPAT Bridge'!F$39)</f>
        <v/>
      </c>
    </row>
    <row r="51">
      <c r="A51" s="41" t="inlineStr">
        <is>
          <t xml:space="preserve">  NOPAT – year 2</t>
        </is>
      </c>
      <c r="F51" s="42">
        <f>F46*(1-'NOPAT Bridge'!G$39)</f>
        <v/>
      </c>
      <c r="G51" s="42">
        <f>'NOPAT Bridge'!G41</f>
        <v/>
      </c>
      <c r="H51" s="42">
        <f>H46*(1-'NOPAT Bridge'!G$39)</f>
        <v/>
      </c>
    </row>
    <row r="52">
      <c r="A52" s="41" t="inlineStr">
        <is>
          <t xml:space="preserve">  NOPAT – year 3</t>
        </is>
      </c>
      <c r="F52" s="42">
        <f>F47*(1-'NOPAT Bridge'!H$39)</f>
        <v/>
      </c>
      <c r="G52" s="42">
        <f>'NOPAT Bridge'!H41</f>
        <v/>
      </c>
      <c r="H52" s="42">
        <f>H47*(1-'NOPAT Bridge'!H$39)</f>
        <v/>
      </c>
    </row>
    <row r="53">
      <c r="A53" s="41" t="inlineStr">
        <is>
          <t xml:space="preserve">  NOPAT – year 4</t>
        </is>
      </c>
      <c r="F53" s="42">
        <f>F48*(1-'NOPAT Bridge'!I$39)</f>
        <v/>
      </c>
      <c r="G53" s="42">
        <f>'NOPAT Bridge'!I41</f>
        <v/>
      </c>
      <c r="H53" s="42">
        <f>H48*(1-'NOPAT Bridge'!I$39)</f>
        <v/>
      </c>
    </row>
    <row r="54">
      <c r="A54" s="41" t="inlineStr">
        <is>
          <t xml:space="preserve">  NOPAT – year 5</t>
        </is>
      </c>
      <c r="F54" s="42">
        <f>F49*(1-'NOPAT Bridge'!J$39)</f>
        <v/>
      </c>
      <c r="G54" s="42">
        <f>'NOPAT Bridge'!J41</f>
        <v/>
      </c>
      <c r="H54" s="42">
        <f>H49*(1-'NOPAT Bridge'!J$39)</f>
        <v/>
      </c>
    </row>
    <row r="55">
      <c r="A55" s="41" t="inlineStr">
        <is>
          <t xml:space="preserve">  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 xml:space="preserve">  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 xml:space="preserve">  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 xml:space="preserve">  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 xml:space="preserve">  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 xml:space="preserve">  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 xml:space="preserve">  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 xml:space="preserve">  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 xml:space="preserve">  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 xml:space="preserve">  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 xml:space="preserve">  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 xml:space="preserve">  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 xml:space="preserve">  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 xml:space="preserve">  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 xml:space="preserve">  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 xml:space="preserve">  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 xml:space="preserve">  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 xml:space="preserve">  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 xml:space="preserve">  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 xml:space="preserve">  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 xml:space="preserve">  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 xml:space="preserve">  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 xml:space="preserve">  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 xml:space="preserve">  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 xml:space="preserve">  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 xml:space="preserve">  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 xml:space="preserve">  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 xml:space="preserve">  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 xml:space="preserve">  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 xml:space="preserve">  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 xml:space="preserve">  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 xml:space="preserve">  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 xml:space="preserve">  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 xml:space="preserve">  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 xml:space="preserve">  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 xml:space="preserve">  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 xml:space="preserve">  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 xml:space="preserve">  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 xml:space="preserve">  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 xml:space="preserve">  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 xml:space="preserve">  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 xml:space="preserve">  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 xml:space="preserve">  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 xml:space="preserve">  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 xml:space="preserve">  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 xml:space="preserve">  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 xml:space="preserve">  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 xml:space="preserve">  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 xml:space="preserve">  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 xml:space="preserve">  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 xml:space="preserve">  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 xml:space="preserve">  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 xml:space="preserve">  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 xml:space="preserve">  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 xml:space="preserve">  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 xml:space="preserve">  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 xml:space="preserve">  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 xml:space="preserve">  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 xml:space="preserve">  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 xml:space="preserve">  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 xml:space="preserve">  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 xml:space="preserve">  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 xml:space="preserve">  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 xml:space="preserve">  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 xml:space="preserve">  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 xml:space="preserve">  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 xml:space="preserve">  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 xml:space="preserve">  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 xml:space="preserve">  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 xml:space="preserve">  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 xml:space="preserve">  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 xml:space="preserve">  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 xml:space="preserve">  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 xml:space="preserve">  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 xml:space="preserve">  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0"/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4"/>
    <row r="135">
      <c r="A135" s="26" t="inlineStr">
        <is>
          <t>Current price $100.00; cash $1,807,202 k; lease debt $1,798,441 k; funded debt $0; net cash $8,761 k.</t>
        </is>
      </c>
    </row>
    <row r="136"/>
    <row r="137">
      <c r="A137" s="14" t="inlineStr">
        <is>
          <t>Pitch deck bridge (IS / CFS / BS)</t>
        </is>
      </c>
    </row>
    <row r="138">
      <c r="A138" s="41" t="inlineStr">
        <is>
          <t xml:space="preserve">  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 xml:space="preserve">  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 xml:space="preserve">  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 xml:space="preserve">  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 xml:space="preserve">  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 xml:space="preserve">  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 xml:space="preserve">  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 xml:space="preserve">  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 xml:space="preserve">  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 xml:space="preserve">  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 xml:space="preserve">  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 xml:space="preserve">  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 xml:space="preserve">  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 xml:space="preserve">  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 xml:space="preserve">  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 xml:space="preserve">  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 xml:space="preserve">  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 xml:space="preserve">  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 xml:space="preserve">  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 xml:space="preserve">  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 xml:space="preserve">  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 xml:space="preserve">  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 xml:space="preserve">  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 xml:space="preserve">  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 xml:space="preserve">  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 xml:space="preserve">  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 xml:space="preserve">  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 xml:space="preserve">  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 xml:space="preserve">  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 xml:space="preserve">  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 xml:space="preserve">  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 xml:space="preserve">  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 xml:space="preserve">  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 xml:space="preserve">  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 xml:space="preserve">  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 xml:space="preserve">  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 xml:space="preserve">  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 xml:space="preserve">  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 xml:space="preserve">  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 xml:space="preserve">  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 xml:space="preserve">  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 xml:space="preserve">  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 xml:space="preserve">  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 xml:space="preserve">  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 xml:space="preserve">  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 xml:space="preserve">  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 xml:space="preserve">  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 xml:space="preserve">  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 xml:space="preserve">  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 xml:space="preserve">  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 xml:space="preserve">  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 xml:space="preserve">  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 xml:space="preserve">  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 xml:space="preserve">  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 xml:space="preserve">  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 xml:space="preserve">  memo: pitch deck pulls cols G (base) &amp; H (bull) from this block via pitch_values.py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hidden="1" outlineLevel="1" width="40" customWidth="1" min="9" max="9"/>
    <col hidden="1" outlineLevel="1" width="28" customWidth="1" min="10" max="10"/>
    <col hidden="1" outlineLevel="1" width="16" customWidth="1" min="11" max="11"/>
    <col hidden="1" outlineLevel="1"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historical 10-K anchors (blue). FY26–30 = red operational assumptions.</t>
        </is>
      </c>
    </row>
    <row r="3">
      <c r="I3" s="51" t="inlineStr">
        <is>
          <t>Equation (every formula row)</t>
        </is>
      </c>
      <c r="J3" s="51" t="inlineStr">
        <is>
          <t>Justification (~20 words)</t>
        </is>
      </c>
      <c r="K3" s="51" t="inlineStr">
        <is>
          <t>Source (click)</t>
        </is>
      </c>
      <c r="L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5" t="inlineStr">
        <is>
          <t>Equation</t>
        </is>
      </c>
      <c r="J5" s="56" t="inlineStr">
        <is>
          <t>Justification  [cols I–L: click + to expand]</t>
        </is>
      </c>
      <c r="K5" s="56" t="inlineStr">
        <is>
          <t>Source</t>
        </is>
      </c>
      <c r="L5" s="56" t="n"/>
    </row>
    <row r="6" ht="28" customHeight="1">
      <c r="A6" s="41" t="inlineStr">
        <is>
          <t xml:space="preserve">  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59" t="inlineStr">
        <is>
          <t>prior-year ending stores. Same count, new column; that's where the year starts.</t>
        </is>
      </c>
      <c r="J6" s="17" t="inlineStr">
        <is>
          <t>Beginning stores = last year's ending count. Same number, just carried forward into the new fiscal year.</t>
        </is>
      </c>
      <c r="K6" s="24" t="inlineStr">
        <is>
          <t>Revenue Drivers: beginning-stores formula</t>
        </is>
      </c>
    </row>
    <row r="7" ht="28" customHeight="1">
      <c r="A7" s="41" t="inlineStr">
        <is>
          <t xml:space="preserve">  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n"/>
    </row>
    <row r="8" ht="28" customHeight="1">
      <c r="A8" s="41" t="inlineStr">
        <is>
          <t xml:space="preserve">  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n"/>
    </row>
    <row r="9" ht="28" customHeight="1">
      <c r="A9" s="61" t="inlineStr">
        <is>
          <t xml:space="preserve">  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59" t="inlineStr">
        <is>
          <t>beginning stores + openings − closures. Roll-forward;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24" t="inlineStr">
        <is>
          <t>Revenue Drivers: ending-stores formula</t>
        </is>
      </c>
    </row>
    <row r="10" ht="28" customHeight="1">
      <c r="A10" s="41" t="inlineStr">
        <is>
          <t xml:space="preserve">  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59" t="inlineStr">
        <is>
          <t>prior-year ending stores. Same count, new column; that's where the year starts.</t>
        </is>
      </c>
      <c r="J10" s="17" t="inlineStr">
        <is>
          <t>Beginning stores = last year's ending count. Same number, just carried forward into the new fiscal year.</t>
        </is>
      </c>
      <c r="K10" s="24" t="inlineStr">
        <is>
          <t>Revenue Drivers: beginning-stores formula</t>
        </is>
      </c>
    </row>
    <row r="11" ht="28" customHeight="1">
      <c r="A11" s="41" t="inlineStr">
        <is>
          <t xml:space="preserve">  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n"/>
    </row>
    <row r="12" ht="28" customHeight="1">
      <c r="A12" s="41" t="inlineStr">
        <is>
          <t xml:space="preserve">  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n"/>
    </row>
    <row r="13" ht="28" customHeight="1">
      <c r="A13" s="61" t="inlineStr">
        <is>
          <t xml:space="preserve">  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59" t="inlineStr">
        <is>
          <t>beginning stores + openings − closures. Roll-forward;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24" t="inlineStr">
        <is>
          <t>Revenue Drivers: ending-stores formula</t>
        </is>
      </c>
    </row>
    <row r="14" ht="28" customHeight="1">
      <c r="A14" s="41" t="inlineStr">
        <is>
          <t xml:space="preserve">  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59" t="inlineStr">
        <is>
          <t>prior-year ending stores. Same count, new column; that's where the year starts.</t>
        </is>
      </c>
      <c r="J14" s="17" t="inlineStr">
        <is>
          <t>Beginning stores = last year's ending count. Same number, just carried forward into the new fiscal year.</t>
        </is>
      </c>
      <c r="K14" s="24" t="inlineStr">
        <is>
          <t>Revenue Drivers: beginning-stores formula</t>
        </is>
      </c>
    </row>
    <row r="15" ht="28" customHeight="1">
      <c r="A15" s="41" t="inlineStr">
        <is>
          <t xml:space="preserve">  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n"/>
    </row>
    <row r="16" ht="28" customHeight="1">
      <c r="A16" s="41" t="inlineStr">
        <is>
          <t xml:space="preserve">  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n"/>
    </row>
    <row r="17" ht="28" customHeight="1">
      <c r="A17" s="61" t="inlineStr">
        <is>
          <t xml:space="preserve">  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59" t="inlineStr">
        <is>
          <t>beginning stores + openings − closures. Roll-forward;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59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n"/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59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4" t="inlineStr">
        <is>
          <t>Revenue Drivers: total-sqft formula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5" t="inlineStr">
        <is>
          <t>Equation</t>
        </is>
      </c>
      <c r="J23" s="56" t="inlineStr">
        <is>
          <t>Justification  [cols I–L: click + to expand]</t>
        </is>
      </c>
      <c r="K23" s="56" t="inlineStr">
        <is>
          <t>Source</t>
        </is>
      </c>
      <c r="L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n"/>
    </row>
    <row r="25" ht="28" customHeight="1">
      <c r="A25" s="41" t="inlineStr">
        <is>
          <t xml:space="preserve">  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n"/>
    </row>
    <row r="26" ht="28" customHeight="1">
      <c r="A26" s="41" t="inlineStr">
        <is>
          <t xml:space="preserve">  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n"/>
    </row>
    <row r="27" ht="28" customHeight="1">
      <c r="A27" s="41" t="inlineStr">
        <is>
          <t xml:space="preserve">  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n"/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59" t="inlineStr">
        <is>
          <t>prior column's total store-channel revenue. Base you're applying comps to; not new-store contribution.</t>
        </is>
      </c>
      <c r="J28" s="17" t="inlineStr">
        <is>
          <t>Last year's total store-channel revenue; the base you're growing comps off of, not the new boxes.</t>
        </is>
      </c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9" t="inlineStr">
        <is>
          <t>prior store rev×(71%×(1+Am comp)+16%×(1+China)+13%×(1+RoW)). Existing base only; new stores are on the next row.</t>
        </is>
      </c>
      <c r="J29" s="17" t="inlineStr">
        <is>
          <t>Existing-store sales only; prior store rev grown by geo comp %. New doors are a separate line, not in here.</t>
        </is>
      </c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9" t="inlineStr">
        <is>
          <t>(open−close each geo)×sq ft×$/sq ft → raw annual $. /1000 flips that to $000 (this whole tab is thousands). ×0.55 = year-one haircut;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59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4" t="inlineStr">
        <is>
          <t>Revenue Drivers: store-channel formula</t>
        </is>
      </c>
    </row>
    <row r="32" ht="28" customHeight="1">
      <c r="A32" s="41" t="inlineStr">
        <is>
          <t xml:space="preserve">  memo: 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J32" s="17" t="inlineStr">
        <is>
          <t>Fleet traffic memo line; not a separate FCF item. Calibrated to FY25 store productivity commentary.</t>
        </is>
      </c>
      <c r="K32" s="18" t="inlineStr">
        <is>
          <t>FY2025 10-K: store traffic commentary</t>
        </is>
      </c>
      <c r="L32" s="19" t="n"/>
    </row>
    <row r="33" ht="28" customHeight="1">
      <c r="A33" s="41" t="inlineStr">
        <is>
          <t xml:space="preserve">  memo: 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J33" s="17" t="inlineStr">
        <is>
          <t>In-store conversion memo; 10-K cites lower conversion in Americas; FY26 27% improving to 29%.</t>
        </is>
      </c>
      <c r="K33" s="18" t="inlineStr">
        <is>
          <t>FY2025 10-K: conversion rate commentary</t>
        </is>
      </c>
      <c r="L33" s="19" t="n"/>
    </row>
    <row r="34" ht="28" customHeight="1">
      <c r="A34" s="41" t="inlineStr">
        <is>
          <t xml:space="preserve">  memo: 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n"/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5" t="inlineStr">
        <is>
          <t>Equation</t>
        </is>
      </c>
      <c r="J37" s="56" t="inlineStr">
        <is>
          <t>Justification  [cols I–L: click + to expand]</t>
        </is>
      </c>
      <c r="K37" s="56" t="inlineStr">
        <is>
          <t>Source</t>
        </is>
      </c>
      <c r="L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n"/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n"/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n"/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59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4" t="inlineStr">
        <is>
          <t>Revenue Drivers: e-comm formula</t>
        </is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5" t="inlineStr">
        <is>
          <t>Equation</t>
        </is>
      </c>
      <c r="J44" s="56" t="inlineStr">
        <is>
          <t>Justification  [cols I–L: click + to expand]</t>
        </is>
      </c>
      <c r="K44" s="56" t="inlineStr">
        <is>
          <t>Source</t>
        </is>
      </c>
      <c r="L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59" t="inlineStr">
        <is>
          <t>prior other-channel rev × (1 + growth %). Wholesale/license/outlets;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n"/>
    </row>
    <row r="46" ht="70" customHeight="1">
      <c r="A46" s="41" t="inlineStr">
        <is>
          <t xml:space="preserve">  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59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n"/>
    </row>
    <row r="47" ht="70" customHeight="1">
      <c r="A47" s="41" t="inlineStr">
        <is>
          <t xml:space="preserve">  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59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growth; expansion market in the driver schedule.</t>
        </is>
      </c>
      <c r="K47" s="18" t="inlineStr">
        <is>
          <t>FY2025 10-K: segmented net revenue</t>
        </is>
      </c>
      <c r="L47" s="19" t="n"/>
    </row>
    <row r="48" ht="70" customHeight="1">
      <c r="A48" s="41" t="inlineStr">
        <is>
          <t xml:space="preserve">  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59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n"/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n"/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n"/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n"/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5" t="inlineStr">
        <is>
          <t>Equation</t>
        </is>
      </c>
      <c r="J54" s="56" t="inlineStr">
        <is>
          <t>Justification  [cols I–L: click + to expand]</t>
        </is>
      </c>
      <c r="K54" s="56" t="inlineStr">
        <is>
          <t>Source</t>
        </is>
      </c>
      <c r="L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59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59" t="inlineStr">
        <is>
          <t>Scenarios! base-case revenue. DCF still runs off this path; not the driver total.</t>
        </is>
      </c>
      <c r="J56" s="17" t="inlineStr">
        <is>
          <t>Pulls the Scenarios base-case revenue path;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9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9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52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hidden="1" outlineLevel="1" width="22" customWidth="1" min="2" max="2"/>
    <col hidden="1" outlineLevel="1" width="28" customWidth="1" min="3" max="3"/>
    <col hidden="1"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1" t="inlineStr">
        <is>
          <t>Notes</t>
        </is>
      </c>
      <c r="C2" s="51" t="inlineStr">
        <is>
          <t>Source (click)</t>
        </is>
      </c>
      <c r="D2" s="51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>
      <c r="A3" s="52" t="inlineStr">
        <is>
          <t>Reported EBIT → Normalized NOPAT (5-phase pipeline)</t>
        </is>
      </c>
    </row>
    <row r="4">
      <c r="A4" s="26" t="inlineStr">
        <is>
          <t>Phases 1–4 clean and forecast operating profit.</t>
        </is>
      </c>
    </row>
    <row r="5"/>
    <row r="6">
      <c r="A6" s="52" t="inlineStr">
        <is>
          <t>Driver assumptions</t>
        </is>
      </c>
    </row>
    <row r="7" ht="42" customHeight="1">
      <c r="A7" s="16" t="inlineStr">
        <is>
          <t>Phase 1: Add back SBC? (0 = no — Convention A: expense stays in EBIT)</t>
        </is>
      </c>
      <c r="B7" s="17" t="inlineStr">
        <is>
          <t>SBC flag (Convention A = 0).</t>
        </is>
      </c>
      <c r="C7" s="18" t="inlineStr">
        <is>
          <t>LULU CF statement (10-K): stock-based compensation</t>
        </is>
      </c>
      <c r="D7" s="19" t="n"/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inlineStr">
        <is>
          <t>Convention A: SBC is a real economic cost (captures shareholder dilution). Forecast NOPAT uses Scenarios EBIT with SBC expensed. DCF implied value uses basic shares (111.4M).</t>
        </is>
      </c>
    </row>
    <row r="9" ht="70" customHeight="1">
      <c r="A9" s="16" t="inlineStr">
        <is>
          <t>Phase 3: Store-channel EBIT margin %</t>
        </is>
      </c>
      <c r="B9" s="17" t="inlineStr">
        <is>
          <t>Store EBIT % of store rev.</t>
        </is>
      </c>
      <c r="C9" s="18" t="inlineStr">
        <is>
          <t>FY2025 10-K: company-operated stores net revenue</t>
        </is>
      </c>
      <c r="D9" s="19" t="n"/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Phase 3: E-commerce EBIT margin %</t>
        </is>
      </c>
      <c r="B10" s="17" t="inlineStr">
        <is>
          <t>E-comm EBIT % of e-comm rev.</t>
        </is>
      </c>
      <c r="C10" s="18" t="inlineStr">
        <is>
          <t>FY2025 10-K: e-commerce net revenue</t>
        </is>
      </c>
      <c r="D10" s="19" t="n"/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Phase 3: Other-channels EBIT margin %</t>
        </is>
      </c>
      <c r="B11" s="17" t="inlineStr">
        <is>
          <t>Other EBIT % of other rev.</t>
        </is>
      </c>
      <c r="C11" s="18" t="inlineStr">
        <is>
          <t>FY2025 10-K: other channels (residual)</t>
        </is>
      </c>
      <c r="D11" s="19" t="n"/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Phase 4: Terminal marginal tax rate</t>
        </is>
      </c>
      <c r="B12" s="17" t="inlineStr">
        <is>
          <t>Statutory marginal rate (30%).</t>
        </is>
      </c>
      <c r="C12" s="18" t="inlineStr">
        <is>
          <t>Q2 FY2026 outlook: tax rate ≈ 30%</t>
        </is>
      </c>
      <c r="D12" s="19" t="n"/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Phase 2: R&amp;D / software amortization period (years)</t>
        </is>
      </c>
      <c r="B13" s="17" t="inlineStr">
        <is>
          <t>R&amp;D capitalization period (yrs).</t>
        </is>
      </c>
      <c r="C13" s="24" t="inlineStr">
        <is>
          <t>NOPAT Bridge: capitalization convention</t>
        </is>
      </c>
      <c r="D13" s="19" t="n"/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4"/>
    <row r="15" hidden="1" outlineLevel="1">
      <c r="A15" s="73" t="inlineStr">
        <is>
          <t>Phase 1 — Operating normalization</t>
        </is>
      </c>
    </row>
    <row r="16" hidden="1" outlineLevel="1" ht="28" customHeight="1">
      <c r="A16" s="16" t="inlineStr">
        <is>
          <t>Reported operating income (EBIT)</t>
        </is>
      </c>
      <c r="B16" s="17" t="inlineStr">
        <is>
          <t>10-K EBIT / Scenarios forecast.</t>
        </is>
      </c>
      <c r="C16" s="18" t="inlineStr">
        <is>
          <t>LULU FY2025 10-K: Income from operations</t>
        </is>
      </c>
      <c r="D16" s="19" t="n"/>
      <c r="E16" s="74" t="n">
        <v>2210615</v>
      </c>
      <c r="F16" s="75">
        <f>Scenarios!G45</f>
        <v/>
      </c>
      <c r="G16" s="75">
        <f>Scenarios!G46</f>
        <v/>
      </c>
      <c r="H16" s="75">
        <f>Scenarios!G47</f>
        <v/>
      </c>
      <c r="I16" s="75">
        <f>Scenarios!G48</f>
        <v/>
      </c>
      <c r="J16" s="75">
        <f>Scenarios!G49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inlineStr">
        <is>
          <t>Run-rate intangible amort add-back.</t>
        </is>
      </c>
      <c r="C17" s="18" t="inlineStr">
        <is>
          <t>LULU FY2025 10-K: amortization of intangible assets</t>
        </is>
      </c>
      <c r="D17" s="19" t="n"/>
      <c r="E17" s="74" t="n">
        <v>6961</v>
      </c>
      <c r="F17" s="75" t="n">
        <v>0</v>
      </c>
      <c r="G17" s="75" t="n">
        <v>0</v>
      </c>
      <c r="H17" s="75" t="n">
        <v>0</v>
      </c>
      <c r="I17" s="75" t="n">
        <v>0</v>
      </c>
      <c r="J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inlineStr">
        <is>
          <t>Non-recurring restructuring add-back.</t>
        </is>
      </c>
      <c r="C18" s="18" t="inlineStr">
        <is>
          <t>LULU FY2025 10-K: restructuring charges</t>
        </is>
      </c>
      <c r="D18" s="19" t="n"/>
      <c r="E18" s="74" t="n">
        <v>0</v>
      </c>
      <c r="F18" s="75" t="n">
        <v>0</v>
      </c>
      <c r="G18" s="75" t="n">
        <v>0</v>
      </c>
      <c r="H18" s="75" t="n">
        <v>0</v>
      </c>
      <c r="I18" s="75" t="n">
        <v>0</v>
      </c>
      <c r="J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inlineStr">
        <is>
          <t>One-off legal / M&amp;A strip.</t>
        </is>
      </c>
      <c r="C19" s="18" t="inlineStr">
        <is>
          <t>LULU FY2025 10-K: SG&amp;A one-offs</t>
        </is>
      </c>
      <c r="D19" s="19" t="n"/>
      <c r="E19" s="74" t="n">
        <v>0</v>
      </c>
      <c r="F19" s="75" t="n">
        <v>0</v>
      </c>
      <c r="G19" s="75" t="n">
        <v>0</v>
      </c>
      <c r="H19" s="75" t="n">
        <v>0</v>
      </c>
      <c r="I19" s="75" t="n">
        <v>0</v>
      </c>
      <c r="J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inlineStr">
        <is>
          <t>SBC add-back (if flag = 1).</t>
        </is>
      </c>
      <c r="C20" s="18" t="inlineStr">
        <is>
          <t>LULU CF statement (10-K): stock-based compensation</t>
        </is>
      </c>
      <c r="D20" s="19" t="n"/>
      <c r="E20" s="75">
        <f>62203*$E$7</f>
        <v/>
      </c>
      <c r="F20" s="75">
        <f>Scenarios!G25/11102600*62203*$E$7</f>
        <v/>
      </c>
      <c r="G20" s="75">
        <f>Scenarios!G26/11102600*62203*$E$7</f>
        <v/>
      </c>
      <c r="H20" s="75">
        <f>Scenarios!G27/11102600*62203*$E$7</f>
        <v/>
      </c>
      <c r="I20" s="75">
        <f>Scenarios!G28/11102600*62203*$E$7</f>
        <v/>
      </c>
      <c r="J20" s="75">
        <f>Scenarios!G29/11102600*62203*$E$7</f>
        <v/>
      </c>
    </row>
    <row r="21" hidden="1" outlineLevel="1" ht="28" customHeight="1">
      <c r="A21" s="23">
        <f> Adjusted EBIT (Phase 1)</f>
        <v/>
      </c>
      <c r="B21" s="17" t="inlineStr">
        <is>
          <t>Reported EBIT plus non-recurring add-backs.</t>
        </is>
      </c>
      <c r="C21" s="24" t="inlineStr">
        <is>
          <t>NOPAT Bridge tab: Phase 1 subtotal</t>
        </is>
      </c>
      <c r="D21" s="19" t="n"/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3" t="inlineStr">
        <is>
          <t>Phase 2 — Lease &amp; capitalization (ASC 842 / IFRS 16)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inlineStr">
        <is>
          <t>Lease interest reclass (memo).</t>
        </is>
      </c>
      <c r="C23" s="18" t="inlineStr">
        <is>
          <t>LULU FY2025 10-K: interest on lease liabilities (supplemental)</t>
        </is>
      </c>
      <c r="D23" s="19" t="n"/>
      <c r="E23" s="74" t="n">
        <v>1028</v>
      </c>
      <c r="F23" s="75">
        <f>1028*(Scenarios!G25/11102600)</f>
        <v/>
      </c>
      <c r="G23" s="75">
        <f>1028*(Scenarios!G26/11102600)</f>
        <v/>
      </c>
      <c r="H23" s="75">
        <f>1028*(Scenarios!G27/11102600)</f>
        <v/>
      </c>
      <c r="I23" s="75">
        <f>1028*(Scenarios!G28/11102600)</f>
        <v/>
      </c>
      <c r="J23" s="75">
        <f>1028*(Scenarios!G29/11102600)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inlineStr">
        <is>
          <t>R&amp;D cap immaterial this yr.</t>
        </is>
      </c>
      <c r="C24" s="18" t="inlineStr">
        <is>
          <t>LULU FY2025 10-K: R&amp;D / software expense</t>
        </is>
      </c>
      <c r="D24" s="19" t="n"/>
      <c r="E24" s="74" t="n">
        <v>0</v>
      </c>
      <c r="F24" s="75" t="n">
        <v>0</v>
      </c>
      <c r="G24" s="75" t="n">
        <v>0</v>
      </c>
      <c r="H24" s="75" t="n">
        <v>0</v>
      </c>
      <c r="I24" s="75" t="n">
        <v>0</v>
      </c>
      <c r="J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inlineStr">
        <is>
          <t>Prior capitalized intangible amort.</t>
        </is>
      </c>
      <c r="C25" s="18" t="inlineStr">
        <is>
          <t>LULU FY2025 10-K: intangible amortization</t>
        </is>
      </c>
      <c r="D25" s="19" t="n"/>
      <c r="E25" s="74" t="n">
        <v>6961</v>
      </c>
      <c r="F25" s="75" t="n">
        <v>0</v>
      </c>
      <c r="G25" s="75" t="n">
        <v>0</v>
      </c>
      <c r="H25" s="75" t="n">
        <v>0</v>
      </c>
      <c r="I25" s="75" t="n">
        <v>0</v>
      </c>
      <c r="J25" s="75" t="n">
        <v>0</v>
      </c>
    </row>
    <row r="26" hidden="1" outlineLevel="1" ht="28" customHeight="1">
      <c r="A26" s="23">
        <f> EBIT after lease &amp; capitalization (Phase 2)</f>
        <v/>
      </c>
      <c r="B26" s="17" t="inlineStr">
        <is>
          <t>Phase 1 plus lease / R&amp;D adjustments.</t>
        </is>
      </c>
      <c r="C26" s="24" t="inlineStr">
        <is>
          <t>NOPAT Bridge tab: Phase 2 subtotal</t>
        </is>
      </c>
      <c r="D26" s="19" t="n"/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3" t="inlineStr">
        <is>
          <t>Phase 3 — Segment / channel EBIT (driver-based)</t>
        </is>
      </c>
    </row>
    <row r="28" hidden="1" outlineLevel="1" ht="28" customHeight="1">
      <c r="A28" s="16" t="inlineStr">
        <is>
          <t xml:space="preserve">  Store-channel revenue</t>
        </is>
      </c>
      <c r="B28" s="17" t="inlineStr">
        <is>
          <t>Store rev from Revenue Drivers.</t>
        </is>
      </c>
      <c r="C28" s="18" t="inlineStr">
        <is>
          <t>Revenue Drivers tab: store-channel revenue</t>
        </is>
      </c>
      <c r="D28" s="19" t="n"/>
      <c r="E28" s="74" t="n">
        <v>5049744</v>
      </c>
      <c r="F28" s="75">
        <f>'Revenue Drivers'!F31</f>
        <v/>
      </c>
      <c r="G28" s="75">
        <f>'Revenue Drivers'!G31</f>
        <v/>
      </c>
      <c r="H28" s="75">
        <f>'Revenue Drivers'!H31</f>
        <v/>
      </c>
      <c r="I28" s="75">
        <f>'Revenue Drivers'!I31</f>
        <v/>
      </c>
      <c r="J28" s="75">
        <f>'Revenue Drivers'!J31</f>
        <v/>
      </c>
    </row>
    <row r="29" hidden="1" outlineLevel="1" ht="28" customHeight="1">
      <c r="A29" s="16" t="inlineStr">
        <is>
          <t xml:space="preserve">  E-commerce revenue</t>
        </is>
      </c>
      <c r="B29" s="17" t="inlineStr">
        <is>
          <t>E-comm rev from Revenue Drivers.</t>
        </is>
      </c>
      <c r="C29" s="18" t="inlineStr">
        <is>
          <t>Revenue Drivers tab: e-commerce revenue</t>
        </is>
      </c>
      <c r="D29" s="19" t="n"/>
      <c r="E29" s="74" t="n">
        <v>4918697</v>
      </c>
      <c r="F29" s="75">
        <f>'Revenue Drivers'!F41</f>
        <v/>
      </c>
      <c r="G29" s="75">
        <f>'Revenue Drivers'!G41</f>
        <v/>
      </c>
      <c r="H29" s="75">
        <f>'Revenue Drivers'!H41</f>
        <v/>
      </c>
      <c r="I29" s="75">
        <f>'Revenue Drivers'!I41</f>
        <v/>
      </c>
      <c r="J29" s="75">
        <f>'Revenue Drivers'!J41</f>
        <v/>
      </c>
    </row>
    <row r="30" hidden="1" outlineLevel="1" ht="28" customHeight="1">
      <c r="A30" s="16" t="inlineStr">
        <is>
          <t xml:space="preserve">  Other channels revenue</t>
        </is>
      </c>
      <c r="B30" s="17" t="inlineStr">
        <is>
          <t>Other rev from Revenue Drivers.</t>
        </is>
      </c>
      <c r="C30" s="18" t="inlineStr">
        <is>
          <t>Revenue Drivers tab: other channels revenue</t>
        </is>
      </c>
      <c r="D30" s="19" t="n"/>
      <c r="E30" s="74" t="n">
        <v>1134159</v>
      </c>
      <c r="F30" s="75">
        <f>'Revenue Drivers'!F45</f>
        <v/>
      </c>
      <c r="G30" s="75">
        <f>'Revenue Drivers'!G45</f>
        <v/>
      </c>
      <c r="H30" s="75">
        <f>'Revenue Drivers'!H45</f>
        <v/>
      </c>
      <c r="I30" s="75">
        <f>'Revenue Drivers'!I45</f>
        <v/>
      </c>
      <c r="J30" s="75">
        <f>'Revenue Drivers'!J45</f>
        <v/>
      </c>
    </row>
    <row r="31" hidden="1" outlineLevel="1" ht="70" customHeight="1">
      <c r="A31" s="16" t="inlineStr">
        <is>
          <t xml:space="preserve">  Store-channel EBIT (= Rev × store margin)</t>
        </is>
      </c>
      <c r="B31" s="17" t="inlineStr">
        <is>
          <t>Store EBIT ÷ store rev only.</t>
        </is>
      </c>
      <c r="C31" s="18" t="inlineStr">
        <is>
          <t>FY2025 10-K: company-operated stores net revenue</t>
        </is>
      </c>
      <c r="D31" s="19" t="n"/>
      <c r="E31" s="75" t="n">
        <v>939252.384</v>
      </c>
      <c r="F31" s="75">
        <f>F28*E$9</f>
        <v/>
      </c>
      <c r="G31" s="75">
        <f>G28*E$9</f>
        <v/>
      </c>
      <c r="H31" s="75">
        <f>H28*E$9</f>
        <v/>
      </c>
      <c r="I31" s="75">
        <f>I28*E$9</f>
        <v/>
      </c>
      <c r="J31" s="75">
        <f>J28*E$9</f>
        <v/>
      </c>
    </row>
    <row r="32" hidden="1" outlineLevel="1" ht="70" customHeight="1">
      <c r="A32" s="16" t="inlineStr">
        <is>
          <t xml:space="preserve">  E-commerce EBIT (= Rev × e-comm margin)</t>
        </is>
      </c>
      <c r="B32" s="17" t="inlineStr">
        <is>
          <t>E-comm EBIT ÷ e-comm rev only.</t>
        </is>
      </c>
      <c r="C32" s="18" t="inlineStr">
        <is>
          <t>FY2025 10-K: e-commerce net revenue</t>
        </is>
      </c>
      <c r="D32" s="19" t="n"/>
      <c r="E32" s="75" t="n">
        <v>1160812.492</v>
      </c>
      <c r="F32" s="75">
        <f>F29*E$10</f>
        <v/>
      </c>
      <c r="G32" s="75">
        <f>G29*E$10</f>
        <v/>
      </c>
      <c r="H32" s="75">
        <f>H29*E$10</f>
        <v/>
      </c>
      <c r="I32" s="75">
        <f>I29*E$10</f>
        <v/>
      </c>
      <c r="J32" s="75">
        <f>J29*E$10</f>
        <v/>
      </c>
    </row>
    <row r="33" hidden="1" outlineLevel="1" ht="56" customHeight="1">
      <c r="A33" s="16" t="inlineStr">
        <is>
          <t xml:space="preserve">  Other-channels EBIT (= Rev × other margin)</t>
        </is>
      </c>
      <c r="B33" s="17" t="inlineStr">
        <is>
          <t>Other EBIT ÷ other rev only.</t>
        </is>
      </c>
      <c r="C33" s="18" t="inlineStr">
        <is>
          <t>FY2025 10-K: other channels (residual)</t>
        </is>
      </c>
      <c r="D33" s="19" t="n"/>
      <c r="E33" s="75" t="n">
        <v>103208.469</v>
      </c>
      <c r="F33" s="75">
        <f>F30*E$11</f>
        <v/>
      </c>
      <c r="G33" s="75">
        <f>G30*E$11</f>
        <v/>
      </c>
      <c r="H33" s="75">
        <f>H30*E$11</f>
        <v/>
      </c>
      <c r="I33" s="75">
        <f>I30*E$11</f>
        <v/>
      </c>
      <c r="J33" s="75">
        <f>J30*E$11</f>
        <v/>
      </c>
    </row>
    <row r="34" hidden="1" outlineLevel="1" ht="28" customHeight="1">
      <c r="A34" s="23" t="inlineStr">
        <is>
          <t xml:space="preserve">  Channel EBIT (sum of sector EBIT)</t>
        </is>
      </c>
      <c r="B34" s="17" t="inlineStr">
        <is>
          <t>Sum of sector EBIT (Phase 3).</t>
        </is>
      </c>
      <c r="C34" s="24" t="inlineStr">
        <is>
          <t>NOPAT Bridge tab: sector EBIT subtotal</t>
        </is>
      </c>
      <c r="D34" s="19" t="n"/>
      <c r="F34" s="70">
        <f>F31+F32+F33+Scenarios!G7</f>
        <v/>
      </c>
      <c r="G34" s="70">
        <f>G31+G32+G33</f>
        <v/>
      </c>
      <c r="H34" s="70">
        <f>H31+H32+H33</f>
        <v/>
      </c>
      <c r="I34" s="70">
        <f>I31+I32+I33</f>
        <v/>
      </c>
      <c r="J34" s="70">
        <f>J31+J32+J33</f>
        <v/>
      </c>
    </row>
    <row r="35" hidden="1" outlineLevel="1" ht="28" customHeight="1">
      <c r="A35" s="23">
        <f> EBIT after channel mix (Phase 3)</f>
        <v/>
      </c>
      <c r="B35" s="17" t="inlineStr">
        <is>
          <t>Channel-mix EBIT output (Phase 3).</t>
        </is>
      </c>
      <c r="C35" s="24" t="inlineStr">
        <is>
          <t>NOPAT Bridge tab: Phase 3 subtotal</t>
        </is>
      </c>
      <c r="D35" s="19" t="n"/>
      <c r="E35" s="76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>
        <f> Normalized EBIT (tax base for NOPAT)</f>
        <v/>
      </c>
      <c r="B36" s="17" t="inlineStr">
        <is>
          <t>FY25 walk-through Phases 1–2.</t>
        </is>
      </c>
      <c r="C36" s="24" t="inlineStr">
        <is>
          <t>Scenarios tab: base-case EBIT (forecast)</t>
        </is>
      </c>
      <c r="D36" s="19" t="n"/>
      <c r="E36" s="25">
        <f>E21+E23+E24-E25</f>
        <v/>
      </c>
      <c r="F36" s="25">
        <f>Scenarios!G45</f>
        <v/>
      </c>
      <c r="G36" s="25">
        <f>Scenarios!G46</f>
        <v/>
      </c>
      <c r="H36" s="25">
        <f>Scenarios!G47</f>
        <v/>
      </c>
      <c r="I36" s="25">
        <f>Scenarios!G48</f>
        <v/>
      </c>
      <c r="J36" s="25">
        <f>Scenarios!G49</f>
        <v/>
      </c>
    </row>
    <row r="37" hidden="1" outlineLevel="1">
      <c r="A37" s="16" t="inlineStr">
        <is>
          <t xml:space="preserve">  Check vs Scenarios EBIT (base case)</t>
        </is>
      </c>
      <c r="F37" s="75">
        <f>F36-Scenarios!G45</f>
        <v/>
      </c>
      <c r="G37" s="75">
        <f>G36-Scenarios!G46</f>
        <v/>
      </c>
      <c r="H37" s="75">
        <f>H36-Scenarios!G47</f>
        <v/>
      </c>
      <c r="I37" s="75">
        <f>I36-Scenarios!G48</f>
        <v/>
      </c>
      <c r="J37" s="75">
        <f>J36-Scenarios!G49</f>
        <v/>
      </c>
    </row>
    <row r="38" hidden="1" outlineLevel="1">
      <c r="A38" s="73" t="inlineStr">
        <is>
          <t>Phase 4 — Tax normalization to NOPAT</t>
        </is>
      </c>
    </row>
    <row r="39" hidden="1" outlineLevel="1" ht="70" customHeight="1">
      <c r="A39" s="16" t="inlineStr">
        <is>
          <t>Operating effective tax rate (t_operating)</t>
        </is>
      </c>
      <c r="B39" s="17" t="inlineStr">
        <is>
          <t>Operating ETR with interest shield.</t>
        </is>
      </c>
      <c r="C39" s="18" t="inlineStr">
        <is>
          <t>LULU FY2025 10-K: income tax &amp; interest expense</t>
        </is>
      </c>
      <c r="D39" s="19" t="n"/>
      <c r="E39" s="77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inlineStr">
        <is>
          <t>Normalized EBIT × t_operating.</t>
        </is>
      </c>
      <c r="C40" s="24" t="inlineStr">
        <is>
          <t>NOPAT Bridge tab: unlevered tax expense</t>
        </is>
      </c>
      <c r="D40" s="19" t="n"/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  <c r="J40" s="75">
        <f>J36*J39</f>
        <v/>
      </c>
    </row>
    <row r="41" hidden="1" outlineLevel="1" ht="28" customHeight="1">
      <c r="A41" s="23" t="inlineStr">
        <is>
          <t>NORMALIZED NOPAT</t>
        </is>
      </c>
      <c r="B41" s="17" t="inlineStr">
        <is>
          <t>EBIT_norm × (1 − t_operating).</t>
        </is>
      </c>
      <c r="C41" s="24" t="inlineStr">
        <is>
          <t>NOPAT Bridge tab: normalized NOPAT</t>
        </is>
      </c>
      <c r="D41" s="19" t="n"/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2"/>
    <row r="43">
      <c r="A43" s="73" t="inlineStr">
        <is>
          <t>Phase 5 — Agent workflow (execution steps)</t>
        </is>
      </c>
    </row>
    <row r="44">
      <c r="B44" s="78" t="inlineStr">
        <is>
          <t>Source</t>
        </is>
      </c>
      <c r="C44" s="78" t="inlineStr">
        <is>
          <t>Without applied (FY26 DCF)</t>
        </is>
      </c>
      <c r="D44" s="78" t="n"/>
      <c r="F44" s="78" t="inlineStr">
        <is>
          <t>Output</t>
        </is>
      </c>
    </row>
    <row r="45">
      <c r="A45" s="61" t="inlineStr">
        <is>
          <t>1. Clean base</t>
        </is>
      </c>
      <c r="B45" s="79" t="inlineStr">
        <is>
          <t>SEC 10-K income statement</t>
        </is>
      </c>
      <c r="C45" s="79" t="inlineStr">
        <is>
          <t>EBIT = 13.2% × rev + tariff; SBC stays expensed (flag = 0).</t>
        </is>
      </c>
      <c r="D45" s="79" t="n"/>
      <c r="F45" s="80" t="inlineStr">
        <is>
          <t>EBIT_adj (Phase 1)</t>
        </is>
      </c>
    </row>
    <row r="46">
      <c r="A46" s="61" t="inlineStr">
        <is>
          <t>2. Capitalize R&amp;D</t>
        </is>
      </c>
      <c r="B46" s="79" t="inlineStr">
        <is>
          <t>SG&amp;A footnotes</t>
        </is>
      </c>
      <c r="C46" s="79" t="inlineStr">
        <is>
          <t>R&amp;D/software expensed in full each year ($0 for LULU).</t>
        </is>
      </c>
      <c r="D46" s="79" t="n"/>
      <c r="F46" s="80" t="inlineStr">
        <is>
          <t>EBIT_capitalized (Phase 2)</t>
        </is>
      </c>
    </row>
    <row r="47">
      <c r="A47" s="61" t="inlineStr">
        <is>
          <t>3. Lease shift</t>
        </is>
      </c>
      <c r="B47" s="79" t="inlineStr">
        <is>
          <t>ASC 842 lease footnote</t>
        </is>
      </c>
      <c r="C47" s="79" t="inlineStr">
        <is>
          <t>Rent in opex; no implied lease-interest add-back.</t>
        </is>
      </c>
      <c r="D47" s="79" t="n"/>
      <c r="F47" s="80" t="inlineStr">
        <is>
          <t>EBIT_lease-adj (Phase 2)</t>
        </is>
      </c>
    </row>
    <row r="48">
      <c r="A48" s="61" t="inlineStr">
        <is>
          <t>4. Segment mix</t>
        </is>
      </c>
      <c r="B48" s="79" t="inlineStr">
        <is>
          <t>Revenue Drivers tab</t>
        </is>
      </c>
      <c r="C48" s="79" t="inlineStr">
        <is>
          <t>DCF uses consolidated 13.2% on total revenue (+ tariff).</t>
        </is>
      </c>
      <c r="D48" s="79" t="n"/>
      <c r="F48" s="80" t="inlineStr">
        <is>
          <t>Forecast EBIT (Phase 3)</t>
        </is>
      </c>
    </row>
    <row r="49">
      <c r="A49" s="61" t="inlineStr">
        <is>
          <t>5. NOPAT bridge</t>
        </is>
      </c>
      <c r="B49" s="79" t="inlineStr">
        <is>
          <t>Normalized EBIT &amp; t_operating</t>
        </is>
      </c>
      <c r="C49" s="79" t="inlineStr">
        <is>
          <t>NOPAT = EBIT × (1 − 30%) flat sc_tax.</t>
        </is>
      </c>
      <c r="D49" s="79" t="n"/>
      <c r="F49" s="80" t="inlineStr">
        <is>
          <t>Normalized NOPAT</t>
        </is>
      </c>
    </row>
    <row r="50">
      <c r="A50" s="61" t="inlineStr">
        <is>
          <t>6. Tariff refund (Scenarios)</t>
        </is>
      </c>
      <c r="B50" s="79" t="inlineStr">
        <is>
          <t>Q2 FY2026 earnings release</t>
        </is>
      </c>
      <c r="C50" s="79" t="inlineStr">
        <is>
          <t>EBIT = Rev × 13.2% only (no refund).</t>
        </is>
      </c>
      <c r="D50" s="79" t="n"/>
      <c r="F50" s="80" t="inlineStr">
        <is>
          <t>Scenarios EBIT (FY26)</t>
        </is>
      </c>
    </row>
    <row r="51">
      <c r="A51" s="26" t="inlineStr">
        <is>
          <t>Steps 1–4: DCF unchanged on FY26. Step 5 changes NOPAT only (tax). Step 6 changes FY26 EBIT (+ tariff).</t>
        </is>
      </c>
    </row>
    <row r="52">
      <c r="A52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M104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hidden="1" outlineLevel="1"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hidden="1" outlineLevel="1" width="16" customWidth="1" min="12" max="12"/>
    <col hidden="1" outlineLevel="1"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 [cols L–M: click + to expand]</t>
        </is>
      </c>
      <c r="M2" s="78" t="n"/>
    </row>
    <row r="3" ht="28" customHeight="1">
      <c r="A3" s="82" t="inlineStr">
        <is>
          <t>Forecast drivers linked to Scenarios tab → Base case (column G)</t>
        </is>
      </c>
      <c r="C3" s="19" t="n"/>
      <c r="E3" s="83" t="inlineStr">
        <is>
          <t>10-K</t>
        </is>
      </c>
      <c r="K3" s="84" t="inlineStr">
        <is>
          <t>(should be 0)</t>
        </is>
      </c>
    </row>
    <row r="4" ht="36" customHeight="1">
      <c r="A4" s="38" t="inlineStr">
        <is>
          <t>Assumptions Guide (PDF) — see Cover tab link.</t>
        </is>
      </c>
      <c r="C4" s="85" t="inlineStr">
        <is>
          <t>NOPAT Bridge tab
.</t>
        </is>
      </c>
      <c r="D4" s="85" t="n"/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  <c r="K5" s="86">
        <f>IF(MAX(ABS(F5-Scenarios!$G$25),ABS(G5-Scenarios!$G$26),ABS(H5-Scenarios!$G$27),ABS(I5-Scenarios!$G$28),ABS(J5-Scenarios!$G$29))&lt;0.5,"OK","CHECK")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
Also: StockAnalysis: LULU 3Y revenue forecast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  <c r="K8" s="86">
        <f>IF(MAX(ABS(F8-Scenarios!$G$35),ABS(G8-Scenarios!$G$36),ABS(H8-Scenarios!$G$37),ABS(I8-Scenarios!$G$38),ABS(J8-Scenarios!$G$39))&lt;0.5,"OK","CHECK")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
Also: FY2025 10-K: Operating margin 19.9% (one hit)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  <c r="K9" s="86">
        <f>IF(MAX(ABS(F9-Scenarios!$G$40),ABS(G9-Scenarios!$G$41),ABS(H9-Scenarios!$G$42),ABS(I9-Scenarios!$G$43),ABS(J9-Scenarios!$G$44))&lt;0.0001,"OK","CHECK")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  <c r="K11" s="87">
        <f>IF(MAX(ABS(F11-Scenarios!$G$45),ABS(G11-Scenarios!$G$46),ABS(H11-Scenarios!$G$47),ABS(I11-Scenarios!$G$48),ABS(J11-Scenarios!$G$49))&lt;0.5,"OK","CHECK")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  <c r="J13" s="75">
        <f>-'NOPAT Bridge'!J40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  <c r="K14" s="87">
        <f>IF(MAX(ABS(F14-Scenarios!$G$50),ABS(G14-Scenarios!$G$51),ABS(H14-Scenarios!$G$52),ABS(I14-Scenarios!$G$53),ABS(J14-Scenarios!$G$54))&lt;0.5,"OK","CHECK")</f>
        <v/>
      </c>
    </row>
    <row r="15" ht="28" customHeight="1">
      <c r="A15" s="16" t="inlineStr">
        <is>
          <t xml:space="preserve">  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  <c r="K16" s="86">
        <f>IF(MAX(ABS(F16-Scenarios!$G$55),ABS(G16-Scenarios!$G$56),ABS(H16-Scenarios!$G$57),ABS(I16-Scenarios!$G$58),ABS(J16-Scenarios!$G$59))&lt;0.5,"OK","CHECK")</f>
        <v/>
      </c>
    </row>
    <row r="17" ht="150" customHeight="1">
      <c r="A17" s="16" t="inlineStr">
        <is>
          <t xml:space="preserve">  Capex % of revenue</t>
        </is>
      </c>
      <c r="B17" s="19" t="n"/>
      <c r="C17" s="38" t="inlineStr">
        <is>
          <t>LULU 10-K: 2026 capex guide $725–745M
Also: Q2 FY2026 outlook: $10.350B–$10.500B sales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  <c r="K18" s="86">
        <f>IF(MAX(ABS(F18+Scenarios!$G$60),ABS(G18+Scenarios!$G$61),ABS(H18+Scenarios!$G$62),ABS(I18+Scenarios!$G$63),ABS(J18+Scenarios!$G$64))&lt;0.5,"OK","CHECK")</f>
        <v/>
      </c>
    </row>
    <row r="19">
      <c r="A19" s="52" t="inlineStr">
        <is>
          <t>Working capital schedule (driver-based)  [click − to collapse detail]</t>
        </is>
      </c>
    </row>
    <row r="20" hidden="1" outlineLevel="1" ht="150" customHeight="1">
      <c r="A20" s="16" t="inlineStr">
        <is>
          <t xml:space="preserve">  DSO (days) — flat vs FY25</t>
        </is>
      </c>
      <c r="B20" s="17" t="n"/>
      <c r="C20" s="18" t="inlineStr">
        <is>
          <t>LULU FY2025 10-K: Accounts receivable, net</t>
        </is>
      </c>
      <c r="D20" s="19" t="n"/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  <c r="K20" s="86">
        <f>IF(MAX(ABS(F20-Scenarios!$G$65),ABS(G20-Scenarios!$G$66),ABS(H20-Scenarios!$G$67),ABS(I20-Scenarios!$G$68),ABS(J20-Scenarios!$G$69))&lt;0.5,"OK","CHECK")</f>
        <v/>
      </c>
    </row>
    <row r="21" hidden="1" outlineLevel="1" ht="98" customHeight="1">
      <c r="A21" s="16" t="inlineStr">
        <is>
          <t xml:space="preserve">  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  <c r="K21" s="86">
        <f>IF(MAX(ABS(F21-Scenarios!$G$70),ABS(G21-Scenarios!$G$71),ABS(H21-Scenarios!$G$72),ABS(I21-Scenarios!$G$73),ABS(J21-Scenarios!$G$74))&lt;0.5,"OK","CHECK")</f>
        <v/>
      </c>
    </row>
    <row r="22" hidden="1" outlineLevel="1" ht="150" customHeight="1">
      <c r="A22" s="16" t="inlineStr">
        <is>
          <t xml:space="preserve">  DIO (days) — FY25 anchor, −1 day/yr</t>
        </is>
      </c>
      <c r="B22" s="19" t="n"/>
      <c r="C22" s="38" t="inlineStr">
        <is>
          <t>LULU FY2025 10-K: Inventories &amp; COGS
Also: LULU FY2025 10-K: inventory &amp; markdown outlook</t>
        </is>
      </c>
      <c r="D22" s="19" t="n"/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  <c r="K22" s="86">
        <f>IF(MAX(ABS(F22-Scenarios!$G$75),ABS(G22-Scenarios!$G$76),ABS(H22-Scenarios!$G$77),ABS(I22-Scenarios!$G$78),ABS(J22-Scenarios!$G$79))&lt;0.5,"OK","CHECK")</f>
        <v/>
      </c>
    </row>
    <row r="23" hidden="1" outlineLevel="1" ht="112" customHeight="1">
      <c r="A23" s="16" t="inlineStr">
        <is>
          <t xml:space="preserve">  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  <c r="K23" s="86">
        <f>IF(MAX(ABS(F23-Scenarios!$G$80),ABS(G23-Scenarios!$G$81),ABS(H23-Scenarios!$G$82),ABS(I23-Scenarios!$G$83),ABS(J23-Scenarios!$G$84))&lt;0.5,"OK","CHECK")</f>
        <v/>
      </c>
    </row>
    <row r="24" hidden="1" outlineLevel="1" ht="84" customHeight="1">
      <c r="A24" s="16" t="inlineStr">
        <is>
          <t xml:space="preserve">  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  <c r="K24" s="86">
        <f>IF(MAX(ABS(F24-Scenarios!$G$85),ABS(G24-Scenarios!$G$86),ABS(H24-Scenarios!$G$87),ABS(I24-Scenarios!$G$88),ABS(J24-Scenarios!$G$89))&lt;0.5,"OK","CHECK")</f>
        <v/>
      </c>
    </row>
    <row r="25" hidden="1" outlineLevel="1" ht="84" customHeight="1">
      <c r="A25" s="16" t="inlineStr">
        <is>
          <t xml:space="preserve">  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  <c r="K25" s="86">
        <f>IF(MAX(ABS(F25-Scenarios!$G$90),ABS(G25-Scenarios!$G$91),ABS(H25-Scenarios!$G$92),ABS(I25-Scenarios!$G$93),ABS(J25-Scenarios!$G$94))&lt;0.5,"OK","CHECK")</f>
        <v/>
      </c>
    </row>
    <row r="26" hidden="1" outlineLevel="1" ht="84" customHeight="1">
      <c r="A26" s="16" t="inlineStr">
        <is>
          <t xml:space="preserve">  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 xml:space="preserve">  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  <c r="K27" s="86">
        <f>IF(MAX(ABS(F27-Scenarios!$G$95),ABS(G27-Scenarios!$G$96),ABS(H27-Scenarios!$G$97),ABS(I27-Scenarios!$G$98),ABS(J27-Scenarios!$G$99))&lt;0.5,"OK","CHECK")</f>
        <v/>
      </c>
    </row>
    <row r="28" hidden="1" outlineLevel="1" ht="84" customHeight="1">
      <c r="A28" s="16" t="inlineStr">
        <is>
          <t xml:space="preserve">  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 xml:space="preserve">  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  <c r="K29" s="86">
        <f>IF(MAX(ABS(F29-Scenarios!$G$100),ABS(G29-Scenarios!$G$101),ABS(H29-Scenarios!$G$102),ABS(I29-Scenarios!$G$103),ABS(J29-Scenarios!$G$104))&lt;0.5,"OK","CHECK")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  <c r="K30" s="86">
        <f>IF(MAX(ABS(F30-Scenarios!$G$105),ABS(G30-Scenarios!$G$106),ABS(H30-Scenarios!$G$107),ABS(I30-Scenarios!$G$108),ABS(J30-Scenarios!$G$109))&lt;0.5,"OK","CHECK")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  <c r="K31" s="86">
        <f>IF(MAX(ABS(F31-Scenarios!$G$110),ABS(G31-Scenarios!$G$111),ABS(H31-Scenarios!$G$112),ABS(I31-Scenarios!$G$113),ABS(J31-Scenarios!$G$114))&lt;0.5,"OK","CHECK")</f>
        <v/>
      </c>
    </row>
    <row r="32" hidden="1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  <c r="K32" s="87">
        <f>IF(MAX(ABS(F32-Scenarios!$G$115),ABS(G32-Scenarios!$G$116),ABS(H32-Scenarios!$G$117),ABS(I32-Scenarios!$G$118),ABS(J32-Scenarios!$G$119))&lt;0.5,"OK","CHECK")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  <c r="K33" s="87">
        <f>IF(MAX(ABS(F33-Scenarios!$G$120),ABS(G33-Scenarios!$G$121),ABS(H33-Scenarios!$G$122),ABS(I33-Scenarios!$G$123),ABS(J33-Scenarios!$G$124))&lt;0.5,"OK","CHECK")</f>
        <v/>
      </c>
    </row>
    <row r="34">
      <c r="A34" s="26" t="inlineStr">
        <is>
          <t xml:space="preserve">  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  <c r="K35" s="87">
        <f>IF(MAX(ABS(F35-Scenarios!$G$125),ABS(G35-Scenarios!$G$126),ABS(H35-Scenarios!$G$127),ABS(I35-Scenarios!$G$128),ABS(J35-Scenarios!$G$129))&lt;0.5,"OK","CHECK")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39"/>
    <row r="40">
      <c r="A40" s="15" t="inlineStr">
        <is>
          <t>Scenarios linkage summary (column K should all read OK)</t>
        </is>
      </c>
      <c r="K40" s="92">
        <f>IF(COUNTIF(K5:K35,"CHECK")=0,"ALL OK","REVIEW")</f>
        <v/>
      </c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 xml:space="preserve">  Implied exit EV/EBITDA = Gordon TV / FY30 EBITDA</t>
        </is>
      </c>
      <c r="E46" s="94">
        <f>E45/E44</f>
        <v/>
      </c>
    </row>
    <row r="47">
      <c r="A47" s="16" t="inlineStr">
        <is>
          <t xml:space="preserve">  memo: (UFCF₃₀ / EBITDA₃₀) × (1+g) / (WACC−g)</t>
        </is>
      </c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inlineStr">
        <is>
          <t xml:space="preserve">  memo: funded term debt $0. Operating leases $298,724k current + $1,499,717k non-current = $1,798,441k (ASC 842 debt equivalent).</t>
        </is>
      </c>
    </row>
    <row r="53">
      <c r="A53" s="26" t="inlineStr">
        <is>
          <t xml:space="preserve">  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  <c r="K56" s="87">
        <f>IF(ABS(E56-Scenarios!$G$132)&lt;0.05,"OK","CHECK")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inlineStr">
        <is>
          <t xml:space="preserve">  memo: % of EV from terminal value</t>
        </is>
      </c>
      <c r="E59" s="32">
        <f>E48/E49</f>
        <v/>
      </c>
    </row>
    <row r="60"/>
    <row r="61"/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4"/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7"/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1"/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6"/>
    <row r="77">
      <c r="A77" s="16" t="inlineStr">
        <is>
          <t>Projected net income ($000)</t>
        </is>
      </c>
      <c r="E77" s="22" t="n">
        <v>1579183</v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  <c r="J77" s="75">
        <f>('NOPAT Bridge'!J36-'NOPAT Bridge'!J23)*(1-'NOPAT Bridge'!J$39)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79"/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  <c r="M82" s="95" t="n"/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7"/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5"/>
    <row r="96"/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  <c r="L98" s="95" t="inlineStr">
        <is>
          <t>Scenarios: terminal g</t>
        </is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  <c r="L99" s="95" t="inlineStr">
        <is>
          <t>WACC tab</t>
        </is>
      </c>
    </row>
    <row r="100" ht="28" customHeight="1">
      <c r="A100" s="109" t="n">
        <v>0.1</v>
      </c>
      <c r="D100" s="19" t="n"/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  <c r="L100" s="95" t="inlineStr">
        <is>
          <t>WACC tab</t>
        </is>
      </c>
    </row>
    <row r="101" ht="28" customHeight="1">
      <c r="A101" s="109" t="n">
        <v>0.105</v>
      </c>
      <c r="D101" s="19" t="n"/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  <c r="L101" s="95" t="inlineStr">
        <is>
          <t>WACC tab</t>
        </is>
      </c>
    </row>
    <row r="102" ht="28" customHeight="1">
      <c r="A102" s="109" t="n">
        <v>0.11</v>
      </c>
      <c r="D102" s="19" t="n"/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  <c r="L102" s="95" t="inlineStr">
        <is>
          <t>WACC tab</t>
        </is>
      </c>
    </row>
    <row r="103" ht="28" customHeight="1">
      <c r="A103" s="109" t="n">
        <v>0.115</v>
      </c>
      <c r="D103" s="19" t="n"/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  <c r="L103" s="95" t="inlineStr">
        <is>
          <t>WACC tab</t>
        </is>
      </c>
    </row>
    <row r="104" ht="28" customHeight="1">
      <c r="B104" s="17" t="n"/>
      <c r="C104" s="18" t="inlineStr">
        <is>
          <t>Scenarios: WACC &amp; terminal g</t>
        </is>
      </c>
      <c r="D104" s="19" t="n"/>
      <c r="L104" s="95" t="inlineStr">
        <is>
          <t>FRED: Real GDP (GDPC1)</t>
        </is>
      </c>
      <c r="M104" s="19" t="n"/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5"/>
    <hyperlink ref="C31" location="'Scenarios'!A110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20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2" location="'DCF'!E46"/>
    <hyperlink ref="M82" location="'Comps'!A45"/>
    <hyperlink xmlns:r="http://schemas.openxmlformats.org/officeDocument/2006/relationships" ref="C98" r:id="rId46"/>
    <hyperlink ref="L98" location="'Scenarios'!G10"/>
    <hyperlink xmlns:r="http://schemas.openxmlformats.org/officeDocument/2006/relationships" ref="C99" r:id="rId47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hidden="1" outlineLevel="1"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Notes</t>
        </is>
      </c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inlineStr">
        <is>
          <t xml:space="preserve">  memo: current EV / EBITDA</t>
        </is>
      </c>
      <c r="E11" s="112">
        <f>(E10*E9-E8)/E5</f>
        <v/>
      </c>
    </row>
    <row r="12">
      <c r="A12" s="107" t="inlineStr">
        <is>
          <t xml:space="preserve">  memo: current P / E (FY2026E)</t>
        </is>
      </c>
      <c r="E12" s="112">
        <f>E10/E7</f>
        <v/>
      </c>
    </row>
    <row r="13"/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  <c r="B16" t="inlineStr">
        <is>
          <t>Notes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3" t="inlineStr">
        <is>
          <t>Notes</t>
        </is>
      </c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EV/TTM EBITDA comp.</t>
        </is>
      </c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EV/TTM EBITDA comp.</t>
        </is>
      </c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inlineStr">
        <is>
          <t>PitchBook EV/TTM EBITDA comp.</t>
        </is>
      </c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inlineStr">
        <is>
          <t>PitchBook EV/TTM EBITDA comp.</t>
        </is>
      </c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EV/TTM EBITDA comp.</t>
        </is>
      </c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EV/TTM EBITDA comp.</t>
        </is>
      </c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inlineStr">
        <is>
          <t>PitchBook EV/TTM EBITDA comp.</t>
        </is>
      </c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inlineStr">
        <is>
          <t>PitchBook EV/TTM EBITDA comp.</t>
        </is>
      </c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EV/TTM EBITDA comp.</t>
        </is>
      </c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inlineStr">
        <is>
          <t>PitchBook EV/TTM EBITDA comp.</t>
        </is>
      </c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inlineStr">
        <is>
          <t>PitchBook EV/TTM EBITDA comp.</t>
        </is>
      </c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0"/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
Also: Reuters: Alo 2023 process; no deal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7"/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 ex-UAA.</t>
        </is>
      </c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tape incl. adjacent retail.</t>
        </is>
      </c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  <c r="B41" t="inlineStr">
        <is>
          <t>Notes</t>
        </is>
      </c>
    </row>
    <row r="42"/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 Selected exit = Gordon TV / FY30 EBITDA. Identity: (UFCF/EBITDA)×(1+g)/(WACC−g). Live formula, not a typed 8.0x</t>
        </is>
      </c>
    </row>
    <row r="49">
      <c r="A49" s="41" t="inlineStr">
        <is>
          <t>•  At base WACC ~9.0% and g 2.25% that identity is ~7.4x FY30 EBITDA — not a peer average</t>
        </is>
      </c>
    </row>
    <row r="50">
      <c r="A50" s="41" t="inlineStr">
        <is>
          <t>•  PitchBook pubcomps (04-Sep-2026) are the current tape: each multiple is daily EV / TTM EBITDA</t>
        </is>
      </c>
    </row>
    <row r="51">
      <c r="A51" s="41" t="inlineStr">
        <is>
          <t>•  That tape is a check, not the exit. A 2.25% g / 15.5% OM year is not today’s NKE/WSM multiple</t>
        </is>
      </c>
    </row>
    <row r="52">
      <c r="A52" s="41" t="inlineStr">
        <is>
          <t>•  Alo has no EV/EBITDA print. Implied 5.0x is EV/Sales (unclosed $10bn ask / ~$2bn parent sales) — not the FY30 exit</t>
        </is>
      </c>
    </row>
    <row r="53">
      <c r="A53" s="41" t="inlineStr">
        <is>
          <t>•  PitchBook LULU is ~4.7x TTM. Gordon ~7.4x is a partial recovery, not a re-rate to WSM ~15x</t>
        </is>
      </c>
    </row>
    <row r="54"/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inlineStr">
        <is>
          <t>Notes</t>
        </is>
      </c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 5.0x FY30E EBITDA trough.
Hi 8.0x DECK high-end cap.</t>
        </is>
      </c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inlineStr">
        <is>
          <t>Gordon TV / FY30 EBITDA exit.</t>
        </is>
      </c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 10x FY26E EPS trough.
Hi 18x FY26E EPS recovery.</t>
        </is>
      </c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1"/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2026-09-09T15:52:21Z</dcterms:created>
  <dcterms:modified xmlns:dcterms="http://purl.org/dc/terms/" xmlns:xsi="http://www.w3.org/2001/XMLSchema-instance" xsi:type="dcterms:W3CDTF">2026-09-10T00:26:58Z</dcterms:modified>
</cp:coreProperties>
</file>
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Notes</t>
        </is>
      </c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inlineStr">
        <is>
          <t>FRED DGS10 anchor (4.8%).</t>
        </is>
      </c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overlay.</t>
        </is>
      </c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FY26 mgmt guidance (~30%).</t>
        </is>
      </c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(~$100).</t>
        </is>
      </c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count.</t>
        </is>
      </c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Price × shares outstanding.</t>
        </is>
      </c>
      <c r="C10" s="24" t="inlineStr">
        <is>
          <t>WACC tab: price × shares</t>
        </is>
      </c>
      <c r="D10" s="19" t="n"/>
      <c r="E10" s="25" t="n">
        <v>11138000</v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No term debt (FY25 10-K).</t>
        </is>
      </c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 t="n">
        <v>1798441</v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βL (5Y monthly).</t>
        </is>
      </c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MRQ total debt.</t>
        </is>
      </c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Price × shares (Yahoo page).</t>
        </is>
      </c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Yahoo MRQ D/E for Hamada.</t>
        </is>
      </c>
      <c r="C20" s="18" t="inlineStr">
        <is>
          <t>Yahoo Finance: debt (mrq) ÷ market cap</t>
        </is>
      </c>
      <c r="D20" s="19" t="n"/>
      <c r="E20" s="28" t="n">
        <v>0.1921005385996409</v>
      </c>
    </row>
    <row r="21" ht="28" customHeight="1">
      <c r="A21" s="16" t="inlineStr">
        <is>
          <t>Yahoo book D/E (mrq) — reference only</t>
        </is>
      </c>
      <c r="B21" s="17" t="inlineStr">
        <is>
          <t>Yahoo book D/E reference.</t>
        </is>
      </c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Hamada unlever (Yahoo D/E).</t>
        </is>
      </c>
      <c r="C22" s="24" t="inlineStr">
        <is>
          <t>WACC tab: Hamada unlever (Yahoo market D/E)</t>
        </is>
      </c>
      <c r="D22" s="19" t="n"/>
      <c r="E22" s="28" t="n">
        <v>0.7580629846494699</v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FY25 lease debt / mkt cap.</t>
        </is>
      </c>
      <c r="C23" s="24" t="inlineStr">
        <is>
          <t>WACC tab: FY25 lease debt / market equity</t>
        </is>
      </c>
      <c r="D23" s="19" t="n"/>
      <c r="E23" s="28" t="n">
        <v>0.161468935176872</v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Damodaran benchmark (unused).</t>
        </is>
      </c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Relevered β for CAPM.</t>
        </is>
      </c>
      <c r="C25" s="24" t="inlineStr">
        <is>
          <t>WACC tab: Hamada relever (total D/E incl. leases)</t>
        </is>
      </c>
      <c r="D25" s="19" t="n"/>
      <c r="E25" s="29" t="n">
        <v>0.8437455206993159</v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 t="n">
        <v>0.09862473124195895</v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Lease-equivalent borrowing cost.</t>
        </is>
      </c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 t="n">
        <v>0.035</v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Mkt cap / total capital.</t>
        </is>
      </c>
      <c r="C39" s="24" t="inlineStr">
        <is>
          <t>WACC tab: capital structure</t>
        </is>
      </c>
      <c r="D39" s="19" t="n"/>
      <c r="E39" s="32" t="n">
        <v>0.8609786880332851</v>
      </c>
    </row>
    <row r="40" ht="28" customHeight="1">
      <c r="A40" s="16" t="inlineStr">
        <is>
          <t>Debt weight (leases + funded)</t>
        </is>
      </c>
      <c r="B40" s="17" t="inlineStr">
        <is>
          <t>Lease debt / total capital.</t>
        </is>
      </c>
      <c r="C40" s="18" t="inlineStr">
        <is>
          <t>LULU FY2025 10-K: operating lease liabilities</t>
        </is>
      </c>
      <c r="D40" s="19" t="n"/>
      <c r="E40" s="32" t="n">
        <v>0.1390213119667148</v>
      </c>
    </row>
    <row r="41">
      <c r="A41" s="23" t="inlineStr">
        <is>
          <t>WACC</t>
        </is>
      </c>
      <c r="E41" s="33" t="n">
        <v>0.08977953763117218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Notes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inlineStr">
        <is>
          <t>Q2 FY26 mgmt guidance midpoint.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OM.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tab).</t>
        </is>
      </c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mgmt guidance (~30%).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D&amp;A run-rate vs sales.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5.5%.</t>
        </is>
      </c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Held flat vs FY25 actuals.</t>
        </is>
      </c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actuals.</t>
        </is>
      </c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 minus 1 day/yr.</t>
        </is>
      </c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Minus 1 day per forecast yr.</t>
        </is>
      </c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actuals.</t>
        </is>
      </c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revenue.</t>
        </is>
      </c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revenue.</t>
        </is>
      </c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n"/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Notes</t>
        </is>
      </c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0).</t>
        </is>
      </c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rev.</t>
        </is>
      </c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rev.</t>
        </is>
      </c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rev.</t>
        </is>
      </c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rate (30%).</t>
        </is>
      </c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 (yrs).</t>
        </is>
      </c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forecast.</t>
        </is>
      </c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Run-rate intangible amort add-back.</t>
        </is>
      </c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add-back.</t>
        </is>
      </c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strip.</t>
        </is>
      </c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1).</t>
        </is>
      </c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Reported EBIT plus non-recurring add-backs.</t>
        </is>
      </c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(memo).</t>
        </is>
      </c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 immaterial this yr.</t>
        </is>
      </c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Prior capitalized intangible amort.</t>
        </is>
      </c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1 plus lease / R&amp;D adjustments.</t>
        </is>
      </c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Store rev from Revenue Drivers.</t>
        </is>
      </c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E-comm rev from Revenue Drivers.</t>
        </is>
      </c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Other rev from Revenue Drivers.</t>
        </is>
      </c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Store EBIT ÷ store rev only.</t>
        </is>
      </c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E-comm EBIT ÷ e-comm rev only.</t>
        </is>
      </c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Other EBIT ÷ other rev only.</t>
        </is>
      </c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Sum of sector EBIT (Phase 3).</t>
        </is>
      </c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</t>
        </is>
      </c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 walk-through Phases 1–2.</t>
        </is>
      </c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ETR with interest shield.</t>
        </is>
      </c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Normalized EBIT × t_operating.</t>
        </is>
      </c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EBIT_norm × (1 − t_operating).</t>
        </is>
      </c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n"/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n"/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n"/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n"/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n"/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n"/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n"/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 tab
.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Notes</t>
        </is>
      </c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  <c r="B16" t="inlineStr">
        <is>
          <t>Notes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Notes</t>
        </is>
      </c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EV/TTM EBITDA comp.</t>
        </is>
      </c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EV/TTM EBITDA comp.</t>
        </is>
      </c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EV/TTM EBITDA comp.</t>
        </is>
      </c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EV/TTM EBITDA comp.</t>
        </is>
      </c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EV/TTM EBITDA comp.</t>
        </is>
      </c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EV/TTM EBITDA comp.</t>
        </is>
      </c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EV/TTM EBITDA comp.</t>
        </is>
      </c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EV/TTM EBITDA comp.</t>
        </is>
      </c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EV/TTM EBITDA comp.</t>
        </is>
      </c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EV/TTM EBITDA comp.</t>
        </is>
      </c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EV/TTM EBITDA comp.</t>
        </is>
      </c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 ex-UAA.</t>
        </is>
      </c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tape incl. adjacent retail.</t>
        </is>
      </c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  <c r="B41" t="inlineStr">
        <is>
          <t>Notes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Notes</t>
        </is>
      </c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 5.0x FY30E EBITDA trough.
Hi 8.0x DECK high-end cap.</t>
        </is>
      </c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Gordon TV / FY30 EBITDA exit.</t>
        </is>
      </c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 10x FY26E EPS trough.
Hi 18x FY26E EPS recovery.</t>
        </is>
      </c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2026-09-10T01:26:06Z</dcterms:modified>
</cp:coreProperties>
</file>
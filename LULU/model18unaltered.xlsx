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$0;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500;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page;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D/E;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0.16;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used;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benchmark;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STATISTICS;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~14%;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only;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revenue; DSO (days), flat ~6.3. Mostly own stores/DTC (cash at register); AR is small wholesale residual; predictable ~6 days FY22–25.</t>
        </is>
      </c>
      <c r="C15" s="18" t="inlineStr">
        <is>
          <t>LULU FY2025 10-K: Accounts receivable, net</t>
        </is>
      </c>
      <c r="D15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revenue;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revenue;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revenue;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revenue;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revenue;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 xml:space="preserve">  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 xml:space="preserve">  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 xml:space="preserve">  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 xml:space="preserve">  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 xml:space="preserve">  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 xml:space="preserve">  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 xml:space="preserve">  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 xml:space="preserve">  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 xml:space="preserve">  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 xml:space="preserve">  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 xml:space="preserve">  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 xml:space="preserve">  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 xml:space="preserve">  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 xml:space="preserve">  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 xml:space="preserve">  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 xml:space="preserve">  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 xml:space="preserve">  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 xml:space="preserve">  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 xml:space="preserve">  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 xml:space="preserve">  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 xml:space="preserve">  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 xml:space="preserve">  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 xml:space="preserve">  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 xml:space="preserve">  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 xml:space="preserve">  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 xml:space="preserve">  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 xml:space="preserve">  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 xml:space="preserve">  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 xml:space="preserve">  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 xml:space="preserve">  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 xml:space="preserve">  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 xml:space="preserve">  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 xml:space="preserve">  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 xml:space="preserve">  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 xml:space="preserve">  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 xml:space="preserve">  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 xml:space="preserve">  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 xml:space="preserve">  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 xml:space="preserve">  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 xml:space="preserve">  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 xml:space="preserve">  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 xml:space="preserve">  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 xml:space="preserve">  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 xml:space="preserve">  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 xml:space="preserve">  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 xml:space="preserve">  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 xml:space="preserve">  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 xml:space="preserve">  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 xml:space="preserve">  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 xml:space="preserve">  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 xml:space="preserve">  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 xml:space="preserve">  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 xml:space="preserve">  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 xml:space="preserve">  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 xml:space="preserve">  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 xml:space="preserve">  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 xml:space="preserve">  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 xml:space="preserve">  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 xml:space="preserve">  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 xml:space="preserve">  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 xml:space="preserve">  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 xml:space="preserve">  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 xml:space="preserve">  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 xml:space="preserve">  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 xml:space="preserve">  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 xml:space="preserve">  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 xml:space="preserve">  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 xml:space="preserve">  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 xml:space="preserve">  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 xml:space="preserve">  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 xml:space="preserve">  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 xml:space="preserve">  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 xml:space="preserve">  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 xml:space="preserve">  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 xml:space="preserve">  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 xml:space="preserve">  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 xml:space="preserve">  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 xml:space="preserve">  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 xml:space="preserve">  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 xml:space="preserve">  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 xml:space="preserve">  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 xml:space="preserve">  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 xml:space="preserve">  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 xml:space="preserve">  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 xml:space="preserve">  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 xml:space="preserve">  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 xml:space="preserve">  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 xml:space="preserve">  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 xml:space="preserve">  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 xml:space="preserve">  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 xml:space="preserve">  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 xml:space="preserve">  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 xml:space="preserve">  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 xml:space="preserve">  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 xml:space="preserve">  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 xml:space="preserve">  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 xml:space="preserve">  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 xml:space="preserve">  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 xml:space="preserve">  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 xml:space="preserve">  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 xml:space="preserve">  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 xml:space="preserve">  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 xml:space="preserve">  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 xml:space="preserve">  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 xml:space="preserve">  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 xml:space="preserve">  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 xml:space="preserve">  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 xml:space="preserve">  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 xml:space="preserve">  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 xml:space="preserve">  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 xml:space="preserve">  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inlineStr">
        <is>
          <t>Ctrl+F (prove number)</t>
        </is>
      </c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 [cols I–L: click + to expand]</t>
        </is>
      </c>
      <c r="K5" s="56" t="inlineStr">
        <is>
          <t>Source</t>
        </is>
      </c>
      <c r="L5" s="56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fleet; immaterial closures vs expansion; 2–3 per mature region.</t>
        </is>
      </c>
    </row>
    <row r="9" ht="28" customHeight="1">
      <c r="A9" s="61" t="inlineStr">
        <is>
          <t xml:space="preserve">  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fleet; immaterial closures vs expansion; 2–3 per mature region.</t>
        </is>
      </c>
    </row>
    <row r="13" ht="28" customHeight="1">
      <c r="A13" s="61" t="inlineStr">
        <is>
          <t xml:space="preserve">  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fleet; immaterial closures vs expansion; 2–3 per mature region.</t>
        </is>
      </c>
    </row>
    <row r="17" ht="28" customHeight="1">
      <c r="A17" s="61" t="inlineStr">
        <is>
          <t xml:space="preserve">  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 [cols I–L: click + to expand]</t>
        </is>
      </c>
      <c r="K23" s="56" t="inlineStr">
        <is>
          <t>Source</t>
        </is>
      </c>
      <c r="L23" s="56" t="inlineStr">
        <is>
          <t>Ctrl+F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 [cols I–L: click + to expand]</t>
        </is>
      </c>
      <c r="K37" s="56" t="inlineStr">
        <is>
          <t>Source</t>
        </is>
      </c>
      <c r="L37" s="56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 [cols I–L: click + to expand]</t>
        </is>
      </c>
      <c r="K44" s="56" t="inlineStr">
        <is>
          <t>Source</t>
        </is>
      </c>
      <c r="L44" s="56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 [cols I–L: click + to expand]</t>
        </is>
      </c>
      <c r="K54" s="56" t="inlineStr">
        <is>
          <t>Source</t>
        </is>
      </c>
      <c r="L54" s="56" t="inlineStr">
        <is>
          <t>Ctrl+F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Justification  [cols B–D: click + to expand]</t>
        </is>
      </c>
      <c r="C2" s="51" t="inlineStr">
        <is>
          <t>Source (click)</t>
        </is>
      </c>
      <c r="D2" s="51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revenue;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margin; EBIT ÷ store revenue only (cf. Scenarios 13.2%–15.5%).
Ctrl+F "Company-operated stores"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revenue; EBIT as % of e-commerce revenue only (not the Scenarios 13.2%–15.5% consolidated margin).
23.6% margin assumption.
EBIT_e-comm = Rev_e-comm × Margin_e-comm
FY25 check: 4,918,697 × 23.6% ≈ 1,160,812 ($000).
Higher than stores;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margin; EBIT ÷ e-commerce revenue only (cf. Scenarios 13.2%–15.5%).
Ctrl+F "E-commerce"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revenue; EBIT as % of other-channel revenue only (not the Scenarios 13.2%–15.5% consolidated margin).
9.1% margin assumption.
EBIT_other = Rev_other × Margin_other
FY25 check: 1,134,159 × 9.1% ≈ 103,209 ($000).
Wholesale/license/outlets;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margin; EBIT ÷ other-channel revenue only (cf. Scenarios 13.2%–15.5%).
Ctrl+F "Net revenue" → 11,102,600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inlineStr">
        <is>
          <t>Ctrl+F "a tax rate of approximately 30%" → terminal marginal rate for t_operating glide path.</t>
        </is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Not % of revenue; amortization period (years) if R&amp;D/software is capitalized. LULU: no separate R&amp;D cap.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inlineStr">
        <is>
          <t>Ctrl+F "Income from operations" → 2,210,615 ($000). Forecast links to Scenarios EBIT.</t>
        </is>
      </c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inlineStr">
        <is>
          <t>Ctrl+F "Amortization of intangible assets" → other operating expense run-rate (add-back).</t>
        </is>
      </c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inlineStr">
        <is>
          <t>Ctrl+F "restructuring" → none material in FY25 10-K.</t>
        </is>
      </c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SG&amp;A; none identified FY25.</t>
        </is>
      </c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20" s="18" t="inlineStr">
        <is>
          <t>LULU CF statement (10-K): stock-based compensation</t>
        </is>
      </c>
      <c r="D20" s="19" t="inlineStr">
        <is>
          <t>Ctrl+F "Stock-based compensation expense"
→ 62,203 ($000) FY25 reference. Flag = 0: SBC stays in EBIT (Convention A); DCF IV uses basic 111,380k shares.</t>
        </is>
      </c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Not % of revenue; implied lease interest ($1,028k FY25). Reclass from rent to unlevered EBIT; scales with revenue in forecast.</t>
        </is>
      </c>
      <c r="C23" s="18" t="inlineStr">
        <is>
          <t>LULU FY2025 10-K: interest on lease liabilities (supplemental)</t>
        </is>
      </c>
      <c r="D23" s="19" t="inlineStr">
        <is>
          <t>Ctrl+F "Interest paid on lease liabilities"
→ 1,028 ($000) supplemental cash-flow disclosure. Reclass to unlevered EBIT.</t>
        </is>
      </c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line; held at $0.</t>
        </is>
      </c>
      <c r="C24" s="18" t="inlineStr">
        <is>
          <t>LULU FY2025 10-K: R&amp;D / software expense</t>
        </is>
      </c>
      <c r="D24" s="19" t="inlineStr">
        <is>
          <t>R&amp;D / software capitalization; LULU immaterial; held at $0.</t>
        </is>
      </c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intangibles; netted in D&amp;A line.</t>
        </is>
      </c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 xml:space="preserve">  Store-channel revenue</t>
        </is>
      </c>
      <c r="B28" s="17" t="inlineStr">
        <is>
          <t>Not % of revenue; 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 xml:space="preserve">  E-commerce revenue</t>
        </is>
      </c>
      <c r="B29" s="17" t="inlineStr">
        <is>
          <t>Not % of revenue; 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 xml:space="preserve">  Other channels revenue</t>
        </is>
      </c>
      <c r="B30" s="17" t="inlineStr">
        <is>
          <t>Not % of revenue; 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 xml:space="preserve">  Store-channel EBIT (= Rev × store margin)</t>
        </is>
      </c>
      <c r="B31" s="17" t="inlineStr">
        <is>
          <t>Not % of consolidated revenue;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margin; store EBIT ÷ store revenue only.
Ctrl+F "Company-operated stores"
→ 5,049,744 ($000)
EBIT = Rev × 18.6% → ≈ 939,252 ($000)</t>
        </is>
      </c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 xml:space="preserve">  E-commerce EBIT (= Rev × e-comm margin)</t>
        </is>
      </c>
      <c r="B32" s="17" t="inlineStr">
        <is>
          <t>Not % of consolidated revenue; e-commerce EBIT ÷ e-commerce revenue only (not Scenarios consolidated EBIT margin).
EBIT_e-comm,t = Rev_e-comm,t × 23.6%
FY25: 4,918,697 × 23.6% ≈ 1,160,812 ($000).
Higher than stores;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margin; e-commerce EBIT ÷ e-commerce revenue only.
Ctrl+F "E-commerce"
→ 4,918,697 ($000)
EBIT = Rev × 23.6% → ≈ 1,160,812 ($000)</t>
        </is>
      </c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 xml:space="preserve">  Other-channels EBIT (= Rev × other margin)</t>
        </is>
      </c>
      <c r="B33" s="17" t="inlineStr">
        <is>
          <t>Not % of consolidated revenue; other-channel EBIT ÷ other revenue only (not Scenarios consolidated EBIT margin).
EBIT_other,t = Rev_other,t × 9.1%
FY25: 1,134,159 × 9.1% ≈ 103,209 ($000).
Wholesale/license/outlets; lowest channel margin.</t>
        </is>
      </c>
      <c r="C33" s="18" t="inlineStr">
        <is>
          <t>FY2025 10-K: other channels (residual)</t>
        </is>
      </c>
      <c r="D33" s="19" t="inlineStr">
        <is>
          <t>Not consolidated EBIT margin; other-channel EBIT ÷ other revenue only.
Other rev = 11,102,600 − 5,049,744 − 4,918,697 ≈ 1,134,159 ($000)
EBIT = Rev × 9.1% → ≈ 103,209 ($000)</t>
        </is>
      </c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 xml:space="preserve">  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EBIT;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 xml:space="preserve">  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t_operating; unlevered tax (no debt shield).</t>
        </is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73" t="inlineStr">
        <is>
          <t>Phase 5 — Agent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inlineStr">
        <is>
          <t>With applied (FY26 DCF)</t>
        </is>
      </c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inlineStr">
        <is>
          <t>DCF unchanged.</t>
        </is>
      </c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inlineStr">
        <is>
          <t>DCF unchanged.</t>
        </is>
      </c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inlineStr">
        <is>
          <t>DCF unchanged.</t>
        </is>
      </c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inlineStr">
        <is>
          <t>DCF unchanged.</t>
        </is>
      </c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inlineStr">
        <is>
          <t>NOPAT = EBIT × (1 − t_operating) — same EBIT, slightly higher NOPAT.</t>
        </is>
      </c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inlineStr">
        <is>
          <t>+ $134,500k in FY26 — DCF uses this.</t>
        </is>
      </c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inlineStr">
        <is>
          <t>Justification (~20 words)  [cols B–D: click + to expand]</t>
        </is>
      </c>
      <c r="C2" s="78" t="inlineStr">
        <is>
          <t>Source (click)</t>
        </is>
      </c>
      <c r="D2" s="78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inlineStr">
        <is>
          <t>Alt. Ctrl+F</t>
        </is>
      </c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5" t="inlineStr">
        <is>
          <t>NOPAT Bridge tab
Ctrl+F: 5-phase EBIT normalization → normalized NOPAT (base case).</t>
        </is>
      </c>
      <c r="D4" s="85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only;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revenue; DSO (days), flat ~6.3. Mostly own stores/DTC (cash at register); AR is small wholesale residual; predictable ~6 days FY22–25.</t>
        </is>
      </c>
      <c r="C20" s="18" t="inlineStr">
        <is>
          <t>LULU FY2025 10-K: Accounts receivable, net</t>
        </is>
      </c>
      <c r="D20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dominates; AR scales predictably with sales.
Ctrl+F "Accounts receivable, net"
→ 190,657 ($000)
Ctrl+F "Net revenue"
→ 11,102,600 ($000)</t>
        </is>
      </c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revenue; DIO (days).
FY25 anchor: DIO = (Inventories ÷ COGS) × 365
  = (1,700,753 ÷ 4,818,468) × 365 ≈ 129 days (FY24 inv: 1,442,081).
Forecast path: DIO_t = FY25 DIO − (1 day × year t); flat across scenarios.
Also: Not % of revenue;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revenue; DIO −1 day/yr (−5 days FY26–30).
Feeds Inventories_t = (DIO_t ÷ 365) × COGS_t.
Ctrl+F "reduce the percentage of markdowns"
Ctrl+F "On a unit basis, we expect inventories to slightly decrease"</t>
        </is>
      </c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revenue;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revenue; Inventories_t = (DIO_t ÷ 365) × COGS_t.
COGS_t = Revenue_t × (1 − GM%).
Ctrl+F "Inventories"
→ 1,700,753 ($000)
Ctrl+F "Cost of goods sold"
→ 4,818,468 ($000)
FY25 proof: (129 ÷ 365) × 4,818,468 ≈ 1,700,753</t>
        </is>
      </c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revenue;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revenue; DPO ≈ 25.1 days. Implied AP ≈ 3.0% of sales / 6.9% of COGS.</t>
        </is>
      </c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%;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revenue; sum of line items.
FY25: AR ~1.7% + inventory ~15.3% + prepaids 5.1% ≈ 22.1% of sales.</t>
        </is>
      </c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%;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revenue; sum of line items.
FY25: AP ~3.0% + accrued liabilities 6.0% ≈ 9.0% of sales.</t>
        </is>
      </c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%;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revenue; net balance.
FY25 NWC ≈ 13.2% of sales ($1,461,096k = COA − COL).</t>
        </is>
      </c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revenue;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revenue; $ change year-over-year.
FY26: revenue −6.1% + DIO −1 day → NWC falls → ΔNWC positive (WC release).
FY27–30: revenue +2.3%/yr → AR &amp; inventory rebuild → ΔNWC negative (WC build).</t>
        </is>
      </c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4">
        <f>E45/E44</f>
        <v/>
      </c>
    </row>
    <row r="47">
      <c r="A47" s="16" t="inlineStr">
        <is>
          <t xml:space="preserve">  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inlineStr">
        <is>
          <t>Ctrl+F "Cash and cash equivalents" → 1,807,202 ($000) FY2025</t>
        </is>
      </c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4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inlineStr">
        <is>
          <t>Ctrl+F "closed at $100.61" → Last Sale on NASDAQ quote page</t>
        </is>
      </c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inlineStr">
        <is>
          <t>Selected exit is Gordon TV / FY30 EBITDA. Identity: (UFCF/EBITDA)×(1+g)/(WACC−g). Not Deckers and not a peer average.</t>
        </is>
      </c>
      <c r="C82" s="18" t="inlineStr">
        <is>
          <t>DCF: Gordon implied exit (TV / FY30 EBITDA)</t>
        </is>
      </c>
      <c r="D82" s="19" t="inlineStr">
        <is>
          <t>No peer Ctrl+F. This cell = Gordon TV / FY30 EBITDA = (UFCF/EBITDA)×(1+g)/(WACC−g). WACC and g are sourced on those rows.</t>
        </is>
      </c>
      <c r="E82" s="94">
        <f>E46</f>
        <v/>
      </c>
      <c r="M82" s="95" t="inlineStr">
        <is>
          <t>Comps: Exit Multiple Build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inlineStr">
        <is>
          <t>Gordon Growth</t>
        </is>
      </c>
      <c r="C89" s="54" t="inlineStr">
        <is>
          <t>Exit Multiple</t>
        </is>
      </c>
      <c r="D89" s="54" t="inlineStr">
        <is>
          <t>Variance</t>
        </is>
      </c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inlineStr">
        <is>
          <t>Selected exit is the Gordon identity, so spread should be 0</t>
        </is>
      </c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inlineStr">
        <is>
          <t>Terminal-g axis 1.5–3.0% brackets 2.25% base; bounded by long-run real GDP and inflation benchmarks.</t>
        </is>
      </c>
      <c r="C98" s="18" t="inlineStr">
        <is>
          <t>FRED: Real GDP (GDPC1)</t>
        </is>
      </c>
      <c r="D98" s="19" t="inlineStr">
        <is>
          <t>Ctrl+F "GDPC1" → bounds terminal-g sensitivity grid 1.5%–3.0%</t>
        </is>
      </c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inlineStr">
        <is>
          <t>WACC tab → green WACC cell ~9.0%. Sensitivity WACC axis brackets base ±100bps.</t>
        </is>
      </c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inlineStr">
        <is>
          <t>WACC tab → green WACC cell ~9.0%. Sensitivity WACC axis brackets base ±100bps.</t>
        </is>
      </c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inlineStr">
        <is>
          <t>WACC tab → green WACC cell ~9.0%. Sensitivity WACC axis brackets base ±100bps.</t>
        </is>
      </c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inlineStr">
        <is>
          <t>WACC tab → green WACC cell ~9.0%. Sensitivity WACC axis brackets base ±100bps.</t>
        </is>
      </c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inlineStr">
        <is>
          <t>WACC tab → green WACC cell ~9.0%. Sensitivity WACC axis brackets base ±100bps.</t>
        </is>
      </c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inlineStr">
        <is>
          <t>Red WACC and g grid values bracket base case ±100bps discount rate and ±75bps terminal growth for sensitivity.</t>
        </is>
      </c>
      <c r="C104" s="18" t="inlineStr">
        <is>
          <t>Scenarios: WACC &amp; terminal g</t>
        </is>
      </c>
      <c r="D104" s="19" t="inlineStr">
        <is>
          <t>Scenarios tab → Ctrl+F "WACC" and "Terminal growth" rows (base-case inputs)</t>
        </is>
      </c>
      <c r="L104" s="95" t="inlineStr">
        <is>
          <t>FRED: Real GDP (GDPC1)</t>
        </is>
      </c>
      <c r="M104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inlineStr">
        <is>
          <t>Ctrl+F "Net revenue" → 11,102,600 ($000) in FY2025 column</t>
        </is>
      </c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inlineStr">
        <is>
          <t>Ctrl+F "$9.48 to $9.73" → FY2026 diluted EPS guidance; model midpoint $9.61</t>
        </is>
      </c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inlineStr">
        <is>
          <t>Ctrl+F "Cash and cash equivalents" → 1,807,202 ($000) FY2025</t>
        </is>
      </c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inlineStr">
        <is>
          <t>Ctrl+F "closed at $100.61" → Last Sale on NASDAQ quote page</t>
        </is>
      </c>
      <c r="E10" s="97" t="n">
        <v>100</v>
      </c>
    </row>
    <row r="11">
      <c r="A11" s="107" t="inlineStr">
        <is>
          <t xml:space="preserve">  memo: current EV / EBITDA</t>
        </is>
      </c>
      <c r="E11" s="112">
        <f>(E10*E9-E8)/E5</f>
        <v/>
      </c>
    </row>
    <row r="12">
      <c r="A12" s="107" t="inlineStr">
        <is>
          <t xml:space="preserve">  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Justification</t>
        </is>
      </c>
      <c r="C18" s="113" t="inlineStr">
        <is>
          <t>Source</t>
        </is>
      </c>
      <c r="D18" s="113" t="inlineStr">
        <is>
          <t>Ctrl+F / proof</t>
        </is>
      </c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process;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7" t="n">
        <v>2</v>
      </c>
    </row>
    <row r="35" ht="28" customHeight="1">
      <c r="A35" s="68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5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8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~9.0% and g 2.25% that identity is ~7.4x FY30 EBITDA — not a peer average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Justification</t>
        </is>
      </c>
      <c r="C56" s="113" t="inlineStr">
        <is>
          <t>Source</t>
        </is>
      </c>
      <c r="D56" s="113" t="inlineStr">
        <is>
          <t>Ctrl+F</t>
        </is>
      </c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5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5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inlineStr">
        <is>
          <t>Ctrl+F "closed at $100.61" → Last Sale on NASDAQ quote page</t>
        </is>
      </c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2026-09-10T01:26:05Z</dcterms:modified>
</cp:coreProperties>
</file>
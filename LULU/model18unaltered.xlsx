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WACC" sheetId="2" state="visible" r:id="rId2"/>
    <sheet name="Scenarios" sheetId="3" state="visible" r:id="rId3"/>
    <sheet name="Revenue Drivers" sheetId="4" state="visible" r:id="rId4"/>
    <sheet name="NOPAT Bridge" sheetId="5" state="visible" r:id="rId5"/>
    <sheet name="DCF" sheetId="6" state="visible" r:id="rId6"/>
    <sheet name="Com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.00"/>
    <numFmt numFmtId="166" formatCode="#,##0;(#,##0)"/>
    <numFmt numFmtId="167" formatCode="#,##0.0"/>
    <numFmt numFmtId="168" formatCode="0.000"/>
    <numFmt numFmtId="169" formatCode="0.0x"/>
  </numFmts>
  <fonts count="53">
    <font>
      <name val="Calibri"/>
      <family val="2"/>
      <color theme="1"/>
      <sz val="11"/>
      <scheme val="minor"/>
    </font>
    <font>
      <name val="Garamond"/>
      <b val="1"/>
      <color rgb="00FFFFFF"/>
      <sz val="13"/>
    </font>
    <font>
      <name val="Garamond"/>
      <b val="1"/>
      <color rgb="001F2A44"/>
      <sz val="20"/>
    </font>
    <font>
      <name val="Garamond"/>
      <b val="1"/>
      <color rgb="00C8102E"/>
      <sz val="13"/>
    </font>
    <font>
      <name val="Garamond"/>
      <b val="1"/>
      <color rgb="00006100"/>
      <sz val="14"/>
    </font>
    <font>
      <name val="Garamond"/>
      <b val="1"/>
      <color rgb="001F2A44"/>
      <sz val="12"/>
    </font>
    <font>
      <name val="Garamond"/>
      <b val="1"/>
      <color rgb="000000CC"/>
      <sz val="11"/>
    </font>
    <font>
      <name val="Garamond"/>
      <b val="1"/>
      <color rgb="00000000"/>
      <sz val="11"/>
    </font>
    <font>
      <name val="Garamond"/>
      <b val="1"/>
      <color rgb="00C00000"/>
      <sz val="11"/>
    </font>
    <font>
      <name val="Garamond"/>
      <color rgb="00000000"/>
      <sz val="10"/>
    </font>
    <font>
      <name val="Garamond"/>
      <color rgb="000000CC"/>
      <sz val="10"/>
    </font>
    <font>
      <name val="Garamond"/>
      <color rgb="000000CC"/>
      <sz val="10"/>
      <u val="single"/>
    </font>
    <font>
      <name val="Garamond"/>
      <i val="1"/>
      <color rgb="00000000"/>
      <sz val="9"/>
    </font>
    <font>
      <name val="Garamond"/>
      <b val="1"/>
      <color rgb="00FFFFFF"/>
      <sz val="12"/>
    </font>
    <font>
      <name val="Garamond"/>
      <b val="1"/>
      <color rgb="00C8102E"/>
      <sz val="9"/>
    </font>
    <font>
      <name val="Garamond"/>
      <b val="1"/>
      <color rgb="00C8102E"/>
      <sz val="10"/>
    </font>
    <font>
      <name val="Garamond"/>
      <color rgb="00C00000"/>
      <sz val="10"/>
    </font>
    <font>
      <name val="Garamond"/>
      <i val="1"/>
      <color rgb="00000000"/>
      <sz val="8"/>
    </font>
    <font>
      <name val="Garamond"/>
      <i val="1"/>
      <color rgb="000000CC"/>
      <sz val="9"/>
    </font>
    <font>
      <name val="Garamond"/>
      <i val="1"/>
      <color rgb="000000CC"/>
      <sz val="9"/>
      <u val="single"/>
    </font>
    <font>
      <name val="Garamond"/>
      <b val="1"/>
      <color rgb="001F2A44"/>
      <sz val="10"/>
    </font>
    <font>
      <name val="Garamond"/>
      <b val="1"/>
      <color rgb="00000000"/>
      <sz val="10"/>
    </font>
    <font>
      <name val="Garamond"/>
      <b val="1"/>
      <color rgb="00006100"/>
      <sz val="12"/>
    </font>
    <font>
      <name val="Garamond"/>
      <b val="1"/>
      <color rgb="00FFFFFF"/>
      <sz val="11"/>
    </font>
    <font>
      <name val="Garamond"/>
      <color rgb="00000000"/>
      <sz val="9"/>
    </font>
    <font>
      <name val="Garamond"/>
      <b val="1"/>
      <color rgb="001F2A44"/>
      <sz val="11"/>
    </font>
    <font>
      <name val="Garamond"/>
      <b val="1"/>
      <color rgb="00000000"/>
      <sz val="12"/>
    </font>
    <font>
      <name val="Garamond"/>
      <b val="1"/>
      <color rgb="00FFFFFF"/>
      <sz val="9"/>
    </font>
    <font>
      <name val="Garamond"/>
      <color rgb="000000CC"/>
      <sz val="9"/>
    </font>
    <font>
      <name val="Garamond"/>
      <color rgb="00C00000"/>
      <sz val="9"/>
    </font>
    <font>
      <name val="Garamond"/>
      <b val="1"/>
      <color rgb="00000000"/>
      <sz val="9"/>
    </font>
    <font>
      <name val="Garamond"/>
      <b val="1"/>
      <color rgb="000000CC"/>
      <sz val="9"/>
    </font>
    <font>
      <name val="Garamond"/>
      <b val="1"/>
      <color rgb="000000CC"/>
      <sz val="9"/>
      <u val="single"/>
    </font>
    <font>
      <name val="Garamond"/>
      <color rgb="000000CC"/>
      <sz val="9"/>
      <u val="single"/>
    </font>
    <font>
      <name val="Garamond"/>
      <b val="1"/>
      <color rgb="000000CC"/>
      <sz val="10"/>
    </font>
    <font>
      <name val="Garamond"/>
      <b val="1"/>
      <color rgb="000000CC"/>
      <sz val="10"/>
      <u val="single"/>
    </font>
    <font>
      <name val="Garamond"/>
      <b val="1"/>
      <color rgb="00FFFFFF"/>
      <sz val="10"/>
    </font>
    <font>
      <name val="Garamond"/>
      <b val="1"/>
      <color rgb="001F2A44"/>
      <sz val="9"/>
    </font>
    <font>
      <name val="Garamond"/>
      <b val="1"/>
      <color rgb="00C8102E"/>
      <sz val="8"/>
    </font>
    <font>
      <name val="Garamond"/>
      <color rgb="00000000"/>
      <sz val="8"/>
    </font>
    <font>
      <name val="Garamond"/>
      <color rgb="00C8102E"/>
      <sz val="8"/>
    </font>
    <font>
      <name val="Garamond"/>
      <i val="1"/>
      <color rgb="000000CC"/>
      <sz val="8"/>
    </font>
    <font>
      <name val="Garamond"/>
      <i val="1"/>
      <color rgb="000000CC"/>
      <sz val="8"/>
      <u val="single"/>
    </font>
    <font>
      <name val="Garamond"/>
      <i val="1"/>
      <color rgb="00F2F2F2"/>
      <sz val="9"/>
    </font>
    <font>
      <name val="Garamond"/>
      <i val="1"/>
      <color rgb="00F2F2F2"/>
      <sz val="7"/>
    </font>
    <font>
      <name val="Garamond"/>
      <b val="1"/>
      <color rgb="00000000"/>
      <sz val="8"/>
    </font>
    <font>
      <name val="Garamond"/>
      <b val="1"/>
      <color rgb="00006100"/>
      <sz val="9"/>
    </font>
    <font>
      <name val="Garamond"/>
      <b val="1"/>
      <color rgb="00006100"/>
      <sz val="13"/>
    </font>
    <font>
      <name val="Garamond"/>
      <b val="1"/>
      <color rgb="00006100"/>
      <sz val="11"/>
    </font>
    <font>
      <name val="Garamond"/>
      <b val="1"/>
      <color rgb="00C00000"/>
      <sz val="9"/>
    </font>
    <font>
      <name val="Garamond"/>
      <color rgb="00006100"/>
      <sz val="9"/>
    </font>
    <font>
      <name val="Garamond"/>
      <i val="1"/>
      <color rgb="00000000"/>
      <sz val="10"/>
    </font>
    <font>
      <name val="Garamond"/>
      <b val="1"/>
      <color rgb="000000CC"/>
      <sz val="11"/>
      <u val="single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C8102E"/>
      </patternFill>
    </fill>
    <fill>
      <patternFill patternType="solid">
        <fgColor rgb="0000610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top style="thin">
        <color rgb="00BFBFBF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2" borderId="0" pivotButton="0" quotePrefix="0" xfId="0"/>
    <xf numFmtId="0" fontId="0" fillId="2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 wrapText="1"/>
    </xf>
    <xf numFmtId="164" fontId="16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6" fontId="21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indent="1"/>
    </xf>
    <xf numFmtId="2" fontId="10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2" fontId="21" fillId="0" borderId="1" applyAlignment="1" pivotButton="0" quotePrefix="0" xfId="0">
      <alignment horizontal="right" vertical="center"/>
    </xf>
    <xf numFmtId="164" fontId="21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4" fontId="22" fillId="3" borderId="1" applyAlignment="1" pivotButton="0" quotePrefix="0" xfId="0">
      <alignment horizontal="right" vertical="center"/>
    </xf>
    <xf numFmtId="0" fontId="23" fillId="4" borderId="0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166" fontId="16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top" wrapText="1"/>
    </xf>
    <xf numFmtId="2" fontId="16" fillId="0" borderId="0" applyAlignment="1" pivotButton="0" quotePrefix="0" xfId="0">
      <alignment horizontal="right" vertical="center"/>
    </xf>
    <xf numFmtId="1" fontId="16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 indent="1"/>
    </xf>
    <xf numFmtId="166" fontId="24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2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indent="1"/>
    </xf>
    <xf numFmtId="165" fontId="26" fillId="3" borderId="2" applyAlignment="1" pivotButton="0" quotePrefix="0" xfId="0">
      <alignment horizontal="right" vertical="center"/>
    </xf>
    <xf numFmtId="165" fontId="22" fillId="3" borderId="2" applyAlignment="1" pivotButton="0" quotePrefix="0" xfId="0">
      <alignment horizontal="right" vertical="center"/>
    </xf>
    <xf numFmtId="164" fontId="21" fillId="0" borderId="0" applyAlignment="1" pivotButton="0" quotePrefix="0" xfId="0">
      <alignment horizontal="right" vertical="center"/>
    </xf>
    <xf numFmtId="165" fontId="24" fillId="0" borderId="0" applyAlignment="1" pivotButton="0" quotePrefix="0" xfId="0">
      <alignment horizontal="right" vertical="center"/>
    </xf>
    <xf numFmtId="0" fontId="23" fillId="2" borderId="0" applyAlignment="1" pivotButton="0" quotePrefix="0" xfId="0">
      <alignment horizontal="left" vertical="center" indent="1"/>
    </xf>
    <xf numFmtId="0" fontId="14" fillId="0" borderId="0" pivotButton="0" quotePrefix="0" xfId="0"/>
    <xf numFmtId="0" fontId="15" fillId="0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center" vertical="center" wrapText="1"/>
    </xf>
    <xf numFmtId="0" fontId="27" fillId="4" borderId="0" applyAlignment="1" pivotButton="0" quotePrefix="0" xfId="0">
      <alignment horizontal="center" vertical="center" wrapText="1"/>
    </xf>
    <xf numFmtId="0" fontId="27" fillId="2" borderId="0" pivotButton="0" quotePrefix="0" xfId="0"/>
    <xf numFmtId="166" fontId="28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left" vertical="top" wrapText="1"/>
    </xf>
    <xf numFmtId="166" fontId="29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 indent="1"/>
    </xf>
    <xf numFmtId="166" fontId="30" fillId="0" borderId="0" applyAlignment="1" pivotButton="0" quotePrefix="0" xfId="0">
      <alignment horizontal="right" vertical="center"/>
    </xf>
    <xf numFmtId="166" fontId="32" fillId="0" borderId="0" applyAlignment="1" pivotButton="0" quotePrefix="0" xfId="0">
      <alignment horizontal="right" vertical="center"/>
    </xf>
    <xf numFmtId="164" fontId="29" fillId="0" borderId="0" applyAlignment="1" pivotButton="0" quotePrefix="0" xfId="0">
      <alignment horizontal="right" vertical="center"/>
    </xf>
    <xf numFmtId="166" fontId="33" fillId="0" borderId="0" applyAlignment="1" pivotButton="0" quotePrefix="0" xfId="0">
      <alignment horizontal="right" vertical="center"/>
    </xf>
    <xf numFmtId="167" fontId="29" fillId="0" borderId="0" applyAlignment="1" pivotButton="0" quotePrefix="0" xfId="0">
      <alignment horizontal="right" vertical="center"/>
    </xf>
    <xf numFmtId="165" fontId="29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indent="1"/>
    </xf>
    <xf numFmtId="166" fontId="35" fillId="0" borderId="0" applyAlignment="1" pivotButton="0" quotePrefix="0" xfId="0">
      <alignment horizontal="right" vertical="center"/>
    </xf>
    <xf numFmtId="166" fontId="21" fillId="0" borderId="0" applyAlignment="1" pivotButton="0" quotePrefix="0" xfId="0">
      <alignment horizontal="right" vertical="center"/>
    </xf>
    <xf numFmtId="0" fontId="34" fillId="0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 indent="1"/>
    </xf>
    <xf numFmtId="166" fontId="11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6" fontId="35" fillId="0" borderId="1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left" vertical="center" indent="1"/>
    </xf>
    <xf numFmtId="0" fontId="39" fillId="0" borderId="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left" vertical="center" indent="1"/>
    </xf>
    <xf numFmtId="0" fontId="38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indent="1"/>
    </xf>
    <xf numFmtId="0" fontId="42" fillId="0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 wrapText="1"/>
    </xf>
    <xf numFmtId="0" fontId="39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2" fontId="11" fillId="0" borderId="0" applyAlignment="1" pivotButton="0" quotePrefix="0" xfId="0">
      <alignment horizontal="right" vertical="center"/>
    </xf>
    <xf numFmtId="166" fontId="21" fillId="0" borderId="2" applyAlignment="1" pivotButton="0" quotePrefix="0" xfId="0">
      <alignment horizontal="right" vertical="center"/>
    </xf>
    <xf numFmtId="1" fontId="9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36" fillId="2" borderId="0" pivotButton="0" quotePrefix="0" xfId="0"/>
    <xf numFmtId="169" fontId="9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left" vertical="center"/>
    </xf>
    <xf numFmtId="165" fontId="47" fillId="3" borderId="2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4" fontId="4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34" fillId="0" borderId="1" applyAlignment="1" pivotButton="0" quotePrefix="0" xfId="0">
      <alignment horizontal="right" vertical="center"/>
    </xf>
    <xf numFmtId="165" fontId="21" fillId="0" borderId="1" applyAlignment="1" pivotButton="0" quotePrefix="0" xfId="0">
      <alignment horizontal="right" vertical="center"/>
    </xf>
    <xf numFmtId="165" fontId="48" fillId="0" borderId="0" applyAlignment="1" pivotButton="0" quotePrefix="0" xfId="0">
      <alignment horizontal="right" vertical="center"/>
    </xf>
    <xf numFmtId="0" fontId="24" fillId="0" borderId="0" pivotButton="0" quotePrefix="0" xfId="0"/>
    <xf numFmtId="169" fontId="21" fillId="0" borderId="0" applyAlignment="1" pivotButton="0" quotePrefix="0" xfId="0">
      <alignment horizontal="right" vertical="center"/>
    </xf>
    <xf numFmtId="165" fontId="21" fillId="0" borderId="0" applyAlignment="1" pivotButton="0" quotePrefix="0" xfId="0">
      <alignment horizontal="right" vertical="center"/>
    </xf>
    <xf numFmtId="0" fontId="48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indent="1"/>
    </xf>
    <xf numFmtId="0" fontId="37" fillId="6" borderId="0" applyAlignment="1" pivotButton="0" quotePrefix="0" xfId="0">
      <alignment horizontal="center" vertical="center" wrapText="1"/>
    </xf>
    <xf numFmtId="164" fontId="49" fillId="6" borderId="0" applyAlignment="1" pivotButton="0" quotePrefix="0" xfId="0">
      <alignment horizontal="center" vertical="center" wrapText="1"/>
    </xf>
    <xf numFmtId="165" fontId="24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9" fontId="12" fillId="0" borderId="0" applyAlignment="1" pivotButton="0" quotePrefix="0" xfId="0">
      <alignment horizontal="right" vertical="center"/>
    </xf>
    <xf numFmtId="0" fontId="36" fillId="2" borderId="0" applyAlignment="1" pivotButton="0" quotePrefix="0" xfId="0">
      <alignment horizontal="left" vertical="center" indent="1"/>
    </xf>
    <xf numFmtId="0" fontId="36" fillId="2" borderId="0" applyAlignment="1" pivotButton="0" quotePrefix="0" xfId="0">
      <alignment horizontal="center" vertical="center" wrapText="1"/>
    </xf>
    <xf numFmtId="169" fontId="9" fillId="0" borderId="0" applyAlignment="1" pivotButton="0" quotePrefix="0" xfId="0">
      <alignment horizontal="center" vertical="center" wrapText="1"/>
    </xf>
    <xf numFmtId="166" fontId="24" fillId="0" borderId="0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 wrapText="1"/>
    </xf>
    <xf numFmtId="169" fontId="21" fillId="0" borderId="0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169" fontId="16" fillId="0" borderId="0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center" vertical="center" wrapText="1"/>
    </xf>
    <xf numFmtId="165" fontId="2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indent="1"/>
    </xf>
    <xf numFmtId="165" fontId="5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LULU_Assumptions_Memo.pdf" TargetMode="External" Id="rId1" /><Relationship Type="http://schemas.openxmlformats.org/officeDocument/2006/relationships/hyperlink" Target="https://www.sec.gov/edgar/browse/?CIK=1397187&amp;owner=exclude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nasdaq.com/market-activity/stocks/lulu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fred.stlouisfed.org/series/DGS10" TargetMode="External" Id="rId1" /><Relationship Type="http://schemas.openxmlformats.org/officeDocument/2006/relationships/hyperlink" Target="https://www.stern.nyu.edu/~adamodar/New_Home_Page/datafile/histimpl.html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www.nasdaq.com/market-activity/stocks/lulu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finance.yahoo.com/quote/LULU/key-statistics/" TargetMode="External" Id="rId8" /><Relationship Type="http://schemas.openxmlformats.org/officeDocument/2006/relationships/hyperlink" Target="https://finance.yahoo.com/quote/LULU/key-statistics/" TargetMode="External" Id="rId9" /><Relationship Type="http://schemas.openxmlformats.org/officeDocument/2006/relationships/hyperlink" Target="https://finance.yahoo.com/quote/LULU/key-statistics/" TargetMode="External" Id="rId10" /><Relationship Type="http://schemas.openxmlformats.org/officeDocument/2006/relationships/hyperlink" Target="https://finance.yahoo.com/quote/LULU/key-statistics/" TargetMode="External" Id="rId11" /><Relationship Type="http://schemas.openxmlformats.org/officeDocument/2006/relationships/hyperlink" Target="https://finance.yahoo.com/quote/LULU/key-statistics/" TargetMode="External" Id="rId12" /><Relationship Type="http://schemas.openxmlformats.org/officeDocument/2006/relationships/hyperlink" Target="https://www.stern.nyu.edu/~adamodar/New_Home_Page/datafile/Betas.html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/Relationships>
</file>

<file path=xl/worksheets/_rels/sheet3.xml.rels><Relationships xmlns="http://schemas.openxmlformats.org/package/2006/relationships"><Relationship Type="http://schemas.openxmlformats.org/officeDocument/2006/relationships/hyperlink" Target="https://corporate.lululemon.com/newsroom/press-releases/2026/09-03-2026-210528733" TargetMode="External" Id="rId1" /><Relationship Type="http://schemas.openxmlformats.org/officeDocument/2006/relationships/hyperlink" Target="https://stockanalysis.com/stocks/lulu/statistics/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fred.stlouisfed.org/series/GDPC1" TargetMode="External" Id="rId6" /><Relationship Type="http://schemas.openxmlformats.org/officeDocument/2006/relationships/hyperlink" Target="https://corporate.lululemon.com/newsroom/press-releases/2026/09-03-2026-210528733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Relationship Type="http://schemas.openxmlformats.org/officeDocument/2006/relationships/hyperlink" Target="https://www.sec.gov/Archives/edgar/data/1397187/000139718726000020/lulu-20260201.htm" TargetMode="External" Id="rId30" /><Relationship Type="http://schemas.openxmlformats.org/officeDocument/2006/relationships/hyperlink" Target="https://www.sec.gov/Archives/edgar/data/1397187/000139718726000020/lulu-20260201.htm" TargetMode="External" Id="rId31" /><Relationship Type="http://schemas.openxmlformats.org/officeDocument/2006/relationships/hyperlink" Target="https://www.sec.gov/Archives/edgar/data/1397187/000139718726000020/lulu-20260201.htm" TargetMode="External" Id="rId32" /><Relationship Type="http://schemas.openxmlformats.org/officeDocument/2006/relationships/hyperlink" Target="https://www.sec.gov/Archives/edgar/data/1397187/000139718726000020/lulu-20260201.htm" TargetMode="External" Id="rId33" /><Relationship Type="http://schemas.openxmlformats.org/officeDocument/2006/relationships/hyperlink" Target="https://www.sec.gov/Archives/edgar/data/1397187/000139718726000020/lulu-20260201.htm" TargetMode="External" Id="rId34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corporate.lululemon.com/newsroom/press-releases/2026/09-03-2026-210528733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LULU_Assumptions_Memo.pdf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corporate.lululemon.com/newsroom/press-releases/2026/09-03-2026-210528733" TargetMode="External" Id="rId8" /><Relationship Type="http://schemas.openxmlformats.org/officeDocument/2006/relationships/hyperlink" Target="https://corporate.lululemon.com/newsroom/press-releases/2026/09-03-2026-210528733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Relationship Type="http://schemas.openxmlformats.org/officeDocument/2006/relationships/hyperlink" Target="https://www.sec.gov/Archives/edgar/data/1397187/000139718726000020/lulu-20260201.htm" TargetMode="External" Id="rId30" /><Relationship Type="http://schemas.openxmlformats.org/officeDocument/2006/relationships/hyperlink" Target="https://www.sec.gov/Archives/edgar/data/1397187/000139718726000020/lulu-20260201.htm" TargetMode="External" Id="rId31" /><Relationship Type="http://schemas.openxmlformats.org/officeDocument/2006/relationships/hyperlink" Target="https://www.sec.gov/Archives/edgar/data/1397187/000139718726000020/lulu-20260201.htm" TargetMode="External" Id="rId32" /><Relationship Type="http://schemas.openxmlformats.org/officeDocument/2006/relationships/hyperlink" Target="https://www.sec.gov/Archives/edgar/data/1397187/000139718726000020/lulu-20260201.htm" TargetMode="External" Id="rId33" /><Relationship Type="http://schemas.openxmlformats.org/officeDocument/2006/relationships/hyperlink" Target="https://www.sec.gov/Archives/edgar/data/1397187/000139718726000020/lulu-20260201.htm" TargetMode="External" Id="rId34" /><Relationship Type="http://schemas.openxmlformats.org/officeDocument/2006/relationships/hyperlink" Target="https://www.sec.gov/Archives/edgar/data/1397187/000139718726000020/lulu-20260201.htm" TargetMode="External" Id="rId35" /><Relationship Type="http://schemas.openxmlformats.org/officeDocument/2006/relationships/hyperlink" Target="https://www.sec.gov/Archives/edgar/data/1397187/000139718726000020/lulu-20260201.htm" TargetMode="External" Id="rId36" /><Relationship Type="http://schemas.openxmlformats.org/officeDocument/2006/relationships/hyperlink" Target="https://fred.stlouisfed.org/series/GDPC1" TargetMode="External" Id="rId37" /><Relationship Type="http://schemas.openxmlformats.org/officeDocument/2006/relationships/hyperlink" Target="https://www.sec.gov/Archives/edgar/data/1397187/000139718726000020/lulu-20260201.htm" TargetMode="External" Id="rId38" /><Relationship Type="http://schemas.openxmlformats.org/officeDocument/2006/relationships/hyperlink" Target="https://www.sec.gov/Archives/edgar/data/1397187/000139718726000020/lulu-20260201.htm" TargetMode="External" Id="rId39" /><Relationship Type="http://schemas.openxmlformats.org/officeDocument/2006/relationships/hyperlink" Target="https://www.sec.gov/Archives/edgar/data/1397187/000139718726000020/lulu-20260201.htm" TargetMode="External" Id="rId40" /><Relationship Type="http://schemas.openxmlformats.org/officeDocument/2006/relationships/hyperlink" Target="https://www.sec.gov/Archives/edgar/data/1397187/000139718726000020/lulu-20260201.htm" TargetMode="External" Id="rId41" /><Relationship Type="http://schemas.openxmlformats.org/officeDocument/2006/relationships/hyperlink" Target="https://www.sec.gov/Archives/edgar/data/1397187/000139718726000020/lulu-20260201.htm" TargetMode="External" Id="rId42" /><Relationship Type="http://schemas.openxmlformats.org/officeDocument/2006/relationships/hyperlink" Target="https://www.sec.gov/Archives/edgar/data/1397187/000139718726000020/lulu-20260201.htm" TargetMode="External" Id="rId43" /><Relationship Type="http://schemas.openxmlformats.org/officeDocument/2006/relationships/hyperlink" Target="https://www.nasdaq.com/market-activity/stocks/lulu" TargetMode="External" Id="rId44" /><Relationship Type="http://schemas.openxmlformats.org/officeDocument/2006/relationships/hyperlink" Target="https://www.nasdaq.com/market-activity/stocks/lulu" TargetMode="External" Id="rId45" /><Relationship Type="http://schemas.openxmlformats.org/officeDocument/2006/relationships/hyperlink" Target="https://fred.stlouisfed.org/series/GDPC1" TargetMode="External" Id="rId46" /><Relationship Type="http://schemas.openxmlformats.org/officeDocument/2006/relationships/hyperlink" Target="https://www.stern.nyu.edu/~adamodar/New_Home_Page/datafile/histimpl.html" TargetMode="External" Id="rId47" /><Relationship Type="http://schemas.openxmlformats.org/officeDocument/2006/relationships/hyperlink" Target="https://fred.stlouisfed.org/series/GDPC1" TargetMode="External" Id="rId48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nasdaq.com/market-activity/stocks/lulu" TargetMode="External" Id="rId9" /><Relationship Type="http://schemas.openxmlformats.org/officeDocument/2006/relationships/hyperlink" Target="https://www.nasdaq.com/market-activity/stocks/lulu" TargetMode="External" Id="rId10" /><Relationship Type="http://schemas.openxmlformats.org/officeDocument/2006/relationships/hyperlink" Target="https://www.reuters.com/markets/deals/alo-yoga-parent-seeks-investment-10-bln-valuation-sources-2023-10-30/" TargetMode="External" Id="rId11" /><Relationship Type="http://schemas.openxmlformats.org/officeDocument/2006/relationships/hyperlink" Target="https://www.reuters.com/markets/deals/alo-yoga-parent-seeks-investment-10-bln-valuation-sources-2023-10-30/" TargetMode="External" Id="rId12" /><Relationship Type="http://schemas.openxmlformats.org/officeDocument/2006/relationships/hyperlink" Target="https://www.forbes.com/sites/jemimamcevoy/2025/04/01/the-founders-of-this-lululemon-rival-are-worth-nearly-5-billion-each/" TargetMode="External" Id="rId13" /><Relationship Type="http://schemas.openxmlformats.org/officeDocument/2006/relationships/hyperlink" Target="https://www.forbes.com/sites/jemimamcevoy/2025/04/01/the-founders-of-this-lululemon-rival-are-worth-nearly-5-billion-each/" TargetMode="External" Id="rId14" /><Relationship Type="http://schemas.openxmlformats.org/officeDocument/2006/relationships/hyperlink" Target="https://stockanalysis.com/stocks/lulu/statistics/" TargetMode="External" Id="rId15" /><Relationship Type="http://schemas.openxmlformats.org/officeDocument/2006/relationships/hyperlink" Target="https://stockanalysis.com/stocks/lulu/statistics/" TargetMode="External" Id="rId16" /><Relationship Type="http://schemas.openxmlformats.org/officeDocument/2006/relationships/hyperlink" Target="https://www.nasdaq.com/market-activity/stocks/lulu" TargetMode="External" Id="rId17" /><Relationship Type="http://schemas.openxmlformats.org/officeDocument/2006/relationships/hyperlink" Target="https://www.nasdaq.com/market-activity/stocks/lulu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showOutlineSymbols="1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1" t="inlineStr">
        <is>
          <t>GLOBAL INVESTMENT SOCIETY  |  INVESTMENT RESEARCH DIVISION</t>
        </is>
      </c>
    </row>
    <row r="3"/>
    <row r="4">
      <c r="B4" s="2" t="inlineStr">
        <is>
          <t>lululemon athletica inc. (NASDAQ: LULU)</t>
        </is>
      </c>
    </row>
    <row r="5">
      <c r="B5" s="3" t="inlineStr">
        <is>
          <t>Discounted Cash Flow Valuation — Unlevered Free Cash Flow</t>
        </is>
      </c>
    </row>
    <row r="6"/>
    <row r="7">
      <c r="B7" s="4" t="inlineStr">
        <is>
          <t>Recommendation:  LONG / OVERWEIGHT</t>
        </is>
      </c>
    </row>
    <row r="8"/>
    <row r="9">
      <c r="B9" s="5" t="inlineStr">
        <is>
          <t>FONT / COLOR CONVENTION</t>
        </is>
      </c>
    </row>
    <row r="10">
      <c r="B10" s="6" t="inlineStr">
        <is>
          <t>Blue font  =  figures reported by the company (click value or source link)</t>
        </is>
      </c>
    </row>
    <row r="11">
      <c r="B11" s="7" t="inlineStr">
        <is>
          <t>Black font  =  calculations / formulas</t>
        </is>
      </c>
    </row>
    <row r="12">
      <c r="B12" s="8" t="inlineStr">
        <is>
          <t>Red font  =  analyst assumptions — cols B/C/D on every tab: Justification | Source | Ctrl+F</t>
        </is>
      </c>
    </row>
    <row r="13"/>
    <row r="14">
      <c r="B14" s="5" t="inlineStr">
        <is>
          <t>TABS</t>
        </is>
      </c>
    </row>
    <row r="15">
      <c r="B15" s="9" t="inlineStr">
        <is>
          <t>WACC  •  Revenue Drivers  •  NOPAT Bridge  •  Scenarios  •  DCF  •  Comps / Football Field</t>
        </is>
      </c>
    </row>
    <row r="16">
      <c r="B16" s="5" t="inlineStr">
        <is>
          <t>ASSUMPTIONS GUIDE (PDF — every tab)</t>
        </is>
      </c>
    </row>
    <row r="17" ht="36" customHeight="1">
      <c r="B17" s="10" t="inlineStr">
        <is>
          <t>LULU_Assumptions_Memo.pdf — full guide: every red assumption on WACC, Scenarios, Revenue Drivers, NOPAT Bridge, DCF, Comps &amp; 3-Statement
Ctrl+F: Open for justification, clickable source links, and Ctrl+F proof for every assumption.</t>
        </is>
      </c>
    </row>
    <row r="18"/>
    <row r="19">
      <c r="B19" s="5" t="inlineStr">
        <is>
          <t>SOURCES</t>
        </is>
      </c>
    </row>
    <row r="20" ht="36" customHeight="1">
      <c r="B20" s="10" t="inlineStr">
        <is>
          <t>SEC EDGAR filings, CIK 0001397187 (Form 10-K, FY2025)
Ctrl+F: Ctrl+F "10-K" → FY2025 accession 0001397187-26-000020</t>
        </is>
      </c>
    </row>
    <row r="21" ht="36" customHeight="1">
      <c r="B21" s="10" t="inlineStr">
        <is>
          <t>FY2025 Form 10-K (ended Feb 1, 2026)
Ctrl+F: Ctrl+F "Net revenue" → 11,102,600 or "Depreciation and amortization" → 496,228 on this 10-K HTML file</t>
        </is>
      </c>
    </row>
    <row r="22" ht="36" customHeight="1">
      <c r="B22" s="10" t="inlineStr">
        <is>
          <t>Market data &amp; Q2 FY2026 results (Sep 3, 2026 earnings release)
Ctrl+F: Ctrl+F "decline of 5% to 7%" | "$10.350 billion to $10.500 billion" | "$9.48 to $9.73"</t>
        </is>
      </c>
    </row>
    <row r="23" ht="36" customHeight="1">
      <c r="B23" s="10" t="inlineStr">
        <is>
          <t>Current share price (NASDAQ: LULU)
Ctrl+F: Ctrl+F "closed at $100.61" → Last Sale on NASDAQ quote page</t>
        </is>
      </c>
    </row>
    <row r="24"/>
    <row r="25">
      <c r="B25" s="11" t="n"/>
    </row>
  </sheetData>
  <hyperlinks>
    <hyperlink xmlns:r="http://schemas.openxmlformats.org/officeDocument/2006/relationships" ref="B17" r:id="rId1"/>
    <hyperlink xmlns:r="http://schemas.openxmlformats.org/officeDocument/2006/relationships" ref="B20" r:id="rId2"/>
    <hyperlink xmlns:r="http://schemas.openxmlformats.org/officeDocument/2006/relationships" ref="B21" r:id="rId3"/>
    <hyperlink xmlns:r="http://schemas.openxmlformats.org/officeDocument/2006/relationships" ref="B22" r:id="rId4"/>
    <hyperlink xmlns:r="http://schemas.openxmlformats.org/officeDocument/2006/relationships" ref="B23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1"/>
    <pageSetUpPr/>
  </sheetPr>
  <dimension ref="A1:E41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hidden="1" outlineLevel="1" width="28" customWidth="1" min="2" max="2"/>
    <col width="18" customWidth="1" min="3" max="3"/>
    <col hidden="1" outlineLevel="1" width="40" customWidth="1" min="4" max="4"/>
    <col width="12" customWidth="1" min="5" max="5"/>
  </cols>
  <sheetData>
    <row r="1" ht="16" customHeight="1">
      <c r="A1" s="12" t="inlineStr">
        <is>
          <t>WEIGHTED AVERAGE COST OF CAPITAL</t>
        </is>
      </c>
      <c r="B1" s="13" t="n"/>
      <c r="C1" s="13" t="n"/>
      <c r="D1" s="13" t="n"/>
      <c r="E1" s="13" t="n"/>
    </row>
    <row r="2">
      <c r="A2" s="14" t="inlineStr">
        <is>
          <t>Cost of equity (CAPM)</t>
        </is>
      </c>
      <c r="B2" s="15" t="inlineStr">
        <is>
          <t>Justification (~20 words)  [cols B–D: click + to expand]</t>
        </is>
      </c>
      <c r="C2" s="15" t="inlineStr">
        <is>
          <t>Source (click)</t>
        </is>
      </c>
      <c r="D2" s="15" t="inlineStr">
        <is>
          <t>Ctrl+F (prove number)</t>
        </is>
      </c>
    </row>
    <row r="3" ht="28" customHeight="1">
      <c r="A3" s="16" t="inlineStr">
        <is>
          <t>Risk-free rate (10-yr UST)</t>
        </is>
      </c>
      <c r="B3" s="17" t="inlineStr">
        <is>
          <t>4.8% risk-free = FRED DGS10 on 2026-09-03 (4.77%) rounded; replaces the stale 4.3% input.</t>
        </is>
      </c>
      <c r="C3" s="18" t="inlineStr">
        <is>
          <t>FRED: 10Y Treasury (DGS10)</t>
        </is>
      </c>
      <c r="D3" s="19" t="inlineStr">
        <is>
          <t>Ctrl+F "2026-09-03" → observation 4.77. Model uses 4.8%. Also Ctrl+F "DGS10" for the series title.</t>
        </is>
      </c>
      <c r="E3" s="20" t="n">
        <v>0.048</v>
      </c>
    </row>
    <row r="4" ht="28" customHeight="1">
      <c r="A4" s="16" t="inlineStr">
        <is>
          <t>Equity risk premium</t>
        </is>
      </c>
      <c r="B4" s="17" t="inlineStr">
        <is>
          <t>6.0% ERP is a conservative overlay vs Damodaran Jan-2026 implied 4.23%; used to keep CoE above the risk-free 4.8%.</t>
        </is>
      </c>
      <c r="C4" s="18" t="inlineStr">
        <is>
          <t>Damodaran: Historical Implied ERP</t>
        </is>
      </c>
      <c r="D4" s="19" t="inlineStr">
        <is>
          <t>Ctrl+F "4.23%" on the 2025 row (last data row). Header is "Implied ERP (FCFE)". Model uses 6.0%.</t>
        </is>
      </c>
      <c r="E4" s="20" t="n">
        <v>0.06</v>
      </c>
    </row>
    <row r="5" ht="28" customHeight="1">
      <c r="A5" s="16" t="inlineStr">
        <is>
          <t>Tax rate</t>
        </is>
      </c>
      <c r="B5" s="17" t="inlineStr">
        <is>
          <t>30% cash tax matches FY2026 guidance (“approximately 30%”). Also sets (1−T) = 0.70 in the Hamada β unlever/relever formulas.</t>
        </is>
      </c>
      <c r="C5" s="18" t="inlineStr">
        <is>
          <t>Q2 FY2026 outlook: tax rate ≈ 30%</t>
        </is>
      </c>
      <c r="D5" s="19" t="inlineStr">
        <is>
          <t>Ctrl+F "a tax rate of approximately 30%" on the FY2026 outlook paragraph.</t>
        </is>
      </c>
      <c r="E5" s="20" t="n">
        <v>0.3</v>
      </c>
    </row>
    <row r="7">
      <c r="A7" s="14" t="inlineStr">
        <is>
          <t>Capital structure (market values)</t>
        </is>
      </c>
    </row>
    <row r="8" ht="28" customHeight="1">
      <c r="A8" s="16" t="inlineStr">
        <is>
          <t>Share price ($)</t>
        </is>
      </c>
      <c r="B8" s="17" t="inlineStr">
        <is>
          <t>$100 share price ≈ NASDAQ Last Sale after Q2 FY2026 guide cut; rounded from $100.61 close.</t>
        </is>
      </c>
      <c r="C8" s="18" t="inlineStr">
        <is>
          <t>NASDAQ LULU last sale (current price)</t>
        </is>
      </c>
      <c r="D8" s="19" t="inlineStr">
        <is>
          <t>Ctrl+F "closed at $100.61" → Last Sale $100.61 (NASDAQ). Model uses $100 rounded.</t>
        </is>
      </c>
      <c r="E8" s="21" t="n">
        <v>100</v>
      </c>
    </row>
    <row r="9" ht="28" customHeight="1">
      <c r="A9" s="16" t="inlineStr">
        <is>
          <t>Shares outstanding (000)</t>
        </is>
      </c>
      <c r="B9" s="17" t="inlineStr">
        <is>
          <t>111,380k class A shares outstanding at FY25 year-end (10-K cover). Diluted WA 119,068 is for EPS, not market cap.</t>
        </is>
      </c>
      <c r="C9" s="18" t="inlineStr">
        <is>
          <t>LULU FY2025 10-K: shares outstanding</t>
        </is>
      </c>
      <c r="D9" s="19" t="inlineStr">
        <is>
          <t>Ctrl+F "111,380 and 116,166 issued and outstanding" → 111,380k class A shares (FY25 10-K cover).</t>
        </is>
      </c>
      <c r="E9" s="22" t="n">
        <v>111380</v>
      </c>
    </row>
    <row r="10" ht="28" customHeight="1">
      <c r="A10" s="23" t="inlineStr">
        <is>
          <t>Market value of equity</t>
        </is>
      </c>
      <c r="B10" s="17" t="inlineStr">
        <is>
          <t>Market equity = share price × shares outstanding. Capital-structure weighting numerator for relevered β and WACC weights.</t>
        </is>
      </c>
      <c r="C10" s="24" t="inlineStr">
        <is>
          <t>WACC tab: price × shares</t>
        </is>
      </c>
      <c r="D10" s="19" t="inlineStr">
        <is>
          <t>Share price row × shares outstanding row on this tab.</t>
        </is>
      </c>
      <c r="E10" s="25">
        <f>E8*E9</f>
        <v/>
      </c>
    </row>
    <row r="11" ht="28" customHeight="1">
      <c r="A11" s="16" t="inlineStr">
        <is>
          <t>Operating lease liabilities (ASC 842 debt equiv.)</t>
        </is>
      </c>
      <c r="B11" s="17" t="inlineStr">
        <is>
          <t>ASC 842 operating lease liabilities = current + non-current ($1,798,441k FY25). Treated as debt equivalent in WACC and EV bridge.</t>
        </is>
      </c>
      <c r="C11" s="18" t="inlineStr">
        <is>
          <t>LULU FY2025 10-K: operating lease liabilities</t>
        </is>
      </c>
      <c r="D11" s="19" t="inlineStr">
        <is>
          <t>Ctrl+F "Current lease liabilities" → 298,724 | "Non-current lease liabilities" → 1,499,717 | sum = 1,798,441 ($000)</t>
        </is>
      </c>
      <c r="E11" s="22" t="n">
        <v>1798441</v>
      </c>
    </row>
    <row r="12">
      <c r="A12" s="26" t="inlineStr">
        <is>
          <t xml:space="preserve">  memo: current $298,724k + non-current $1,499,717k = $1,798,441k (FY25 10-K)</t>
        </is>
      </c>
    </row>
    <row r="13" ht="28" customHeight="1">
      <c r="A13" s="16" t="inlineStr">
        <is>
          <t>Funded debt (term loans / bonds)</t>
        </is>
      </c>
      <c r="B13" s="17" t="inlineStr">
        <is>
          <t>Funded term debt $0; 10-K: no borrowings outstanding on the revolver. Leases are the only debt equivalent here.</t>
        </is>
      </c>
      <c r="C13" s="18" t="inlineStr">
        <is>
          <t>LULU FY2025 10-K (no funded debt)</t>
        </is>
      </c>
      <c r="D13" s="19" t="inlineStr">
        <is>
          <t>Ctrl+F "no borrowings were outstanding under this facility" → funded debt $0</t>
        </is>
      </c>
      <c r="E13" s="22" t="n">
        <v>0</v>
      </c>
    </row>
    <row r="14">
      <c r="A14" s="23" t="inlineStr">
        <is>
          <t>Total debt equivalents</t>
        </is>
      </c>
      <c r="E14" s="25">
        <f>E11+E13</f>
        <v/>
      </c>
    </row>
    <row r="16">
      <c r="A16" s="14" t="inlineStr">
        <is>
          <t>Beta (unlever → relever)</t>
        </is>
      </c>
    </row>
    <row r="17" ht="28" customHeight="1">
      <c r="A17" s="16" t="inlineStr">
        <is>
          <t>Observed Beta (5Y Monthly) — levered βL</t>
        </is>
      </c>
      <c r="B17" s="17" t="inlineStr">
        <is>
          <t>Yahoo Beta (5Y Monthly) = 0.86. Levered equity βL from ~60 monthly returns vs S&amp;P 500; not unlevered.</t>
        </is>
      </c>
      <c r="C17" s="18" t="inlineStr">
        <is>
          <t>Yahoo Finance: LULU Beta (5Y Monthly)</t>
        </is>
      </c>
      <c r="D17" s="19" t="inlineStr">
        <is>
          <t>Ctrl+F "Beta (5Y Monthly)" → 0.86. Levered βL (Yahoo Key Statistics).</t>
        </is>
      </c>
      <c r="E17" s="27" t="n">
        <v>0.86</v>
      </c>
    </row>
    <row r="18" ht="28" customHeight="1">
      <c r="A18" s="16" t="inlineStr">
        <is>
          <t>Yahoo Total Debt (mrq)</t>
        </is>
      </c>
      <c r="B18" s="17" t="inlineStr">
        <is>
          <t>Yahoo Total Debt (mrq) = $2.14B on the same Key Statistics page as βL. Most recent quarter balance sheet.</t>
        </is>
      </c>
      <c r="C18" s="18" t="inlineStr">
        <is>
          <t>Yahoo Finance: LULU Total Debt (mrq)</t>
        </is>
      </c>
      <c r="D18" s="19" t="inlineStr">
        <is>
          <t>Ctrl+F "Total Debt (mrq)" → 2.14B. Same page as beta.</t>
        </is>
      </c>
      <c r="E18" s="22" t="n">
        <v>2140000</v>
      </c>
    </row>
    <row r="19" ht="28" customHeight="1">
      <c r="A19" s="16" t="inlineStr">
        <is>
          <t>Yahoo Market Cap (same page as βL)</t>
        </is>
      </c>
      <c r="B19" s="17" t="inlineStr">
        <is>
          <t>Yahoo Market Cap = $11.14B on the same page as βL and Total Debt (mrq). Market value of equity.</t>
        </is>
      </c>
      <c r="C19" s="18" t="inlineStr">
        <is>
          <t>Yahoo Finance: LULU Market Cap</t>
        </is>
      </c>
      <c r="D19" s="19" t="inlineStr">
        <is>
          <t>Ctrl+F "Market Cap" → 11.14B. Same page as beta and debt.</t>
        </is>
      </c>
      <c r="E19" s="22" t="n">
        <v>11140000</v>
      </c>
    </row>
    <row r="20" ht="28" customHeight="1">
      <c r="A20" s="16" t="inlineStr">
        <is>
          <t>D/E for unlever (Yahoo debt mrq ÷ Yahoo market cap)</t>
        </is>
      </c>
      <c r="B20" s="17" t="inlineStr">
        <is>
          <t>Unlever D/E = Yahoo debt (mrq) ÷ Yahoo market cap ≈ 0.19. Market-value D/E from the beta source page (Hamada convention).</t>
        </is>
      </c>
      <c r="C20" s="18" t="inlineStr">
        <is>
          <t>Yahoo Finance: debt (mrq) ÷ market cap</t>
        </is>
      </c>
      <c r="D20" s="19" t="inlineStr">
        <is>
          <t>Formula: D/E = E[Yahoo debt mrq] ÷ E[Yahoo market cap]. 2.14B ÷ 11.14B ≈ 0.19.</t>
        </is>
      </c>
      <c r="E20" s="28">
        <f>E18/E19</f>
        <v/>
      </c>
    </row>
    <row r="21" ht="28" customHeight="1">
      <c r="A21" s="16" t="inlineStr">
        <is>
          <t>Yahoo book D/E (mrq) — reference only</t>
        </is>
      </c>
      <c r="B21" s="17" t="inlineStr">
        <is>
          <t>Yahoo Total Debt/Equity (mrq) = 44.69% is book D/E on the same page; shown for reference, not used in Hamada.</t>
        </is>
      </c>
      <c r="C21" s="18" t="inlineStr">
        <is>
          <t>Yahoo Finance: Total Debt/Equity (mrq)</t>
        </is>
      </c>
      <c r="D21" s="19" t="inlineStr">
        <is>
          <t>Ctrl+F "Total Debt/Equity (mrq)" → 44.69%. Book D/E; reference only, not in Hamada.</t>
        </is>
      </c>
      <c r="E21" s="27" t="n">
        <v>0.4469</v>
      </c>
    </row>
    <row r="22" ht="28" customHeight="1">
      <c r="A22" s="16" t="inlineStr">
        <is>
          <t>Unlevered βu</t>
        </is>
      </c>
      <c r="B22" s="17" t="inlineStr">
        <is>
          <t>βu = 0.86 ÷ [1 + 0.70 × 0.19]. Strip Yahoo market D/E from βL → βu ≈ 0.76. No vendor publishes D/E inside the regression.</t>
        </is>
      </c>
      <c r="C22" s="24" t="inlineStr">
        <is>
          <t>WACC tab: Hamada unlever (Yahoo market D/E)</t>
        </is>
      </c>
      <c r="D22" s="19" t="inlineStr">
        <is>
          <t>βu = E[βL] ÷ (1 + 0.70 × E[D/E Yahoo]). 0.86 ÷ 1.134 ≈ 0.76. Regression does not publish embedded D/E.</t>
        </is>
      </c>
      <c r="E22" s="28">
        <f>E17/(1+(1-E5)*E20)</f>
        <v/>
      </c>
    </row>
    <row r="23" ht="28" customHeight="1">
      <c r="A23" s="16" t="inlineStr">
        <is>
          <t>D/E for relever (WACC: FY25 lease debt / market equity)</t>
        </is>
      </c>
      <c r="B23" s="17" t="inlineStr">
        <is>
          <t>Relever D/E = FY25 10-K lease debt ÷ our market cap ≈ 0.16; WACC capital structure we model.</t>
        </is>
      </c>
      <c r="C23" s="24" t="inlineStr">
        <is>
          <t>WACC tab: FY25 lease debt / market equity</t>
        </is>
      </c>
      <c r="D23" s="19" t="inlineStr">
        <is>
          <t>D/E = E[FY25 lease debt] ÷ E[market cap]. 1,798,441 ÷ 11,138,000 ≈ 0.16 (10-K + model).</t>
        </is>
      </c>
      <c r="E23" s="28">
        <f>E14/E10</f>
        <v/>
      </c>
    </row>
    <row r="24" ht="28" customHeight="1">
      <c r="A24" s="16" t="inlineStr">
        <is>
          <t>Sector βu benchmark (Damodaran Special Lines) — not used</t>
        </is>
      </c>
      <c r="B24" s="17" t="inlineStr">
        <is>
          <t>Benchmark only: Damodaran unlevered Retail (Special Lines) βu = 0.95. Not used; we derive βu from Yahoo βL.</t>
        </is>
      </c>
      <c r="C24" s="18" t="inlineStr">
        <is>
          <t>Damodaran: US betas by sector (Jan 2026)</t>
        </is>
      </c>
      <c r="D24" s="19" t="inlineStr">
        <is>
          <t>Ctrl+F "Retail (Special Lines)" → 0.95 βu. Sector benchmark; not used in WACC.</t>
        </is>
      </c>
      <c r="E24" s="27" t="n">
        <v>0.95</v>
      </c>
    </row>
    <row r="25" ht="150" customHeight="1">
      <c r="A25" s="23" t="inlineStr">
        <is>
          <t>Beta used (relevered for WACC capital structure)</t>
        </is>
      </c>
      <c r="B25" s="17" t="inlineStr">
        <is>
          <t>β used = βu × [1 + 0.70 × WACC D/E] ≈ 0.84. Relevered βL feeds CAPM: CoE = rf + β×ERP.</t>
        </is>
      </c>
      <c r="C25" s="24" t="inlineStr">
        <is>
          <t>WACC tab: Hamada relever (total D/E incl. leases)</t>
        </is>
      </c>
      <c r="D25" s="19" t="inlineStr">
        <is>
          <t>YAHOO KEY STATISTICS; βL + debt + equity on ONE page
(No vendor publishes the D/E embedded inside the regression.)
Observed levered βL
  Ctrl+F "Beta (5Y Monthly)"  →  0.86
  ~60 monthly returns vs S&amp;P 500 (Yahoo label)
Paired inputs on same page (mrq = most recent quarter)
  Ctrl+F "Total Debt (mrq)"  →  2.14B
  Ctrl+F "Market Cap"  →  11.14B
  Ctrl+F "Total Debt/Equity (mrq)"  →  44.69%  (book; reference only)
STEP 1 — UNLEVER (market D/E from Yahoo page)
  D/E = Total Debt (mrq) ÷ Market Cap = 2.14 ÷ 11.14 ≈  0.19
  βu = 0.86 ÷ [1 + 0.70 × 0.19] = 0.86 ÷ 1.134  ≈  0.76
  (1−T) = 0.70 at 30% tax on this tab
STEP 2 — RELEVER (WACC: FY25 10-K lease debt / our market cap)
  Ctrl+F "Current lease liabilities"  →  298,724
  Ctrl+F "Non-current lease liabilities"  →  1,499,717
  D/E ≈ 0.16.  β used = 0.76 × 1.113  ≈  0.84
Benchmark (not used): Damodaran Retail βu 0.95</t>
        </is>
      </c>
      <c r="E25" s="29">
        <f>E22*(1+(1-E5)*E23)</f>
        <v/>
      </c>
    </row>
    <row r="26">
      <c r="A26" s="26" t="inlineStr">
        <is>
          <t xml:space="preserve">  β walkthrough (Hamada; Yahoo Key Statistics source):</t>
        </is>
      </c>
    </row>
    <row r="27">
      <c r="A27" s="26" t="inlineStr">
        <is>
          <t xml:space="preserve">  (0) Yahoo βL = 0.86 (Beta 5Y Monthly). No vendor publishes D/E inside the regression.</t>
        </is>
      </c>
    </row>
    <row r="28">
      <c r="A28" s="26" t="inlineStr">
        <is>
          <t xml:space="preserve">  (1) Unlever at Yahoo market D/E = $2.14B debt (mrq) ÷ $11.14B mkt cap ≈ 0.19 → βu ≈ 0.76.</t>
        </is>
      </c>
    </row>
    <row r="29">
      <c r="A29" s="26" t="inlineStr">
        <is>
          <t xml:space="preserve">  (2) Relever at WACC D/E = FY25 10-K leases ÷ our market cap ≈ 0.16 → β used ≈ 0.84.</t>
        </is>
      </c>
    </row>
    <row r="30">
      <c r="A30" s="26" t="inlineStr">
        <is>
          <t xml:space="preserve">  Book D/E 44.69% on Yahoo page is reference only (not used in formula).</t>
        </is>
      </c>
    </row>
    <row r="31">
      <c r="A31" s="14" t="inlineStr">
        <is>
          <t>Cost of equity (CAPM)</t>
        </is>
      </c>
    </row>
    <row r="32">
      <c r="A32" s="23" t="inlineStr">
        <is>
          <t>Cost of equity = rf + β × ERP</t>
        </is>
      </c>
      <c r="E32" s="30">
        <f>E3+E25*E4</f>
        <v/>
      </c>
    </row>
    <row r="34">
      <c r="A34" s="14" t="inlineStr">
        <is>
          <t>Cost of debt (lease-equivalent)</t>
        </is>
      </c>
    </row>
    <row r="35" ht="28" customHeight="1">
      <c r="A35" s="16" t="inlineStr">
        <is>
          <t>Pre-tax cost of debt (lease-equivalent)</t>
        </is>
      </c>
      <c r="B35" s="17" t="inlineStr">
        <is>
          <t>5.0% pre-tax lease-equivalent borrowing cost; cheaper than equity. No funded revolver borrowings per FY25 10-K.</t>
        </is>
      </c>
      <c r="C35" s="18" t="inlineStr">
        <is>
          <t>LULU FY2025 10-K: lease liabilities &amp; no funded debt</t>
        </is>
      </c>
      <c r="D35" s="19" t="inlineStr">
        <is>
          <t>Ctrl+F "Current lease liabilities" + "Non-current lease liabilities" → debt equiv. 5.0% illustrative lease borrowing cost.</t>
        </is>
      </c>
      <c r="E35" s="20" t="n">
        <v>0.05</v>
      </c>
    </row>
    <row r="36">
      <c r="A36" s="16" t="inlineStr">
        <is>
          <t>After-tax cost of debt</t>
        </is>
      </c>
      <c r="E36" s="31">
        <f>E35*(1-E5)</f>
        <v/>
      </c>
    </row>
    <row r="38">
      <c r="A38" s="14" t="inlineStr">
        <is>
          <t>WACC weights</t>
        </is>
      </c>
    </row>
    <row r="39" ht="28" customHeight="1">
      <c r="A39" s="16" t="inlineStr">
        <is>
          <t>Equity weight</t>
        </is>
      </c>
      <c r="B39" s="17" t="inlineStr">
        <is>
          <t>Equity weight = market cap ÷ (market cap + lease debt). ~86% at $100 and FY25 lease balance.</t>
        </is>
      </c>
      <c r="C39" s="24" t="inlineStr">
        <is>
          <t>WACC tab: capital structure</t>
        </is>
      </c>
      <c r="D39" s="19" t="inlineStr">
        <is>
          <t>Equity weight = market cap ÷ (market cap + lease debt). Live formula on this tab.</t>
        </is>
      </c>
      <c r="E39" s="32">
        <f>E10/(E10+E14)</f>
        <v/>
      </c>
    </row>
    <row r="40" ht="28" customHeight="1">
      <c r="A40" s="16" t="inlineStr">
        <is>
          <t>Debt weight (leases + funded)</t>
        </is>
      </c>
      <c r="B40" s="17" t="inlineStr">
        <is>
          <t>Debt weight = lease liabilities ÷ (market cap + lease debt). ~14%; ASC 842 leases, not bank debt.</t>
        </is>
      </c>
      <c r="C40" s="18" t="inlineStr">
        <is>
          <t>LULU FY2025 10-K: operating lease liabilities</t>
        </is>
      </c>
      <c r="D40" s="19" t="inlineStr">
        <is>
          <t>Debt weight = lease liabilities ÷ (market cap + lease debt). ~14% at FY25 balances.</t>
        </is>
      </c>
      <c r="E40" s="32">
        <f>E14/(E10+E14)</f>
        <v/>
      </c>
    </row>
    <row r="41">
      <c r="A41" s="23" t="inlineStr">
        <is>
          <t>WACC</t>
        </is>
      </c>
      <c r="E41" s="33">
        <f>E39*E32+E40*E36</f>
        <v/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1" r:id="rId6"/>
    <hyperlink xmlns:r="http://schemas.openxmlformats.org/officeDocument/2006/relationships" ref="C13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4" r:id="rId13"/>
    <hyperlink xmlns:r="http://schemas.openxmlformats.org/officeDocument/2006/relationships" ref="C35" r:id="rId14"/>
    <hyperlink xmlns:r="http://schemas.openxmlformats.org/officeDocument/2006/relationships" ref="C40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1"/>
    <pageSetUpPr/>
  </sheetPr>
  <dimension ref="A1:H193"/>
  <sheetViews>
    <sheetView showGridLines="0" showOutlineSymbols="1"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hidden="1" outlineLevel="1" width="26" customWidth="1" min="2" max="2"/>
    <col width="16" customWidth="1" min="3" max="3"/>
    <col hidden="1" outlineLevel="1" width="38" customWidth="1" min="4" max="4"/>
    <col width="11" customWidth="1" min="6" max="6"/>
    <col width="11" customWidth="1" min="7" max="7"/>
    <col width="11" customWidth="1" min="8" max="8"/>
  </cols>
  <sheetData>
    <row r="1" ht="16" customHeight="1">
      <c r="A1" s="12" t="inlineStr">
        <is>
          <t>SCENARIO ANALYSIS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F2" s="34" t="inlineStr">
        <is>
          <t>Bear</t>
        </is>
      </c>
      <c r="G2" s="35" t="inlineStr">
        <is>
          <t>Base</t>
        </is>
      </c>
      <c r="H2" s="36" t="inlineStr">
        <is>
          <t>Bull</t>
        </is>
      </c>
    </row>
    <row r="3">
      <c r="A3" s="14" t="inlineStr">
        <is>
          <t>Key assumptions (5-yr forecast)</t>
        </is>
      </c>
      <c r="B3" s="15" t="inlineStr">
        <is>
          <t>Justification (~20 words)  [cols B–D: click + to expand]</t>
        </is>
      </c>
      <c r="C3" s="15" t="inlineStr">
        <is>
          <t>Source (click)</t>
        </is>
      </c>
      <c r="D3" s="15" t="inlineStr">
        <is>
          <t>Ctrl+F (prove number)</t>
        </is>
      </c>
    </row>
    <row r="4" ht="28" customHeight="1">
      <c r="A4" s="16" t="inlineStr">
        <is>
          <t>FY2026E revenue growth</t>
        </is>
      </c>
      <c r="B4" s="17" t="inlineStr">
        <is>
          <t>−6.1% FY2026 revenue growth matches company guidance midpoint of −5% to −7% after Q2 FY2026 print.</t>
        </is>
      </c>
      <c r="C4" s="18" t="inlineStr">
        <is>
          <t>LULU Q2 FY2026 earnings release</t>
        </is>
      </c>
      <c r="D4" s="19" t="inlineStr">
        <is>
          <t>Ctrl+F "decline of 5% to 7%" → FY2026 revenue guide; model −6.1% midpoint</t>
        </is>
      </c>
      <c r="F4" s="20" t="n">
        <v>-0.09</v>
      </c>
      <c r="G4" s="20" t="n">
        <v>-0.061</v>
      </c>
      <c r="H4" s="20" t="n">
        <v>-0.04</v>
      </c>
    </row>
    <row r="5" ht="28" customHeight="1">
      <c r="A5" s="16" t="inlineStr">
        <is>
          <t>FY2027–FY2030E revenue growth (avg)</t>
        </is>
      </c>
      <c r="B5" s="17" t="inlineStr">
        <is>
          <t>2.3% FY27–30 growth matches StockAnalysis Revenue Growth Forecast (3Y) of 2.26%; next-year consensus is +2.64%.</t>
        </is>
      </c>
      <c r="C5" s="18" t="inlineStr">
        <is>
          <t>StockAnalysis: LULU 3Y revenue forecast</t>
        </is>
      </c>
      <c r="D5" s="19" t="inlineStr">
        <is>
          <t>Ctrl+F "Revenue Growth Forecast (3Y)" → 2.26%. That is the unique line (do not search "Net revenue"). Model FY27–30 uses 2.3%.</t>
        </is>
      </c>
      <c r="F5" s="20" t="n">
        <v>-0.01</v>
      </c>
      <c r="G5" s="20" t="n">
        <v>0.023</v>
      </c>
      <c r="H5" s="20" t="n">
        <v>0.06</v>
      </c>
    </row>
    <row r="6" ht="28" customHeight="1">
      <c r="A6" s="16" t="inlineStr">
        <is>
          <t>Run-rate EBIT margin (clean, ex-refunds)</t>
        </is>
      </c>
      <c r="B6" s="17" t="inlineStr">
        <is>
          <t>13.2% is the real/run-rate OM: Q2 18.8% minus 560bps of tariff refunds. FY26 then adds the $134.5M refund once on top.</t>
        </is>
      </c>
      <c r="C6" s="18" t="inlineStr">
        <is>
          <t>Q2 FY2026 release: 18.8% OM minus 560bps tariffs</t>
        </is>
      </c>
      <c r="D6" s="19" t="inlineStr">
        <is>
          <t>Ctrl+F "18.8%" (Q2 OM) and "560 basis points" (tariff boost). Real run-rate = 18.8% − 5.6% = 13.2%. Do not use "decreased 13%".</t>
        </is>
      </c>
      <c r="F6" s="20" t="n">
        <v>0.12</v>
      </c>
      <c r="G6" s="20" t="n">
        <v>0.132</v>
      </c>
      <c r="H6" s="20" t="n">
        <v>0.145</v>
      </c>
    </row>
    <row r="7" ht="28" customHeight="1">
      <c r="A7" s="16" t="inlineStr">
        <is>
          <t>FY26 IEEPA tariff refunds ($k, already in guide)</t>
        </is>
      </c>
      <c r="B7" s="17" t="inlineStr">
        <is>
          <t>Add back $134.5M in FY26 only; already recognized (reduced COGS). +130bps on FY26 sales, not +560bps (that was Q2-only).</t>
        </is>
      </c>
      <c r="C7" s="18" t="inlineStr">
        <is>
          <t>Q2 FY2026 release: $134.5M IEEPA tariff refunds</t>
        </is>
      </c>
      <c r="D7" s="19" t="inlineStr">
        <is>
          <t>Ctrl+F "134.5 million" → IEEPA tariff refunds reduced COGS. Add this dollar amount to FY26 EBIT only. Full-year boost = 134.5 / FY26 sales ≈ 1.3ppt, not 5.6ppt.</t>
        </is>
      </c>
      <c r="F7" s="37" t="n">
        <v>134500</v>
      </c>
      <c r="G7" s="37" t="n">
        <v>134500</v>
      </c>
      <c r="H7" s="37" t="n">
        <v>134500</v>
      </c>
    </row>
    <row r="8" ht="28" customHeight="1">
      <c r="A8" s="16" t="inlineStr">
        <is>
          <t>Terminal (FY2030E) EBIT margin</t>
        </is>
      </c>
      <c r="B8" s="17" t="inlineStr">
        <is>
          <t>FY30 15.5% is a partial recovery vs the FY25 10-K OM of 19.9% (unique Ctrl+F). Still well below the FY24 23.7% peak.</t>
        </is>
      </c>
      <c r="C8" s="18" t="inlineStr">
        <is>
          <t>FY2025 10-K: Operating margin 19.9% (one hit)</t>
        </is>
      </c>
      <c r="D8" s="19" t="inlineStr">
        <is>
          <t>Ctrl+F "19.9%" (one hit) → Operating margin decreased 380 basis points to 19.9%. That is FY25 OM. Do not search the words Income from operations (17 hits). Model FY30 15.5% is a partial-recovery assumption.</t>
        </is>
      </c>
      <c r="F8" s="20" t="n">
        <v>0.12</v>
      </c>
      <c r="G8" s="20" t="n">
        <v>0.155</v>
      </c>
      <c r="H8" s="20" t="n">
        <v>0.19</v>
      </c>
    </row>
    <row r="9" ht="28" customHeight="1">
      <c r="A9" s="16" t="inlineStr">
        <is>
          <t>WACC</t>
        </is>
      </c>
      <c r="B9" s="17" t="inlineStr">
        <is>
          <t>Base WACC from WACC tab (lease-adjusted CAPM). Bear/bull bracket ±100bps around the calculated base.</t>
        </is>
      </c>
      <c r="C9" s="18" t="inlineStr">
        <is>
          <t>WACC tab: CAPM build</t>
        </is>
      </c>
      <c r="D9" s="19" t="inlineStr">
        <is>
          <t>WACC tab → green cell = rf 4.8% + relevered β × ERP 6.0%</t>
        </is>
      </c>
      <c r="F9" s="20" t="n">
        <v>0.11</v>
      </c>
      <c r="G9" s="32">
        <f>WACC!E41</f>
        <v/>
      </c>
      <c r="H9" s="20" t="n">
        <v>0.095</v>
      </c>
    </row>
    <row r="10" ht="28" customHeight="1">
      <c r="A10" s="16" t="inlineStr">
        <is>
          <t>Terminal growth</t>
        </is>
      </c>
      <c r="B10" s="17" t="inlineStr">
        <is>
          <t>2.25% terminal g sits next to FRED GDPC1 Q2/Q2 real GDP ≈ 2.1% (24,269.613 / 23,770.976 − 1).</t>
        </is>
      </c>
      <c r="C10" s="18" t="inlineStr">
        <is>
          <t>FRED: Real GDP (GDPC1)</t>
        </is>
      </c>
      <c r="D10" s="19" t="inlineStr">
        <is>
          <t>Ctrl+F "Q2 2026" → 24,269.613 and "Q2 2025" → 23,770.976. YoY = 2.1%. Model terminal g 2.25%.</t>
        </is>
      </c>
      <c r="F10" s="20" t="n">
        <v>0.015</v>
      </c>
      <c r="G10" s="20" t="n">
        <v>0.0225</v>
      </c>
      <c r="H10" s="20" t="n">
        <v>0.03</v>
      </c>
    </row>
    <row r="11" ht="28" customHeight="1">
      <c r="A11" s="16" t="inlineStr">
        <is>
          <t>Cash tax rate</t>
        </is>
      </c>
      <c r="B11" s="17" t="inlineStr">
        <is>
          <t>30% cash tax from FY2026 outlook; FY25 10-K effective is 29.5% (659,784 / 2,238,967).</t>
        </is>
      </c>
      <c r="C11" s="18" t="inlineStr">
        <is>
          <t>Q2 FY2026 outlook: tax rate ≈ 30%</t>
        </is>
      </c>
      <c r="D11" s="19" t="inlineStr">
        <is>
          <t>Ctrl+F "a tax rate of approximately 30%" on the earnings outlook. FY25 10-K: "Income tax expense" 659,784 ÷ "Income before income tax expense" 2,238,967 = 29.5%.</t>
        </is>
      </c>
      <c r="F11" s="20" t="n">
        <v>0.32</v>
      </c>
      <c r="G11" s="20" t="n">
        <v>0.3</v>
      </c>
      <c r="H11" s="20" t="n">
        <v>0.28</v>
      </c>
    </row>
    <row r="12" ht="28" customHeight="1">
      <c r="A12" s="16" t="inlineStr">
        <is>
          <t>D&amp;A % of revenue</t>
        </is>
      </c>
      <c r="B12" s="17" t="inlineStr">
        <is>
          <t>4.5% D&amp;A / sales = FY25 496,228 / 11,102,600 on the 10-K cash-flow statement.</t>
        </is>
      </c>
      <c r="C12" s="18" t="inlineStr">
        <is>
          <t>LULU CF statement (10-K)</t>
        </is>
      </c>
      <c r="D12" s="19" t="inlineStr">
        <is>
          <t>Ctrl+F "Depreciation and amortization" → 496,228 on this 10-K HTML (not the SEC viewer). ÷ "Net revenue" 11,102,600 = 4.5%.</t>
        </is>
      </c>
      <c r="F12" s="20" t="n">
        <v>0.045</v>
      </c>
      <c r="G12" s="20" t="n">
        <v>0.045</v>
      </c>
      <c r="H12" s="20" t="n">
        <v>0.045</v>
      </c>
    </row>
    <row r="13" ht="150" customHeight="1">
      <c r="A13" s="16" t="inlineStr">
        <is>
          <t>Capex % of revenue</t>
        </is>
      </c>
      <c r="B13" s="19" t="inlineStr">
        <is>
          <t>FY26 7.0% is $735M on $10.4B sales, not FY25 $11.1B. Since 7.0% steps toward FY25 6.1%, we assume a fade: DCF 5.5% = (7.0+6.0+5.5+5.0+4.0)/5.
Also: FY26 sales are $10.35–$10.50B (earnings). Use that $10.4B year as the 7% denominator, not FY25 $11.1B.</t>
        </is>
      </c>
      <c r="C13" s="38" t="inlineStr">
        <is>
          <t>LULU 10-K: 2026 capex guide $725–745M
Also: Q2 FY2026 outlook: $10.350B–$10.500B sales</t>
        </is>
      </c>
      <c r="D13" s="19" t="inlineStr">
        <is>
          <t>FY25 actual (10-K)
  Ctrl+F "680,802"  →  capex $680.8M
  Ctrl+F "11,102,600"  →  sales $11.1B
  680.8 / 11,102.6 = 6.1%
FY26 capex (10-K)
  Ctrl+F "$725.0 million and $745.0 million"  →  mid $735M
FY26 sales (earnings)
  Ctrl+F "$10.350 billion to $10.500 billion"  →  $10.35–$10.50B (mid $10.425B)
  7.0% = $735M / $10.425B    ($10B year, not FY25 $11.1B)
DCF blend
  Fade  7.0 / 6.0 / 5.5 / 5.0 / 4.0
  5.5% = (7.0+6.0+5.5+5.0+4.0)/5</t>
        </is>
      </c>
      <c r="F13" s="20" t="n">
        <v>0.07000000000000001</v>
      </c>
      <c r="G13" s="20" t="n">
        <v>0.055</v>
      </c>
      <c r="H13" s="20" t="n">
        <v>0.045</v>
      </c>
    </row>
    <row r="14" ht="112" customHeight="1">
      <c r="A14" s="16" t="inlineStr">
        <is>
          <t>Gross margin %</t>
        </is>
      </c>
      <c r="B14" s="17" t="inlineStr">
        <is>
          <t>56.6% of revenue (gross margin). Isolates COGS for inventory/AP drivers; base case held near FY25 reported GM.</t>
        </is>
      </c>
      <c r="C14" s="18" t="inlineStr">
        <is>
          <t>LULU FY2025 10-K: Gross profit &amp; COGS</t>
        </is>
      </c>
      <c r="D14" s="19" t="inlineStr">
        <is>
          <t>56.6% of revenue (gross margin).
Ctrl+F "Gross profit"
→ 6,284,132 ($000)
Ctrl+F "Net revenue"
→ 11,102,600 ($000)
Ctrl+F "Cost of goods sold"
→ 4,818,468 ($000)</t>
        </is>
      </c>
      <c r="F14" s="20" t="n">
        <v>0.5600000000000001</v>
      </c>
      <c r="G14" s="20" t="n">
        <v>0.5659999999999999</v>
      </c>
      <c r="H14" s="20" t="n">
        <v>0.575</v>
      </c>
    </row>
    <row r="15" ht="150" customHeight="1">
      <c r="A15" s="16" t="inlineStr">
        <is>
          <t>DSO (days) — flat vs FY25</t>
        </is>
      </c>
      <c r="B15" s="17" t="inlineStr">
        <is>
          <t>Not % of revenue; DSO (days), flat ~6.3. Mostly own stores/DTC (cash at register); AR is small wholesale residual; predictable ~6 days FY22–25.</t>
        </is>
      </c>
      <c r="C15" s="18" t="inlineStr">
        <is>
          <t>LULU FY2025 10-K: Accounts receivable, net</t>
        </is>
      </c>
      <c r="D15" s="19" t="inlineStr">
        <is>
          <t>Not % of revenue; DSO (days), flat ~6.3.
Why flat: ~90%+ revenue is company-operated stores + e-commerce (cash/card at sale);
AR is a small, stable wholesale/license residual; predictable collection, not trade credit.
Ctrl+F "Accounts receivable, net"
→ 190,657 ($000)
Ctrl+F "Net revenue"
→ 11,102,600 ($000)
DSO = (190,657 ÷ 11,102,600) × 365 ≈ 6.3 days (~6.0–6.3 FY22–25).
Ctrl+F "company-operated stores"
Ctrl+F "E-commerce"</t>
        </is>
      </c>
      <c r="F15" s="39" t="n">
        <v>6.267883648875038</v>
      </c>
      <c r="G15" s="39" t="n">
        <v>6.267883648875038</v>
      </c>
      <c r="H15" s="39" t="n">
        <v>6.267883648875038</v>
      </c>
    </row>
    <row r="16" ht="140" customHeight="1">
      <c r="A16" s="16" t="inlineStr">
        <is>
          <t>FY25 DIO anchor (days)</t>
        </is>
      </c>
      <c r="B16" s="17" t="inlineStr">
        <is>
          <t>Not % of revenue; DIO (days).
FY25 anchor: DIO = (Inventories ÷ COGS) × 365
  = (1,700,753 ÷ 4,818,468) × 365 ≈ 129 days (FY24 inv: 1,442,081).
Forecast path: DIO_t = FY25 DIO − (1 day × year t); flat across scenarios.</t>
        </is>
      </c>
      <c r="C16" s="18" t="inlineStr">
        <is>
          <t>LULU FY2025 10-K: Inventories &amp; COGS</t>
        </is>
      </c>
      <c r="D16" s="19" t="inlineStr">
        <is>
          <t>Not % of revenue; DIO (days).
FY25 anchor formula:
  DIO = (Inventories ÷ COGS) × 365
Ctrl+F "Inventories"
→ 1,700,753 ($000)  |  FY24: 1,442,081
Ctrl+F "Cost of goods sold"
→ 4,818,468 ($000)
  = (1,700,753 ÷ 4,818,468) × 365 ≈ 129 days
Forecast: DIO_t = FY25 DIO − (1 × year t)</t>
        </is>
      </c>
      <c r="F16" s="39" t="n">
        <v>128.8324100108167</v>
      </c>
      <c r="G16" s="39" t="n">
        <v>128.8324100108167</v>
      </c>
      <c r="H16" s="39" t="n">
        <v>128.8324100108167</v>
      </c>
    </row>
    <row r="17" ht="70" customHeight="1">
      <c r="A17" s="16" t="inlineStr">
        <is>
          <t>DIO decline (days / forecast yr)</t>
        </is>
      </c>
      <c r="B17" s="17" t="inlineStr">
        <is>
          <t>Not % of revenue; subtract 1 DIO day per forecast year (−5 days FY26–30).
Feeds Inventories = (DIO_t ÷ 365) × COGS_t.
Ctrl+F "reduce the percentage of markdowns"
Ctrl+F "On a unit basis, we expect inventories to slightly decrease"</t>
        </is>
      </c>
      <c r="C17" s="18" t="inlineStr">
        <is>
          <t>LULU FY2025 10-K: inventory &amp; markdown outlook</t>
        </is>
      </c>
      <c r="D17" s="19" t="inlineStr">
        <is>
          <t>Not % of revenue; DIO −1 day/yr (−5 days FY26–30).
Feeds Inventories_t = (DIO_t ÷ 365) × COGS_t.
Ctrl+F "reduce the percentage of markdowns"
Ctrl+F "On a unit basis, we expect inventories to slightly decrease"</t>
        </is>
      </c>
      <c r="F17" s="40" t="n">
        <v>1</v>
      </c>
      <c r="G17" s="40" t="n">
        <v>1</v>
      </c>
      <c r="H17" s="40" t="n">
        <v>1</v>
      </c>
    </row>
    <row r="18" ht="84" customHeight="1">
      <c r="A18" s="16" t="inlineStr">
        <is>
          <t>DPO (days) — flat vs FY25</t>
        </is>
      </c>
      <c r="B18" s="17" t="inlineStr">
        <is>
          <t>Not % of revenue; DPO (days), flat ~25.1. Implied AP ≈3.0% of sales / 6.9% of COGS.</t>
        </is>
      </c>
      <c r="C18" s="18" t="inlineStr">
        <is>
          <t>LULU FY2025 10-K: Accounts payable &amp; COGS</t>
        </is>
      </c>
      <c r="D18" s="19" t="inlineStr">
        <is>
          <t>Ctrl+F "Accounts payable"
→ 331,421 ($000)
Ctrl+F "Cost of goods sold"
→ 4,818,468 ($000)
Not % of revenue; DPO ≈ 25.1 days. Implied AP ≈ 3.0% of sales / 6.9% of COGS.</t>
        </is>
      </c>
      <c r="F18" s="39" t="n">
        <v>25.10521290169407</v>
      </c>
      <c r="G18" s="39" t="n">
        <v>25.10521290169407</v>
      </c>
      <c r="H18" s="39" t="n">
        <v>25.10521290169407</v>
      </c>
    </row>
    <row r="19" ht="84" customHeight="1">
      <c r="A19" s="16" t="inlineStr">
        <is>
          <t>Prepaid expenses (% of revenue)</t>
        </is>
      </c>
      <c r="B19" s="17" t="inlineStr">
        <is>
          <t>5.1% of revenue (flat). FY25 other current assets (prepaids + tax receivables) ÷ net revenue.</t>
        </is>
      </c>
      <c r="C19" s="18" t="inlineStr">
        <is>
          <t>LULU FY2025 10-K: other current assets (residual)</t>
        </is>
      </c>
      <c r="D19" s="19" t="inlineStr">
        <is>
          <t>Ctrl+F "Prepaid expenses and other current assets"
→ 211,620 ($000)
Ctrl+F "Prepaid and receivable income taxes"
→ 352,469 ($000)
5.1% of revenue (flat). OCA residual = 564,089 ÷ 11,102,600.</t>
        </is>
      </c>
      <c r="F19" s="20" t="n">
        <v>0.05080692810692991</v>
      </c>
      <c r="G19" s="20" t="n">
        <v>0.05080692810692991</v>
      </c>
      <c r="H19" s="20" t="n">
        <v>0.05080692810692991</v>
      </c>
    </row>
    <row r="20" ht="84" customHeight="1">
      <c r="A20" s="16" t="inlineStr">
        <is>
          <t>Accrued liabilities (% of revenue)</t>
        </is>
      </c>
      <c r="B20" s="17" t="inlineStr">
        <is>
          <t>6.0% of revenue (flat). FY25 accrued liabilities ÷ net revenue; comp/marketing accrual mix.</t>
        </is>
      </c>
      <c r="C20" s="18" t="inlineStr">
        <is>
          <t>LULU FY2025 10-K: Accrued liabilities and other</t>
        </is>
      </c>
      <c r="D20" s="19" t="inlineStr">
        <is>
          <t>Ctrl+F "Accrued liabilities and other"
→ 662,982 ($000)
Ctrl+F "Net revenue"
→ 11,102,600 ($000)
6.0% of revenue (flat). 662,982 ÷ 11,102,600.</t>
        </is>
      </c>
      <c r="F20" s="20" t="n">
        <v>0.05971412101669879</v>
      </c>
      <c r="G20" s="20" t="n">
        <v>0.05971412101669879</v>
      </c>
      <c r="H20" s="20" t="n">
        <v>0.05971412101669879</v>
      </c>
    </row>
    <row r="21">
      <c r="A21" s="16" t="inlineStr">
        <is>
          <t>Pitch CFF: fixed buyback ($k/yr) bear/base</t>
        </is>
      </c>
      <c r="F21" s="37" t="n">
        <v>500000</v>
      </c>
      <c r="G21" s="37" t="n">
        <v>500000</v>
      </c>
      <c r="H21" s="37" t="n">
        <v>0</v>
      </c>
    </row>
    <row r="22">
      <c r="A22" s="16" t="inlineStr">
        <is>
          <t>Pitch CFF: % of FCF to buybacks (bull)</t>
        </is>
      </c>
      <c r="F22" s="20" t="n">
        <v>0</v>
      </c>
      <c r="G22" s="20" t="n">
        <v>0</v>
      </c>
      <c r="H22" s="20" t="n">
        <v>0.75</v>
      </c>
    </row>
    <row r="24">
      <c r="A24" s="14" t="inlineStr">
        <is>
          <t>5-year forecast paths (by scenario)</t>
        </is>
      </c>
    </row>
    <row r="25">
      <c r="A25" s="41" t="inlineStr">
        <is>
          <t xml:space="preserve">  Revenue – year 1</t>
        </is>
      </c>
      <c r="F25" s="42">
        <f>11102600*(1+F4)</f>
        <v/>
      </c>
      <c r="G25" s="42">
        <f>11102600*(1+G4)</f>
        <v/>
      </c>
      <c r="H25" s="42">
        <f>11102600*(1+H4)</f>
        <v/>
      </c>
    </row>
    <row r="26">
      <c r="A26" s="41" t="inlineStr">
        <is>
          <t xml:space="preserve">  Revenue – year 2</t>
        </is>
      </c>
      <c r="F26" s="42">
        <f>F25*(1+F5)</f>
        <v/>
      </c>
      <c r="G26" s="42">
        <f>G25*(1+G5)</f>
        <v/>
      </c>
      <c r="H26" s="42">
        <f>H25*(1+H5)</f>
        <v/>
      </c>
    </row>
    <row r="27">
      <c r="A27" s="41" t="inlineStr">
        <is>
          <t xml:space="preserve">  Revenue – year 3</t>
        </is>
      </c>
      <c r="F27" s="42">
        <f>F26*(1+F5)</f>
        <v/>
      </c>
      <c r="G27" s="42">
        <f>G26*(1+G5)</f>
        <v/>
      </c>
      <c r="H27" s="42">
        <f>H26*(1+H5)</f>
        <v/>
      </c>
    </row>
    <row r="28">
      <c r="A28" s="41" t="inlineStr">
        <is>
          <t xml:space="preserve">  Revenue – year 4</t>
        </is>
      </c>
      <c r="F28" s="42">
        <f>F27*(1+F5)</f>
        <v/>
      </c>
      <c r="G28" s="42">
        <f>G27*(1+G5)</f>
        <v/>
      </c>
      <c r="H28" s="42">
        <f>H27*(1+H5)</f>
        <v/>
      </c>
    </row>
    <row r="29">
      <c r="A29" s="41" t="inlineStr">
        <is>
          <t xml:space="preserve">  Revenue – year 5</t>
        </is>
      </c>
      <c r="F29" s="42">
        <f>F28*(1+F5)</f>
        <v/>
      </c>
      <c r="G29" s="42">
        <f>G28*(1+G5)</f>
        <v/>
      </c>
      <c r="H29" s="42">
        <f>H28*(1+H5)</f>
        <v/>
      </c>
    </row>
    <row r="30">
      <c r="A30" s="41" t="inlineStr">
        <is>
          <t xml:space="preserve">  Gross margin % – year 1</t>
        </is>
      </c>
      <c r="F30" s="43">
        <f>F14</f>
        <v/>
      </c>
      <c r="G30" s="43">
        <f>G14</f>
        <v/>
      </c>
      <c r="H30" s="43">
        <f>H14</f>
        <v/>
      </c>
    </row>
    <row r="31">
      <c r="A31" s="41" t="inlineStr">
        <is>
          <t xml:space="preserve">  Gross margin % – year 2</t>
        </is>
      </c>
      <c r="F31" s="43">
        <f>F14</f>
        <v/>
      </c>
      <c r="G31" s="43">
        <f>G14</f>
        <v/>
      </c>
      <c r="H31" s="43">
        <f>H14</f>
        <v/>
      </c>
    </row>
    <row r="32">
      <c r="A32" s="41" t="inlineStr">
        <is>
          <t xml:space="preserve">  Gross margin % – year 3</t>
        </is>
      </c>
      <c r="F32" s="43">
        <f>F14</f>
        <v/>
      </c>
      <c r="G32" s="43">
        <f>G14</f>
        <v/>
      </c>
      <c r="H32" s="43">
        <f>H14</f>
        <v/>
      </c>
    </row>
    <row r="33">
      <c r="A33" s="41" t="inlineStr">
        <is>
          <t xml:space="preserve">  Gross margin % – year 4</t>
        </is>
      </c>
      <c r="F33" s="43">
        <f>F14</f>
        <v/>
      </c>
      <c r="G33" s="43">
        <f>G14</f>
        <v/>
      </c>
      <c r="H33" s="43">
        <f>H14</f>
        <v/>
      </c>
    </row>
    <row r="34">
      <c r="A34" s="41" t="inlineStr">
        <is>
          <t xml:space="preserve">  Gross margin % – year 5</t>
        </is>
      </c>
      <c r="F34" s="43">
        <f>F14</f>
        <v/>
      </c>
      <c r="G34" s="43">
        <f>G14</f>
        <v/>
      </c>
      <c r="H34" s="43">
        <f>H14</f>
        <v/>
      </c>
    </row>
    <row r="35">
      <c r="A35" s="41" t="inlineStr">
        <is>
          <t xml:space="preserve">  Cost of goods sold (COGS) – year 1</t>
        </is>
      </c>
      <c r="F35" s="42">
        <f>F25*(1-F30)</f>
        <v/>
      </c>
      <c r="G35" s="42">
        <f>G25*(1-G30)</f>
        <v/>
      </c>
      <c r="H35" s="42">
        <f>H25*(1-H30)</f>
        <v/>
      </c>
    </row>
    <row r="36">
      <c r="A36" s="41" t="inlineStr">
        <is>
          <t xml:space="preserve">  Cost of goods sold (COGS) – year 2</t>
        </is>
      </c>
      <c r="F36" s="42">
        <f>F26*(1-F31)</f>
        <v/>
      </c>
      <c r="G36" s="42">
        <f>G26*(1-G31)</f>
        <v/>
      </c>
      <c r="H36" s="42">
        <f>H26*(1-H31)</f>
        <v/>
      </c>
    </row>
    <row r="37">
      <c r="A37" s="41" t="inlineStr">
        <is>
          <t xml:space="preserve">  Cost of goods sold (COGS) – year 3</t>
        </is>
      </c>
      <c r="F37" s="42">
        <f>F27*(1-F32)</f>
        <v/>
      </c>
      <c r="G37" s="42">
        <f>G27*(1-G32)</f>
        <v/>
      </c>
      <c r="H37" s="42">
        <f>H27*(1-H32)</f>
        <v/>
      </c>
    </row>
    <row r="38">
      <c r="A38" s="41" t="inlineStr">
        <is>
          <t xml:space="preserve">  Cost of goods sold (COGS) – year 4</t>
        </is>
      </c>
      <c r="F38" s="42">
        <f>F28*(1-F33)</f>
        <v/>
      </c>
      <c r="G38" s="42">
        <f>G28*(1-G33)</f>
        <v/>
      </c>
      <c r="H38" s="42">
        <f>H28*(1-H33)</f>
        <v/>
      </c>
    </row>
    <row r="39">
      <c r="A39" s="41" t="inlineStr">
        <is>
          <t xml:space="preserve">  Cost of goods sold (COGS) – year 5</t>
        </is>
      </c>
      <c r="F39" s="42">
        <f>F29*(1-F34)</f>
        <v/>
      </c>
      <c r="G39" s="42">
        <f>G29*(1-G34)</f>
        <v/>
      </c>
      <c r="H39" s="42">
        <f>H29*(1-H34)</f>
        <v/>
      </c>
    </row>
    <row r="40">
      <c r="A40" s="41" t="inlineStr">
        <is>
          <t xml:space="preserve">  Clean EBIT margin – year 1</t>
        </is>
      </c>
      <c r="F40" s="43">
        <f>F6+(F8-F6)*0/4</f>
        <v/>
      </c>
      <c r="G40" s="43">
        <f>G6+(G8-G6)*0/4</f>
        <v/>
      </c>
      <c r="H40" s="43">
        <f>H6+(H8-H6)*0/4</f>
        <v/>
      </c>
    </row>
    <row r="41">
      <c r="A41" s="41" t="inlineStr">
        <is>
          <t xml:space="preserve">  Clean EBIT margin – year 2</t>
        </is>
      </c>
      <c r="F41" s="43">
        <f>F6+(F8-F6)*1/4</f>
        <v/>
      </c>
      <c r="G41" s="43">
        <f>G6+(G8-G6)*1/4</f>
        <v/>
      </c>
      <c r="H41" s="43">
        <f>H6+(H8-H6)*1/4</f>
        <v/>
      </c>
    </row>
    <row r="42">
      <c r="A42" s="41" t="inlineStr">
        <is>
          <t xml:space="preserve">  Clean EBIT margin – year 3</t>
        </is>
      </c>
      <c r="F42" s="43">
        <f>F6+(F8-F6)*2/4</f>
        <v/>
      </c>
      <c r="G42" s="43">
        <f>G6+(G8-G6)*2/4</f>
        <v/>
      </c>
      <c r="H42" s="43">
        <f>H6+(H8-H6)*2/4</f>
        <v/>
      </c>
    </row>
    <row r="43">
      <c r="A43" s="41" t="inlineStr">
        <is>
          <t xml:space="preserve">  Clean EBIT margin – year 4</t>
        </is>
      </c>
      <c r="F43" s="43">
        <f>F6+(F8-F6)*3/4</f>
        <v/>
      </c>
      <c r="G43" s="43">
        <f>G6+(G8-G6)*3/4</f>
        <v/>
      </c>
      <c r="H43" s="43">
        <f>H6+(H8-H6)*3/4</f>
        <v/>
      </c>
    </row>
    <row r="44">
      <c r="A44" s="41" t="inlineStr">
        <is>
          <t xml:space="preserve">  Clean EBIT margin – year 5</t>
        </is>
      </c>
      <c r="F44" s="43">
        <f>F6+(F8-F6)*4/4</f>
        <v/>
      </c>
      <c r="G44" s="43">
        <f>G6+(G8-G6)*4/4</f>
        <v/>
      </c>
      <c r="H44" s="43">
        <f>H6+(H8-H6)*4/4</f>
        <v/>
      </c>
    </row>
    <row r="45">
      <c r="A45" s="41" t="inlineStr">
        <is>
          <t xml:space="preserve">  EBIT – year 1</t>
        </is>
      </c>
      <c r="F45" s="42">
        <f>F25*F40+F7</f>
        <v/>
      </c>
      <c r="G45" s="42">
        <f>G25*G40+G7</f>
        <v/>
      </c>
      <c r="H45" s="42">
        <f>H25*H40+H7</f>
        <v/>
      </c>
    </row>
    <row r="46">
      <c r="A46" s="41" t="inlineStr">
        <is>
          <t xml:space="preserve">  EBIT – year 2</t>
        </is>
      </c>
      <c r="F46" s="42">
        <f>F26*F41</f>
        <v/>
      </c>
      <c r="G46" s="42">
        <f>G26*G41</f>
        <v/>
      </c>
      <c r="H46" s="42">
        <f>H26*H41</f>
        <v/>
      </c>
    </row>
    <row r="47">
      <c r="A47" s="41" t="inlineStr">
        <is>
          <t xml:space="preserve">  EBIT – year 3</t>
        </is>
      </c>
      <c r="F47" s="42">
        <f>F27*F42</f>
        <v/>
      </c>
      <c r="G47" s="42">
        <f>G27*G42</f>
        <v/>
      </c>
      <c r="H47" s="42">
        <f>H27*H42</f>
        <v/>
      </c>
    </row>
    <row r="48">
      <c r="A48" s="41" t="inlineStr">
        <is>
          <t xml:space="preserve">  EBIT – year 4</t>
        </is>
      </c>
      <c r="F48" s="42">
        <f>F28*F43</f>
        <v/>
      </c>
      <c r="G48" s="42">
        <f>G28*G43</f>
        <v/>
      </c>
      <c r="H48" s="42">
        <f>H28*H43</f>
        <v/>
      </c>
    </row>
    <row r="49">
      <c r="A49" s="41" t="inlineStr">
        <is>
          <t xml:space="preserve">  EBIT – year 5</t>
        </is>
      </c>
      <c r="F49" s="42">
        <f>F29*F44</f>
        <v/>
      </c>
      <c r="G49" s="42">
        <f>G29*G44</f>
        <v/>
      </c>
      <c r="H49" s="42">
        <f>H29*H44</f>
        <v/>
      </c>
    </row>
    <row r="50">
      <c r="A50" s="41" t="inlineStr">
        <is>
          <t xml:space="preserve">  NOPAT – year 1</t>
        </is>
      </c>
      <c r="F50" s="42">
        <f>F45*(1-'NOPAT Bridge'!F$39)</f>
        <v/>
      </c>
      <c r="G50" s="42">
        <f>'NOPAT Bridge'!F41</f>
        <v/>
      </c>
      <c r="H50" s="42">
        <f>H45*(1-'NOPAT Bridge'!F$39)</f>
        <v/>
      </c>
    </row>
    <row r="51">
      <c r="A51" s="41" t="inlineStr">
        <is>
          <t xml:space="preserve">  NOPAT – year 2</t>
        </is>
      </c>
      <c r="F51" s="42">
        <f>F46*(1-'NOPAT Bridge'!G$39)</f>
        <v/>
      </c>
      <c r="G51" s="42">
        <f>'NOPAT Bridge'!G41</f>
        <v/>
      </c>
      <c r="H51" s="42">
        <f>H46*(1-'NOPAT Bridge'!G$39)</f>
        <v/>
      </c>
    </row>
    <row r="52">
      <c r="A52" s="41" t="inlineStr">
        <is>
          <t xml:space="preserve">  NOPAT – year 3</t>
        </is>
      </c>
      <c r="F52" s="42">
        <f>F47*(1-'NOPAT Bridge'!H$39)</f>
        <v/>
      </c>
      <c r="G52" s="42">
        <f>'NOPAT Bridge'!H41</f>
        <v/>
      </c>
      <c r="H52" s="42">
        <f>H47*(1-'NOPAT Bridge'!H$39)</f>
        <v/>
      </c>
    </row>
    <row r="53">
      <c r="A53" s="41" t="inlineStr">
        <is>
          <t xml:space="preserve">  NOPAT – year 4</t>
        </is>
      </c>
      <c r="F53" s="42">
        <f>F48*(1-'NOPAT Bridge'!I$39)</f>
        <v/>
      </c>
      <c r="G53" s="42">
        <f>'NOPAT Bridge'!I41</f>
        <v/>
      </c>
      <c r="H53" s="42">
        <f>H48*(1-'NOPAT Bridge'!I$39)</f>
        <v/>
      </c>
    </row>
    <row r="54">
      <c r="A54" s="41" t="inlineStr">
        <is>
          <t xml:space="preserve">  NOPAT – year 5</t>
        </is>
      </c>
      <c r="F54" s="42">
        <f>F49*(1-'NOPAT Bridge'!J$39)</f>
        <v/>
      </c>
      <c r="G54" s="42">
        <f>'NOPAT Bridge'!J41</f>
        <v/>
      </c>
      <c r="H54" s="42">
        <f>H49*(1-'NOPAT Bridge'!J$39)</f>
        <v/>
      </c>
    </row>
    <row r="55">
      <c r="A55" s="41" t="inlineStr">
        <is>
          <t xml:space="preserve">  D&amp;A – year 1</t>
        </is>
      </c>
      <c r="F55" s="42">
        <f>F25*F12</f>
        <v/>
      </c>
      <c r="G55" s="42">
        <f>G25*G12</f>
        <v/>
      </c>
      <c r="H55" s="42">
        <f>H25*H12</f>
        <v/>
      </c>
    </row>
    <row r="56">
      <c r="A56" s="41" t="inlineStr">
        <is>
          <t xml:space="preserve">  D&amp;A – year 2</t>
        </is>
      </c>
      <c r="F56" s="42">
        <f>F26*F12</f>
        <v/>
      </c>
      <c r="G56" s="42">
        <f>G26*G12</f>
        <v/>
      </c>
      <c r="H56" s="42">
        <f>H26*H12</f>
        <v/>
      </c>
    </row>
    <row r="57">
      <c r="A57" s="41" t="inlineStr">
        <is>
          <t xml:space="preserve">  D&amp;A – year 3</t>
        </is>
      </c>
      <c r="F57" s="42">
        <f>F27*F12</f>
        <v/>
      </c>
      <c r="G57" s="42">
        <f>G27*G12</f>
        <v/>
      </c>
      <c r="H57" s="42">
        <f>H27*H12</f>
        <v/>
      </c>
    </row>
    <row r="58">
      <c r="A58" s="41" t="inlineStr">
        <is>
          <t xml:space="preserve">  D&amp;A – year 4</t>
        </is>
      </c>
      <c r="F58" s="42">
        <f>F28*F12</f>
        <v/>
      </c>
      <c r="G58" s="42">
        <f>G28*G12</f>
        <v/>
      </c>
      <c r="H58" s="42">
        <f>H28*H12</f>
        <v/>
      </c>
    </row>
    <row r="59">
      <c r="A59" s="41" t="inlineStr">
        <is>
          <t xml:space="preserve">  D&amp;A – year 5</t>
        </is>
      </c>
      <c r="F59" s="42">
        <f>F29*F12</f>
        <v/>
      </c>
      <c r="G59" s="42">
        <f>G29*G12</f>
        <v/>
      </c>
      <c r="H59" s="42">
        <f>H29*H12</f>
        <v/>
      </c>
    </row>
    <row r="60">
      <c r="A60" s="41" t="inlineStr">
        <is>
          <t xml:space="preserve">  Capex – year 1</t>
        </is>
      </c>
      <c r="F60" s="42">
        <f>F25*F13</f>
        <v/>
      </c>
      <c r="G60" s="42">
        <f>G25*G13</f>
        <v/>
      </c>
      <c r="H60" s="42">
        <f>H25*H13</f>
        <v/>
      </c>
    </row>
    <row r="61">
      <c r="A61" s="41" t="inlineStr">
        <is>
          <t xml:space="preserve">  Capex – year 2</t>
        </is>
      </c>
      <c r="F61" s="42">
        <f>F26*F13</f>
        <v/>
      </c>
      <c r="G61" s="42">
        <f>G26*G13</f>
        <v/>
      </c>
      <c r="H61" s="42">
        <f>H26*H13</f>
        <v/>
      </c>
    </row>
    <row r="62">
      <c r="A62" s="41" t="inlineStr">
        <is>
          <t xml:space="preserve">  Capex – year 3</t>
        </is>
      </c>
      <c r="F62" s="42">
        <f>F27*F13</f>
        <v/>
      </c>
      <c r="G62" s="42">
        <f>G27*G13</f>
        <v/>
      </c>
      <c r="H62" s="42">
        <f>H27*H13</f>
        <v/>
      </c>
    </row>
    <row r="63">
      <c r="A63" s="41" t="inlineStr">
        <is>
          <t xml:space="preserve">  Capex – year 4</t>
        </is>
      </c>
      <c r="F63" s="42">
        <f>F28*F13</f>
        <v/>
      </c>
      <c r="G63" s="42">
        <f>G28*G13</f>
        <v/>
      </c>
      <c r="H63" s="42">
        <f>H28*H13</f>
        <v/>
      </c>
    </row>
    <row r="64">
      <c r="A64" s="41" t="inlineStr">
        <is>
          <t xml:space="preserve">  Capex – year 5</t>
        </is>
      </c>
      <c r="F64" s="42">
        <f>F29*F13</f>
        <v/>
      </c>
      <c r="G64" s="42">
        <f>G29*G13</f>
        <v/>
      </c>
      <c r="H64" s="42">
        <f>H29*H13</f>
        <v/>
      </c>
    </row>
    <row r="65">
      <c r="A65" s="41" t="inlineStr">
        <is>
          <t xml:space="preserve">  DSO (days) – year 1</t>
        </is>
      </c>
      <c r="F65" s="44">
        <f>F15</f>
        <v/>
      </c>
      <c r="G65" s="44">
        <f>G15</f>
        <v/>
      </c>
      <c r="H65" s="44">
        <f>H15</f>
        <v/>
      </c>
    </row>
    <row r="66">
      <c r="A66" s="41" t="inlineStr">
        <is>
          <t xml:space="preserve">  DSO (days) – year 2</t>
        </is>
      </c>
      <c r="F66" s="44">
        <f>F15</f>
        <v/>
      </c>
      <c r="G66" s="44">
        <f>G15</f>
        <v/>
      </c>
      <c r="H66" s="44">
        <f>H15</f>
        <v/>
      </c>
    </row>
    <row r="67">
      <c r="A67" s="41" t="inlineStr">
        <is>
          <t xml:space="preserve">  DSO (days) – year 3</t>
        </is>
      </c>
      <c r="F67" s="44">
        <f>F15</f>
        <v/>
      </c>
      <c r="G67" s="44">
        <f>G15</f>
        <v/>
      </c>
      <c r="H67" s="44">
        <f>H15</f>
        <v/>
      </c>
    </row>
    <row r="68">
      <c r="A68" s="41" t="inlineStr">
        <is>
          <t xml:space="preserve">  DSO (days) – year 4</t>
        </is>
      </c>
      <c r="F68" s="44">
        <f>F15</f>
        <v/>
      </c>
      <c r="G68" s="44">
        <f>G15</f>
        <v/>
      </c>
      <c r="H68" s="44">
        <f>H15</f>
        <v/>
      </c>
    </row>
    <row r="69">
      <c r="A69" s="41" t="inlineStr">
        <is>
          <t xml:space="preserve">  DSO (days) – year 5</t>
        </is>
      </c>
      <c r="F69" s="44">
        <f>F15</f>
        <v/>
      </c>
      <c r="G69" s="44">
        <f>G15</f>
        <v/>
      </c>
      <c r="H69" s="44">
        <f>H15</f>
        <v/>
      </c>
    </row>
    <row r="70">
      <c r="A70" s="41" t="inlineStr">
        <is>
          <t xml:space="preserve">  Accounts receivable – year 1</t>
        </is>
      </c>
      <c r="F70" s="42">
        <f>(F65/365)*F25</f>
        <v/>
      </c>
      <c r="G70" s="42">
        <f>(G65/365)*G25</f>
        <v/>
      </c>
      <c r="H70" s="42">
        <f>(H65/365)*H25</f>
        <v/>
      </c>
    </row>
    <row r="71">
      <c r="A71" s="41" t="inlineStr">
        <is>
          <t xml:space="preserve">  Accounts receivable – year 2</t>
        </is>
      </c>
      <c r="F71" s="42">
        <f>(F66/365)*F26</f>
        <v/>
      </c>
      <c r="G71" s="42">
        <f>(G66/365)*G26</f>
        <v/>
      </c>
      <c r="H71" s="42">
        <f>(H66/365)*H26</f>
        <v/>
      </c>
    </row>
    <row r="72">
      <c r="A72" s="41" t="inlineStr">
        <is>
          <t xml:space="preserve">  Accounts receivable – year 3</t>
        </is>
      </c>
      <c r="F72" s="42">
        <f>(F67/365)*F27</f>
        <v/>
      </c>
      <c r="G72" s="42">
        <f>(G67/365)*G27</f>
        <v/>
      </c>
      <c r="H72" s="42">
        <f>(H67/365)*H27</f>
        <v/>
      </c>
    </row>
    <row r="73">
      <c r="A73" s="41" t="inlineStr">
        <is>
          <t xml:space="preserve">  Accounts receivable – year 4</t>
        </is>
      </c>
      <c r="F73" s="42">
        <f>(F68/365)*F28</f>
        <v/>
      </c>
      <c r="G73" s="42">
        <f>(G68/365)*G28</f>
        <v/>
      </c>
      <c r="H73" s="42">
        <f>(H68/365)*H28</f>
        <v/>
      </c>
    </row>
    <row r="74">
      <c r="A74" s="41" t="inlineStr">
        <is>
          <t xml:space="preserve">  Accounts receivable – year 5</t>
        </is>
      </c>
      <c r="F74" s="42">
        <f>(F69/365)*F29</f>
        <v/>
      </c>
      <c r="G74" s="42">
        <f>(G69/365)*G29</f>
        <v/>
      </c>
      <c r="H74" s="42">
        <f>(H69/365)*H29</f>
        <v/>
      </c>
    </row>
    <row r="75">
      <c r="A75" s="41" t="inlineStr">
        <is>
          <t xml:space="preserve">  DIO (days) – year 1</t>
        </is>
      </c>
      <c r="F75" s="44">
        <f>F16-F17*1</f>
        <v/>
      </c>
      <c r="G75" s="44">
        <f>G16-G17*1</f>
        <v/>
      </c>
      <c r="H75" s="44">
        <f>H16-H17*1</f>
        <v/>
      </c>
    </row>
    <row r="76">
      <c r="A76" s="41" t="inlineStr">
        <is>
          <t xml:space="preserve">  DIO (days) – year 2</t>
        </is>
      </c>
      <c r="F76" s="44">
        <f>F16-F17*2</f>
        <v/>
      </c>
      <c r="G76" s="44">
        <f>G16-G17*2</f>
        <v/>
      </c>
      <c r="H76" s="44">
        <f>H16-H17*2</f>
        <v/>
      </c>
    </row>
    <row r="77">
      <c r="A77" s="41" t="inlineStr">
        <is>
          <t xml:space="preserve">  DIO (days) – year 3</t>
        </is>
      </c>
      <c r="F77" s="44">
        <f>F16-F17*3</f>
        <v/>
      </c>
      <c r="G77" s="44">
        <f>G16-G17*3</f>
        <v/>
      </c>
      <c r="H77" s="44">
        <f>H16-H17*3</f>
        <v/>
      </c>
    </row>
    <row r="78">
      <c r="A78" s="41" t="inlineStr">
        <is>
          <t xml:space="preserve">  DIO (days) – year 4</t>
        </is>
      </c>
      <c r="F78" s="44">
        <f>F16-F17*4</f>
        <v/>
      </c>
      <c r="G78" s="44">
        <f>G16-G17*4</f>
        <v/>
      </c>
      <c r="H78" s="44">
        <f>H16-H17*4</f>
        <v/>
      </c>
    </row>
    <row r="79">
      <c r="A79" s="41" t="inlineStr">
        <is>
          <t xml:space="preserve">  DIO (days) – year 5</t>
        </is>
      </c>
      <c r="F79" s="44">
        <f>F16-F17*5</f>
        <v/>
      </c>
      <c r="G79" s="44">
        <f>G16-G17*5</f>
        <v/>
      </c>
      <c r="H79" s="44">
        <f>H16-H17*5</f>
        <v/>
      </c>
    </row>
    <row r="80">
      <c r="A80" s="41" t="inlineStr">
        <is>
          <t xml:space="preserve">  Inventories – year 1</t>
        </is>
      </c>
      <c r="F80" s="42">
        <f>(F75/365)*F35</f>
        <v/>
      </c>
      <c r="G80" s="42">
        <f>(G75/365)*G35</f>
        <v/>
      </c>
      <c r="H80" s="42">
        <f>(H75/365)*H35</f>
        <v/>
      </c>
    </row>
    <row r="81">
      <c r="A81" s="41" t="inlineStr">
        <is>
          <t xml:space="preserve">  Inventories – year 2</t>
        </is>
      </c>
      <c r="F81" s="42">
        <f>(F76/365)*F36</f>
        <v/>
      </c>
      <c r="G81" s="42">
        <f>(G76/365)*G36</f>
        <v/>
      </c>
      <c r="H81" s="42">
        <f>(H76/365)*H36</f>
        <v/>
      </c>
    </row>
    <row r="82">
      <c r="A82" s="41" t="inlineStr">
        <is>
          <t xml:space="preserve">  Inventories – year 3</t>
        </is>
      </c>
      <c r="F82" s="42">
        <f>(F77/365)*F37</f>
        <v/>
      </c>
      <c r="G82" s="42">
        <f>(G77/365)*G37</f>
        <v/>
      </c>
      <c r="H82" s="42">
        <f>(H77/365)*H37</f>
        <v/>
      </c>
    </row>
    <row r="83">
      <c r="A83" s="41" t="inlineStr">
        <is>
          <t xml:space="preserve">  Inventories – year 4</t>
        </is>
      </c>
      <c r="F83" s="42">
        <f>(F78/365)*F38</f>
        <v/>
      </c>
      <c r="G83" s="42">
        <f>(G78/365)*G38</f>
        <v/>
      </c>
      <c r="H83" s="42">
        <f>(H78/365)*H38</f>
        <v/>
      </c>
    </row>
    <row r="84">
      <c r="A84" s="41" t="inlineStr">
        <is>
          <t xml:space="preserve">  Inventories – year 5</t>
        </is>
      </c>
      <c r="F84" s="42">
        <f>(F79/365)*F39</f>
        <v/>
      </c>
      <c r="G84" s="42">
        <f>(G79/365)*G39</f>
        <v/>
      </c>
      <c r="H84" s="42">
        <f>(H79/365)*H39</f>
        <v/>
      </c>
    </row>
    <row r="85">
      <c r="A85" s="41" t="inlineStr">
        <is>
          <t xml:space="preserve">  DPO (days) – year 1</t>
        </is>
      </c>
      <c r="F85" s="44">
        <f>F18</f>
        <v/>
      </c>
      <c r="G85" s="44">
        <f>G18</f>
        <v/>
      </c>
      <c r="H85" s="44">
        <f>H18</f>
        <v/>
      </c>
    </row>
    <row r="86">
      <c r="A86" s="41" t="inlineStr">
        <is>
          <t xml:space="preserve">  DPO (days) – year 2</t>
        </is>
      </c>
      <c r="F86" s="44">
        <f>F18</f>
        <v/>
      </c>
      <c r="G86" s="44">
        <f>G18</f>
        <v/>
      </c>
      <c r="H86" s="44">
        <f>H18</f>
        <v/>
      </c>
    </row>
    <row r="87">
      <c r="A87" s="41" t="inlineStr">
        <is>
          <t xml:space="preserve">  DPO (days) – year 3</t>
        </is>
      </c>
      <c r="F87" s="44">
        <f>F18</f>
        <v/>
      </c>
      <c r="G87" s="44">
        <f>G18</f>
        <v/>
      </c>
      <c r="H87" s="44">
        <f>H18</f>
        <v/>
      </c>
    </row>
    <row r="88">
      <c r="A88" s="41" t="inlineStr">
        <is>
          <t xml:space="preserve">  DPO (days) – year 4</t>
        </is>
      </c>
      <c r="F88" s="44">
        <f>F18</f>
        <v/>
      </c>
      <c r="G88" s="44">
        <f>G18</f>
        <v/>
      </c>
      <c r="H88" s="44">
        <f>H18</f>
        <v/>
      </c>
    </row>
    <row r="89">
      <c r="A89" s="41" t="inlineStr">
        <is>
          <t xml:space="preserve">  DPO (days) – year 5</t>
        </is>
      </c>
      <c r="F89" s="44">
        <f>F18</f>
        <v/>
      </c>
      <c r="G89" s="44">
        <f>G18</f>
        <v/>
      </c>
      <c r="H89" s="44">
        <f>H18</f>
        <v/>
      </c>
    </row>
    <row r="90">
      <c r="A90" s="41" t="inlineStr">
        <is>
          <t xml:space="preserve">  Accounts payable – year 1</t>
        </is>
      </c>
      <c r="F90" s="42">
        <f>(F85/365)*F35</f>
        <v/>
      </c>
      <c r="G90" s="42">
        <f>(G85/365)*G35</f>
        <v/>
      </c>
      <c r="H90" s="42">
        <f>(H85/365)*H35</f>
        <v/>
      </c>
    </row>
    <row r="91">
      <c r="A91" s="41" t="inlineStr">
        <is>
          <t xml:space="preserve">  Accounts payable – year 2</t>
        </is>
      </c>
      <c r="F91" s="42">
        <f>(F86/365)*F36</f>
        <v/>
      </c>
      <c r="G91" s="42">
        <f>(G86/365)*G36</f>
        <v/>
      </c>
      <c r="H91" s="42">
        <f>(H86/365)*H36</f>
        <v/>
      </c>
    </row>
    <row r="92">
      <c r="A92" s="41" t="inlineStr">
        <is>
          <t xml:space="preserve">  Accounts payable – year 3</t>
        </is>
      </c>
      <c r="F92" s="42">
        <f>(F87/365)*F37</f>
        <v/>
      </c>
      <c r="G92" s="42">
        <f>(G87/365)*G37</f>
        <v/>
      </c>
      <c r="H92" s="42">
        <f>(H87/365)*H37</f>
        <v/>
      </c>
    </row>
    <row r="93">
      <c r="A93" s="41" t="inlineStr">
        <is>
          <t xml:space="preserve">  Accounts payable – year 4</t>
        </is>
      </c>
      <c r="F93" s="42">
        <f>(F88/365)*F38</f>
        <v/>
      </c>
      <c r="G93" s="42">
        <f>(G88/365)*G38</f>
        <v/>
      </c>
      <c r="H93" s="42">
        <f>(H88/365)*H38</f>
        <v/>
      </c>
    </row>
    <row r="94">
      <c r="A94" s="41" t="inlineStr">
        <is>
          <t xml:space="preserve">  Accounts payable – year 5</t>
        </is>
      </c>
      <c r="F94" s="42">
        <f>(F89/365)*F39</f>
        <v/>
      </c>
      <c r="G94" s="42">
        <f>(G89/365)*G39</f>
        <v/>
      </c>
      <c r="H94" s="42">
        <f>(H89/365)*H39</f>
        <v/>
      </c>
    </row>
    <row r="95">
      <c r="A95" s="41" t="inlineStr">
        <is>
          <t xml:space="preserve">  Prepaid expenses (other current assets) – year 1</t>
        </is>
      </c>
      <c r="F95" s="42">
        <f>F25*F19</f>
        <v/>
      </c>
      <c r="G95" s="42">
        <f>G25*G19</f>
        <v/>
      </c>
      <c r="H95" s="42">
        <f>H25*H19</f>
        <v/>
      </c>
    </row>
    <row r="96">
      <c r="A96" s="41" t="inlineStr">
        <is>
          <t xml:space="preserve">  Prepaid expenses (other current assets) – year 2</t>
        </is>
      </c>
      <c r="F96" s="42">
        <f>F26*F19</f>
        <v/>
      </c>
      <c r="G96" s="42">
        <f>G26*G19</f>
        <v/>
      </c>
      <c r="H96" s="42">
        <f>H26*H19</f>
        <v/>
      </c>
    </row>
    <row r="97">
      <c r="A97" s="41" t="inlineStr">
        <is>
          <t xml:space="preserve">  Prepaid expenses (other current assets) – year 3</t>
        </is>
      </c>
      <c r="F97" s="42">
        <f>F27*F19</f>
        <v/>
      </c>
      <c r="G97" s="42">
        <f>G27*G19</f>
        <v/>
      </c>
      <c r="H97" s="42">
        <f>H27*H19</f>
        <v/>
      </c>
    </row>
    <row r="98">
      <c r="A98" s="41" t="inlineStr">
        <is>
          <t xml:space="preserve">  Prepaid expenses (other current assets) – year 4</t>
        </is>
      </c>
      <c r="F98" s="42">
        <f>F28*F19</f>
        <v/>
      </c>
      <c r="G98" s="42">
        <f>G28*G19</f>
        <v/>
      </c>
      <c r="H98" s="42">
        <f>H28*H19</f>
        <v/>
      </c>
    </row>
    <row r="99">
      <c r="A99" s="41" t="inlineStr">
        <is>
          <t xml:space="preserve">  Prepaid expenses (other current assets) – year 5</t>
        </is>
      </c>
      <c r="F99" s="42">
        <f>F29*F19</f>
        <v/>
      </c>
      <c r="G99" s="42">
        <f>G29*G19</f>
        <v/>
      </c>
      <c r="H99" s="42">
        <f>H29*H19</f>
        <v/>
      </c>
    </row>
    <row r="100">
      <c r="A100" s="41" t="inlineStr">
        <is>
          <t xml:space="preserve">  Accrued liabilities – year 1</t>
        </is>
      </c>
      <c r="F100" s="42">
        <f>F25*F20</f>
        <v/>
      </c>
      <c r="G100" s="42">
        <f>G25*G20</f>
        <v/>
      </c>
      <c r="H100" s="42">
        <f>H25*H20</f>
        <v/>
      </c>
    </row>
    <row r="101">
      <c r="A101" s="41" t="inlineStr">
        <is>
          <t xml:space="preserve">  Accrued liabilities – year 2</t>
        </is>
      </c>
      <c r="F101" s="42">
        <f>F26*F20</f>
        <v/>
      </c>
      <c r="G101" s="42">
        <f>G26*G20</f>
        <v/>
      </c>
      <c r="H101" s="42">
        <f>H26*H20</f>
        <v/>
      </c>
    </row>
    <row r="102">
      <c r="A102" s="41" t="inlineStr">
        <is>
          <t xml:space="preserve">  Accrued liabilities – year 3</t>
        </is>
      </c>
      <c r="F102" s="42">
        <f>F27*F20</f>
        <v/>
      </c>
      <c r="G102" s="42">
        <f>G27*G20</f>
        <v/>
      </c>
      <c r="H102" s="42">
        <f>H27*H20</f>
        <v/>
      </c>
    </row>
    <row r="103">
      <c r="A103" s="41" t="inlineStr">
        <is>
          <t xml:space="preserve">  Accrued liabilities – year 4</t>
        </is>
      </c>
      <c r="F103" s="42">
        <f>F28*F20</f>
        <v/>
      </c>
      <c r="G103" s="42">
        <f>G28*G20</f>
        <v/>
      </c>
      <c r="H103" s="42">
        <f>H28*H20</f>
        <v/>
      </c>
    </row>
    <row r="104">
      <c r="A104" s="41" t="inlineStr">
        <is>
          <t xml:space="preserve">  Accrued liabilities – year 5</t>
        </is>
      </c>
      <c r="F104" s="42">
        <f>F29*F20</f>
        <v/>
      </c>
      <c r="G104" s="42">
        <f>G29*G20</f>
        <v/>
      </c>
      <c r="H104" s="42">
        <f>H29*H20</f>
        <v/>
      </c>
    </row>
    <row r="105">
      <c r="A105" s="41" t="inlineStr">
        <is>
          <t xml:space="preserve">  Current operating assets (AR + inv + prepaids) – year 1</t>
        </is>
      </c>
      <c r="F105" s="42">
        <f>F70+F80+F95</f>
        <v/>
      </c>
      <c r="G105" s="42">
        <f>G70+G80+G95</f>
        <v/>
      </c>
      <c r="H105" s="42">
        <f>H70+H80+H95</f>
        <v/>
      </c>
    </row>
    <row r="106">
      <c r="A106" s="41" t="inlineStr">
        <is>
          <t xml:space="preserve">  Current operating assets (AR + inv + prepaids) – year 2</t>
        </is>
      </c>
      <c r="F106" s="42">
        <f>F71+F81+F96</f>
        <v/>
      </c>
      <c r="G106" s="42">
        <f>G71+G81+G96</f>
        <v/>
      </c>
      <c r="H106" s="42">
        <f>H71+H81+H96</f>
        <v/>
      </c>
    </row>
    <row r="107">
      <c r="A107" s="41" t="inlineStr">
        <is>
          <t xml:space="preserve">  Current operating assets (AR + inv + prepaids) – year 3</t>
        </is>
      </c>
      <c r="F107" s="42">
        <f>F72+F82+F97</f>
        <v/>
      </c>
      <c r="G107" s="42">
        <f>G72+G82+G97</f>
        <v/>
      </c>
      <c r="H107" s="42">
        <f>H72+H82+H97</f>
        <v/>
      </c>
    </row>
    <row r="108">
      <c r="A108" s="41" t="inlineStr">
        <is>
          <t xml:space="preserve">  Current operating assets (AR + inv + prepaids) – year 4</t>
        </is>
      </c>
      <c r="F108" s="42">
        <f>F73+F83+F98</f>
        <v/>
      </c>
      <c r="G108" s="42">
        <f>G73+G83+G98</f>
        <v/>
      </c>
      <c r="H108" s="42">
        <f>H73+H83+H98</f>
        <v/>
      </c>
    </row>
    <row r="109">
      <c r="A109" s="41" t="inlineStr">
        <is>
          <t xml:space="preserve">  Current operating assets (AR + inv + prepaids) – year 5</t>
        </is>
      </c>
      <c r="F109" s="42">
        <f>F74+F84+F99</f>
        <v/>
      </c>
      <c r="G109" s="42">
        <f>G74+G84+G99</f>
        <v/>
      </c>
      <c r="H109" s="42">
        <f>H74+H84+H99</f>
        <v/>
      </c>
    </row>
    <row r="110">
      <c r="A110" s="41" t="inlineStr">
        <is>
          <t xml:space="preserve">  Current operating liabilities (AP + accruals) – year 1</t>
        </is>
      </c>
      <c r="F110" s="42">
        <f>F90+F100</f>
        <v/>
      </c>
      <c r="G110" s="42">
        <f>G90+G100</f>
        <v/>
      </c>
      <c r="H110" s="42">
        <f>H90+H100</f>
        <v/>
      </c>
    </row>
    <row r="111">
      <c r="A111" s="41" t="inlineStr">
        <is>
          <t xml:space="preserve">  Current operating liabilities (AP + accruals) – year 2</t>
        </is>
      </c>
      <c r="F111" s="42">
        <f>F91+F101</f>
        <v/>
      </c>
      <c r="G111" s="42">
        <f>G91+G101</f>
        <v/>
      </c>
      <c r="H111" s="42">
        <f>H91+H101</f>
        <v/>
      </c>
    </row>
    <row r="112">
      <c r="A112" s="41" t="inlineStr">
        <is>
          <t xml:space="preserve">  Current operating liabilities (AP + accruals) – year 3</t>
        </is>
      </c>
      <c r="F112" s="42">
        <f>F92+F102</f>
        <v/>
      </c>
      <c r="G112" s="42">
        <f>G92+G102</f>
        <v/>
      </c>
      <c r="H112" s="42">
        <f>H92+H102</f>
        <v/>
      </c>
    </row>
    <row r="113">
      <c r="A113" s="41" t="inlineStr">
        <is>
          <t xml:space="preserve">  Current operating liabilities (AP + accruals) – year 4</t>
        </is>
      </c>
      <c r="F113" s="42">
        <f>F93+F103</f>
        <v/>
      </c>
      <c r="G113" s="42">
        <f>G93+G103</f>
        <v/>
      </c>
      <c r="H113" s="42">
        <f>H93+H103</f>
        <v/>
      </c>
    </row>
    <row r="114">
      <c r="A114" s="41" t="inlineStr">
        <is>
          <t xml:space="preserve">  Current operating liabilities (AP + accruals) – year 5</t>
        </is>
      </c>
      <c r="F114" s="42">
        <f>F94+F104</f>
        <v/>
      </c>
      <c r="G114" s="42">
        <f>G94+G104</f>
        <v/>
      </c>
      <c r="H114" s="42">
        <f>H94+H104</f>
        <v/>
      </c>
    </row>
    <row r="115">
      <c r="A115" s="41" t="inlineStr">
        <is>
          <t xml:space="preserve">  Net working capital – year 1</t>
        </is>
      </c>
      <c r="F115" s="42">
        <f>F105-F110</f>
        <v/>
      </c>
      <c r="G115" s="42">
        <f>G105-G110</f>
        <v/>
      </c>
      <c r="H115" s="42">
        <f>H105-H110</f>
        <v/>
      </c>
    </row>
    <row r="116">
      <c r="A116" s="41" t="inlineStr">
        <is>
          <t xml:space="preserve">  Net working capital – year 2</t>
        </is>
      </c>
      <c r="F116" s="42">
        <f>F106-F111</f>
        <v/>
      </c>
      <c r="G116" s="42">
        <f>G106-G111</f>
        <v/>
      </c>
      <c r="H116" s="42">
        <f>H106-H111</f>
        <v/>
      </c>
    </row>
    <row r="117">
      <c r="A117" s="41" t="inlineStr">
        <is>
          <t xml:space="preserve">  Net working capital – year 3</t>
        </is>
      </c>
      <c r="F117" s="42">
        <f>F107-F112</f>
        <v/>
      </c>
      <c r="G117" s="42">
        <f>G107-G112</f>
        <v/>
      </c>
      <c r="H117" s="42">
        <f>H107-H112</f>
        <v/>
      </c>
    </row>
    <row r="118">
      <c r="A118" s="41" t="inlineStr">
        <is>
          <t xml:space="preserve">  Net working capital – year 4</t>
        </is>
      </c>
      <c r="F118" s="42">
        <f>F108-F113</f>
        <v/>
      </c>
      <c r="G118" s="42">
        <f>G108-G113</f>
        <v/>
      </c>
      <c r="H118" s="42">
        <f>H108-H113</f>
        <v/>
      </c>
    </row>
    <row r="119">
      <c r="A119" s="41" t="inlineStr">
        <is>
          <t xml:space="preserve">  Net working capital – year 5</t>
        </is>
      </c>
      <c r="F119" s="42">
        <f>F109-F114</f>
        <v/>
      </c>
      <c r="G119" s="42">
        <f>G109-G114</f>
        <v/>
      </c>
      <c r="H119" s="42">
        <f>H109-H114</f>
        <v/>
      </c>
    </row>
    <row r="120">
      <c r="A120" s="41" t="inlineStr">
        <is>
          <t xml:space="preserve">  ΔNWC (prior yr − current yr) – year 1</t>
        </is>
      </c>
      <c r="F120" s="42">
        <f>1461096-F115</f>
        <v/>
      </c>
      <c r="G120" s="42">
        <f>1461096-G115</f>
        <v/>
      </c>
      <c r="H120" s="42">
        <f>1461096-H115</f>
        <v/>
      </c>
    </row>
    <row r="121">
      <c r="A121" s="41" t="inlineStr">
        <is>
          <t xml:space="preserve">  ΔNWC (prior yr − current yr) – year 2</t>
        </is>
      </c>
      <c r="F121" s="42">
        <f>F115-F116</f>
        <v/>
      </c>
      <c r="G121" s="42">
        <f>G115-G116</f>
        <v/>
      </c>
      <c r="H121" s="42">
        <f>H115-H116</f>
        <v/>
      </c>
    </row>
    <row r="122">
      <c r="A122" s="41" t="inlineStr">
        <is>
          <t xml:space="preserve">  ΔNWC (prior yr − current yr) – year 3</t>
        </is>
      </c>
      <c r="F122" s="42">
        <f>F116-F117</f>
        <v/>
      </c>
      <c r="G122" s="42">
        <f>G116-G117</f>
        <v/>
      </c>
      <c r="H122" s="42">
        <f>H116-H117</f>
        <v/>
      </c>
    </row>
    <row r="123">
      <c r="A123" s="41" t="inlineStr">
        <is>
          <t xml:space="preserve">  ΔNWC (prior yr − current yr) – year 4</t>
        </is>
      </c>
      <c r="F123" s="42">
        <f>F117-F118</f>
        <v/>
      </c>
      <c r="G123" s="42">
        <f>G117-G118</f>
        <v/>
      </c>
      <c r="H123" s="42">
        <f>H117-H118</f>
        <v/>
      </c>
    </row>
    <row r="124">
      <c r="A124" s="41" t="inlineStr">
        <is>
          <t xml:space="preserve">  ΔNWC (prior yr − current yr) – year 5</t>
        </is>
      </c>
      <c r="F124" s="42">
        <f>F118-F119</f>
        <v/>
      </c>
      <c r="G124" s="42">
        <f>G118-G119</f>
        <v/>
      </c>
      <c r="H124" s="42">
        <f>H118-H119</f>
        <v/>
      </c>
    </row>
    <row r="125">
      <c r="A125" s="41" t="inlineStr">
        <is>
          <t xml:space="preserve">  Unlevered FCF – year 1</t>
        </is>
      </c>
      <c r="F125" s="42">
        <f>F50+F55-F60+F120</f>
        <v/>
      </c>
      <c r="G125" s="42">
        <f>G50+G55-G60+G120</f>
        <v/>
      </c>
      <c r="H125" s="42">
        <f>H50+H55-H60+H120</f>
        <v/>
      </c>
    </row>
    <row r="126">
      <c r="A126" s="41" t="inlineStr">
        <is>
          <t xml:space="preserve">  Unlevered FCF – year 2</t>
        </is>
      </c>
      <c r="F126" s="42">
        <f>F51+F56-F61+F121</f>
        <v/>
      </c>
      <c r="G126" s="42">
        <f>G51+G56-G61+G121</f>
        <v/>
      </c>
      <c r="H126" s="42">
        <f>H51+H56-H61+H121</f>
        <v/>
      </c>
    </row>
    <row r="127">
      <c r="A127" s="41" t="inlineStr">
        <is>
          <t xml:space="preserve">  Unlevered FCF – year 3</t>
        </is>
      </c>
      <c r="F127" s="42">
        <f>F52+F57-F62+F122</f>
        <v/>
      </c>
      <c r="G127" s="42">
        <f>G52+G57-G62+G122</f>
        <v/>
      </c>
      <c r="H127" s="42">
        <f>H52+H57-H62+H122</f>
        <v/>
      </c>
    </row>
    <row r="128">
      <c r="A128" s="41" t="inlineStr">
        <is>
          <t xml:space="preserve">  Unlevered FCF – year 4</t>
        </is>
      </c>
      <c r="F128" s="42">
        <f>F53+F58-F63+F123</f>
        <v/>
      </c>
      <c r="G128" s="42">
        <f>G53+G58-G63+G123</f>
        <v/>
      </c>
      <c r="H128" s="42">
        <f>H53+H58-H63+H123</f>
        <v/>
      </c>
    </row>
    <row r="129">
      <c r="A129" s="41" t="inlineStr">
        <is>
          <t xml:space="preserve">  Unlevered FCF – year 5</t>
        </is>
      </c>
      <c r="F129" s="42">
        <f>F54+F59-F64+F124</f>
        <v/>
      </c>
      <c r="G129" s="42">
        <f>G54+G59-G64+G124</f>
        <v/>
      </c>
      <c r="H129" s="42">
        <f>H54+H59-H64+H124</f>
        <v/>
      </c>
    </row>
    <row r="131">
      <c r="A131" s="23" t="inlineStr">
        <is>
          <t>Enterprise value (DCF)</t>
        </is>
      </c>
      <c r="F131" s="25">
        <f>NPV(F9,F125,F126,F127,F128,F129)+(F129*(1+F10)/(F9-F10))/(1+F9)^5</f>
        <v/>
      </c>
      <c r="G131" s="25">
        <f>NPV(G9,G125,G126,G127,G128,G129)+(G129*(1+G10)/(G9-G10))/(1+G9)^5</f>
        <v/>
      </c>
      <c r="H131" s="25">
        <f>NPV(H9,H125,H126,H127,H128,H129)+(H129*(1+H10)/(H9-H10))/(1+H9)^5</f>
        <v/>
      </c>
    </row>
    <row r="132">
      <c r="A132" s="45" t="inlineStr">
        <is>
          <t>Implied share price</t>
        </is>
      </c>
      <c r="F132" s="46">
        <f>(F131+1807202-1798441)/111380</f>
        <v/>
      </c>
      <c r="G132" s="47">
        <f>(G131+1807202-1798441)/111380</f>
        <v/>
      </c>
      <c r="H132" s="46">
        <f>(H131+1807202-1798441)/111380</f>
        <v/>
      </c>
    </row>
    <row r="133">
      <c r="A133" s="23" t="inlineStr">
        <is>
          <t>Upside / (downside) vs current</t>
        </is>
      </c>
      <c r="F133" s="48">
        <f>F132/100.0-1</f>
        <v/>
      </c>
      <c r="G133" s="48">
        <f>G132/100.0-1</f>
        <v/>
      </c>
      <c r="H133" s="48">
        <f>H132/100.0-1</f>
        <v/>
      </c>
    </row>
    <row r="135">
      <c r="A135" s="26" t="inlineStr">
        <is>
          <t>Current price $100.00; cash $1,807,202 k; lease debt $1,798,441 k; funded debt $0; net cash $8,761 k.</t>
        </is>
      </c>
    </row>
    <row r="137">
      <c r="A137" s="14" t="inlineStr">
        <is>
          <t>Pitch deck bridge (IS / CFS / BS)</t>
        </is>
      </c>
    </row>
    <row r="138">
      <c r="A138" s="41" t="inlineStr">
        <is>
          <t xml:space="preserve">  Other income – year 1</t>
        </is>
      </c>
      <c r="F138" s="42" t="n">
        <v>45000</v>
      </c>
      <c r="G138" s="42" t="n">
        <v>45000</v>
      </c>
      <c r="H138" s="42" t="n">
        <v>45000</v>
      </c>
    </row>
    <row r="139">
      <c r="A139" s="41" t="inlineStr">
        <is>
          <t xml:space="preserve">  Other income – year 2</t>
        </is>
      </c>
      <c r="F139" s="42" t="n">
        <v>40000</v>
      </c>
      <c r="G139" s="42" t="n">
        <v>40000</v>
      </c>
      <c r="H139" s="42" t="n">
        <v>40000</v>
      </c>
    </row>
    <row r="140">
      <c r="A140" s="41" t="inlineStr">
        <is>
          <t xml:space="preserve">  Other income – year 3</t>
        </is>
      </c>
      <c r="F140" s="42" t="n">
        <v>35000</v>
      </c>
      <c r="G140" s="42" t="n">
        <v>35000</v>
      </c>
      <c r="H140" s="42" t="n">
        <v>35000</v>
      </c>
    </row>
    <row r="141">
      <c r="A141" s="41" t="inlineStr">
        <is>
          <t xml:space="preserve">  Other income – year 4</t>
        </is>
      </c>
      <c r="F141" s="42" t="n">
        <v>30000</v>
      </c>
      <c r="G141" s="42" t="n">
        <v>30000</v>
      </c>
      <c r="H141" s="42" t="n">
        <v>30000</v>
      </c>
    </row>
    <row r="142">
      <c r="A142" s="41" t="inlineStr">
        <is>
          <t xml:space="preserve">  Other income – year 5</t>
        </is>
      </c>
      <c r="F142" s="42" t="n">
        <v>25000</v>
      </c>
      <c r="G142" s="42" t="n">
        <v>25000</v>
      </c>
      <c r="H142" s="42" t="n">
        <v>25000</v>
      </c>
    </row>
    <row r="143">
      <c r="A143" s="41" t="inlineStr">
        <is>
          <t xml:space="preserve">  Net income – year 1</t>
        </is>
      </c>
      <c r="F143" s="42">
        <f>(F45+F138)*(1-F11)</f>
        <v/>
      </c>
      <c r="G143" s="42">
        <f>(G45+G138)*(1-G11)</f>
        <v/>
      </c>
      <c r="H143" s="42">
        <f>(H45+H138)*(1-H11)</f>
        <v/>
      </c>
    </row>
    <row r="144">
      <c r="A144" s="41" t="inlineStr">
        <is>
          <t xml:space="preserve">  Net income – year 2</t>
        </is>
      </c>
      <c r="F144" s="42">
        <f>(F46+F139)*(1-F11)</f>
        <v/>
      </c>
      <c r="G144" s="42">
        <f>(G46+G139)*(1-G11)</f>
        <v/>
      </c>
      <c r="H144" s="42">
        <f>(H46+H139)*(1-H11)</f>
        <v/>
      </c>
    </row>
    <row r="145">
      <c r="A145" s="41" t="inlineStr">
        <is>
          <t xml:space="preserve">  Net income – year 3</t>
        </is>
      </c>
      <c r="F145" s="42">
        <f>(F47+F140)*(1-F11)</f>
        <v/>
      </c>
      <c r="G145" s="42">
        <f>(G47+G140)*(1-G11)</f>
        <v/>
      </c>
      <c r="H145" s="42">
        <f>(H47+H140)*(1-H11)</f>
        <v/>
      </c>
    </row>
    <row r="146">
      <c r="A146" s="41" t="inlineStr">
        <is>
          <t xml:space="preserve">  Net income – year 4</t>
        </is>
      </c>
      <c r="F146" s="42">
        <f>(F48+F141)*(1-F11)</f>
        <v/>
      </c>
      <c r="G146" s="42">
        <f>(G48+G141)*(1-G11)</f>
        <v/>
      </c>
      <c r="H146" s="42">
        <f>(H48+H141)*(1-H11)</f>
        <v/>
      </c>
    </row>
    <row r="147">
      <c r="A147" s="41" t="inlineStr">
        <is>
          <t xml:space="preserve">  Net income – year 5</t>
        </is>
      </c>
      <c r="F147" s="42">
        <f>(F49+F142)*(1-F11)</f>
        <v/>
      </c>
      <c r="G147" s="42">
        <f>(G49+G142)*(1-G11)</f>
        <v/>
      </c>
      <c r="H147" s="42">
        <f>(H49+H142)*(1-H11)</f>
        <v/>
      </c>
    </row>
    <row r="148">
      <c r="A148" s="41" t="inlineStr">
        <is>
          <t xml:space="preserve">  Cash from operations – year 1</t>
        </is>
      </c>
      <c r="F148" s="42">
        <f>F143+F55+F120</f>
        <v/>
      </c>
      <c r="G148" s="42">
        <f>G143+G55+G120</f>
        <v/>
      </c>
      <c r="H148" s="42">
        <f>H143+H55+H120</f>
        <v/>
      </c>
    </row>
    <row r="149">
      <c r="A149" s="41" t="inlineStr">
        <is>
          <t xml:space="preserve">  Cash from operations – year 2</t>
        </is>
      </c>
      <c r="F149" s="42">
        <f>F144+F56+F121</f>
        <v/>
      </c>
      <c r="G149" s="42">
        <f>G144+G56+G121</f>
        <v/>
      </c>
      <c r="H149" s="42">
        <f>H144+H56+H121</f>
        <v/>
      </c>
    </row>
    <row r="150">
      <c r="A150" s="41" t="inlineStr">
        <is>
          <t xml:space="preserve">  Cash from operations – year 3</t>
        </is>
      </c>
      <c r="F150" s="42">
        <f>F145+F57+F122</f>
        <v/>
      </c>
      <c r="G150" s="42">
        <f>G145+G57+G122</f>
        <v/>
      </c>
      <c r="H150" s="42">
        <f>H145+H57+H122</f>
        <v/>
      </c>
    </row>
    <row r="151">
      <c r="A151" s="41" t="inlineStr">
        <is>
          <t xml:space="preserve">  Cash from operations – year 4</t>
        </is>
      </c>
      <c r="F151" s="42">
        <f>F146+F58+F123</f>
        <v/>
      </c>
      <c r="G151" s="42">
        <f>G146+G58+G123</f>
        <v/>
      </c>
      <c r="H151" s="42">
        <f>H146+H58+H123</f>
        <v/>
      </c>
    </row>
    <row r="152">
      <c r="A152" s="41" t="inlineStr">
        <is>
          <t xml:space="preserve">  Cash from operations – year 5</t>
        </is>
      </c>
      <c r="F152" s="42">
        <f>F147+F59+F124</f>
        <v/>
      </c>
      <c r="G152" s="42">
        <f>G147+G59+G124</f>
        <v/>
      </c>
      <c r="H152" s="42">
        <f>H147+H59+H124</f>
        <v/>
      </c>
    </row>
    <row r="153">
      <c r="A153" s="41" t="inlineStr">
        <is>
          <t xml:space="preserve">  Free cash flow (CFS) – year 1</t>
        </is>
      </c>
      <c r="F153" s="42">
        <f>F148-F60</f>
        <v/>
      </c>
      <c r="G153" s="42">
        <f>G148-G60</f>
        <v/>
      </c>
      <c r="H153" s="42">
        <f>H148-H60</f>
        <v/>
      </c>
    </row>
    <row r="154">
      <c r="A154" s="41" t="inlineStr">
        <is>
          <t xml:space="preserve">  Free cash flow (CFS) – year 2</t>
        </is>
      </c>
      <c r="F154" s="42">
        <f>F149-F61</f>
        <v/>
      </c>
      <c r="G154" s="42">
        <f>G149-G61</f>
        <v/>
      </c>
      <c r="H154" s="42">
        <f>H149-H61</f>
        <v/>
      </c>
    </row>
    <row r="155">
      <c r="A155" s="41" t="inlineStr">
        <is>
          <t xml:space="preserve">  Free cash flow (CFS) – year 3</t>
        </is>
      </c>
      <c r="F155" s="42">
        <f>F150-F62</f>
        <v/>
      </c>
      <c r="G155" s="42">
        <f>G150-G62</f>
        <v/>
      </c>
      <c r="H155" s="42">
        <f>H150-H62</f>
        <v/>
      </c>
    </row>
    <row r="156">
      <c r="A156" s="41" t="inlineStr">
        <is>
          <t xml:space="preserve">  Free cash flow (CFS) – year 4</t>
        </is>
      </c>
      <c r="F156" s="42">
        <f>F151-F63</f>
        <v/>
      </c>
      <c r="G156" s="42">
        <f>G151-G63</f>
        <v/>
      </c>
      <c r="H156" s="42">
        <f>H151-H63</f>
        <v/>
      </c>
    </row>
    <row r="157">
      <c r="A157" s="41" t="inlineStr">
        <is>
          <t xml:space="preserve">  Free cash flow (CFS) – year 5</t>
        </is>
      </c>
      <c r="F157" s="42">
        <f>F152-F64</f>
        <v/>
      </c>
      <c r="G157" s="42">
        <f>G152-G64</f>
        <v/>
      </c>
      <c r="H157" s="42">
        <f>H152-H64</f>
        <v/>
      </c>
    </row>
    <row r="158">
      <c r="A158" s="41" t="inlineStr">
        <is>
          <t xml:space="preserve">  Share repurchases – year 1</t>
        </is>
      </c>
      <c r="F158" s="42">
        <f>-F21</f>
        <v/>
      </c>
      <c r="G158" s="42">
        <f>-G21</f>
        <v/>
      </c>
      <c r="H158" s="42">
        <f>-ROUND(H22*H153,0)</f>
        <v/>
      </c>
    </row>
    <row r="159">
      <c r="A159" s="41" t="inlineStr">
        <is>
          <t xml:space="preserve">  Share repurchases – year 2</t>
        </is>
      </c>
      <c r="F159" s="42">
        <f>-F21</f>
        <v/>
      </c>
      <c r="G159" s="42">
        <f>-G21</f>
        <v/>
      </c>
      <c r="H159" s="42">
        <f>-ROUND(H22*H154,0)</f>
        <v/>
      </c>
    </row>
    <row r="160">
      <c r="A160" s="41" t="inlineStr">
        <is>
          <t xml:space="preserve">  Share repurchases – year 3</t>
        </is>
      </c>
      <c r="F160" s="42">
        <f>-F21</f>
        <v/>
      </c>
      <c r="G160" s="42">
        <f>-G21</f>
        <v/>
      </c>
      <c r="H160" s="42">
        <f>-ROUND(H22*H155,0)</f>
        <v/>
      </c>
    </row>
    <row r="161">
      <c r="A161" s="41" t="inlineStr">
        <is>
          <t xml:space="preserve">  Share repurchases – year 4</t>
        </is>
      </c>
      <c r="F161" s="42">
        <f>-F21</f>
        <v/>
      </c>
      <c r="G161" s="42">
        <f>-G21</f>
        <v/>
      </c>
      <c r="H161" s="42">
        <f>-ROUND(H22*H156,0)</f>
        <v/>
      </c>
    </row>
    <row r="162">
      <c r="A162" s="41" t="inlineStr">
        <is>
          <t xml:space="preserve">  Share repurchases – year 5</t>
        </is>
      </c>
      <c r="F162" s="42">
        <f>-F21</f>
        <v/>
      </c>
      <c r="G162" s="42">
        <f>-G21</f>
        <v/>
      </c>
      <c r="H162" s="42">
        <f>-ROUND(H22*H157,0)</f>
        <v/>
      </c>
    </row>
    <row r="163">
      <c r="A163" s="41" t="inlineStr">
        <is>
          <t xml:space="preserve">  Cash &amp; equivalents – year 1</t>
        </is>
      </c>
      <c r="F163" s="42">
        <f>1807202+F153+F158</f>
        <v/>
      </c>
      <c r="G163" s="42">
        <f>1807202+G153+G158</f>
        <v/>
      </c>
      <c r="H163" s="42">
        <f>1807202+H153+H158</f>
        <v/>
      </c>
    </row>
    <row r="164">
      <c r="A164" s="41" t="inlineStr">
        <is>
          <t xml:space="preserve">  Cash &amp; equivalents – year 2</t>
        </is>
      </c>
      <c r="F164" s="42">
        <f>F163+F154+F159</f>
        <v/>
      </c>
      <c r="G164" s="42">
        <f>G163+G154+G159</f>
        <v/>
      </c>
      <c r="H164" s="42">
        <f>H163+H154+H159</f>
        <v/>
      </c>
    </row>
    <row r="165">
      <c r="A165" s="41" t="inlineStr">
        <is>
          <t xml:space="preserve">  Cash &amp; equivalents – year 3</t>
        </is>
      </c>
      <c r="F165" s="42">
        <f>F164+F155+F160</f>
        <v/>
      </c>
      <c r="G165" s="42">
        <f>G164+G155+G160</f>
        <v/>
      </c>
      <c r="H165" s="42">
        <f>H164+H155+H160</f>
        <v/>
      </c>
    </row>
    <row r="166">
      <c r="A166" s="41" t="inlineStr">
        <is>
          <t xml:space="preserve">  Cash &amp; equivalents – year 4</t>
        </is>
      </c>
      <c r="F166" s="42">
        <f>F165+F156+F161</f>
        <v/>
      </c>
      <c r="G166" s="42">
        <f>G165+G156+G161</f>
        <v/>
      </c>
      <c r="H166" s="42">
        <f>H165+H156+H161</f>
        <v/>
      </c>
    </row>
    <row r="167">
      <c r="A167" s="41" t="inlineStr">
        <is>
          <t xml:space="preserve">  Cash &amp; equivalents – year 5</t>
        </is>
      </c>
      <c r="F167" s="42">
        <f>F166+F157+F162</f>
        <v/>
      </c>
      <c r="G167" s="42">
        <f>G166+G157+G162</f>
        <v/>
      </c>
      <c r="H167" s="42">
        <f>H166+H157+H162</f>
        <v/>
      </c>
    </row>
    <row r="168">
      <c r="A168" s="41" t="inlineStr">
        <is>
          <t xml:space="preserve">  Total assets – year 1</t>
        </is>
      </c>
      <c r="F168" s="42">
        <f>8456743*F25/11102600</f>
        <v/>
      </c>
      <c r="G168" s="42">
        <f>8456743*G25/11102600</f>
        <v/>
      </c>
      <c r="H168" s="42">
        <f>8456743*H25/11102600</f>
        <v/>
      </c>
    </row>
    <row r="169">
      <c r="A169" s="41" t="inlineStr">
        <is>
          <t xml:space="preserve">  Total assets – year 2</t>
        </is>
      </c>
      <c r="F169" s="42">
        <f>8456743*F26/11102600</f>
        <v/>
      </c>
      <c r="G169" s="42">
        <f>8456743*G26/11102600</f>
        <v/>
      </c>
      <c r="H169" s="42">
        <f>8456743*H26/11102600</f>
        <v/>
      </c>
    </row>
    <row r="170">
      <c r="A170" s="41" t="inlineStr">
        <is>
          <t xml:space="preserve">  Total assets – year 3</t>
        </is>
      </c>
      <c r="F170" s="42">
        <f>8456743*F27/11102600</f>
        <v/>
      </c>
      <c r="G170" s="42">
        <f>8456743*G27/11102600</f>
        <v/>
      </c>
      <c r="H170" s="42">
        <f>8456743*H27/11102600</f>
        <v/>
      </c>
    </row>
    <row r="171">
      <c r="A171" s="41" t="inlineStr">
        <is>
          <t xml:space="preserve">  Total assets – year 4</t>
        </is>
      </c>
      <c r="F171" s="42">
        <f>8456743*F28/11102600</f>
        <v/>
      </c>
      <c r="G171" s="42">
        <f>8456743*G28/11102600</f>
        <v/>
      </c>
      <c r="H171" s="42">
        <f>8456743*H28/11102600</f>
        <v/>
      </c>
    </row>
    <row r="172">
      <c r="A172" s="41" t="inlineStr">
        <is>
          <t xml:space="preserve">  Total assets – year 5</t>
        </is>
      </c>
      <c r="F172" s="42">
        <f>8456743*F29/11102600</f>
        <v/>
      </c>
      <c r="G172" s="42">
        <f>8456743*G29/11102600</f>
        <v/>
      </c>
      <c r="H172" s="42">
        <f>8456743*H29/11102600</f>
        <v/>
      </c>
    </row>
    <row r="173">
      <c r="A173" s="41" t="inlineStr">
        <is>
          <t xml:space="preserve">  Total liabilities – year 1</t>
        </is>
      </c>
      <c r="F173" s="42">
        <f>3494903*F25/11102600</f>
        <v/>
      </c>
      <c r="G173" s="42">
        <f>3494903*G25/11102600</f>
        <v/>
      </c>
      <c r="H173" s="42">
        <f>3494903*H25/11102600</f>
        <v/>
      </c>
    </row>
    <row r="174">
      <c r="A174" s="41" t="inlineStr">
        <is>
          <t xml:space="preserve">  Total liabilities – year 2</t>
        </is>
      </c>
      <c r="F174" s="42">
        <f>3494903*F26/11102600</f>
        <v/>
      </c>
      <c r="G174" s="42">
        <f>3494903*G26/11102600</f>
        <v/>
      </c>
      <c r="H174" s="42">
        <f>3494903*H26/11102600</f>
        <v/>
      </c>
    </row>
    <row r="175">
      <c r="A175" s="41" t="inlineStr">
        <is>
          <t xml:space="preserve">  Total liabilities – year 3</t>
        </is>
      </c>
      <c r="F175" s="42">
        <f>3494903*F27/11102600</f>
        <v/>
      </c>
      <c r="G175" s="42">
        <f>3494903*G27/11102600</f>
        <v/>
      </c>
      <c r="H175" s="42">
        <f>3494903*H27/11102600</f>
        <v/>
      </c>
    </row>
    <row r="176">
      <c r="A176" s="41" t="inlineStr">
        <is>
          <t xml:space="preserve">  Total liabilities – year 4</t>
        </is>
      </c>
      <c r="F176" s="42">
        <f>3494903*F28/11102600</f>
        <v/>
      </c>
      <c r="G176" s="42">
        <f>3494903*G28/11102600</f>
        <v/>
      </c>
      <c r="H176" s="42">
        <f>3494903*H28/11102600</f>
        <v/>
      </c>
    </row>
    <row r="177">
      <c r="A177" s="41" t="inlineStr">
        <is>
          <t xml:space="preserve">  Total liabilities – year 5</t>
        </is>
      </c>
      <c r="F177" s="42">
        <f>3494903*F29/11102600</f>
        <v/>
      </c>
      <c r="G177" s="42">
        <f>3494903*G29/11102600</f>
        <v/>
      </c>
      <c r="H177" s="42">
        <f>3494903*H29/11102600</f>
        <v/>
      </c>
    </row>
    <row r="178">
      <c r="A178" s="41" t="inlineStr">
        <is>
          <t xml:space="preserve">  Total equity – year 1</t>
        </is>
      </c>
      <c r="F178" s="42">
        <f>4961840*F25/11102600</f>
        <v/>
      </c>
      <c r="G178" s="42">
        <f>4961840*G25/11102600</f>
        <v/>
      </c>
      <c r="H178" s="42">
        <f>4961840*H25/11102600</f>
        <v/>
      </c>
    </row>
    <row r="179">
      <c r="A179" s="41" t="inlineStr">
        <is>
          <t xml:space="preserve">  Total equity – year 2</t>
        </is>
      </c>
      <c r="F179" s="42">
        <f>4961840*F26/11102600</f>
        <v/>
      </c>
      <c r="G179" s="42">
        <f>4961840*G26/11102600</f>
        <v/>
      </c>
      <c r="H179" s="42">
        <f>4961840*H26/11102600</f>
        <v/>
      </c>
    </row>
    <row r="180">
      <c r="A180" s="41" t="inlineStr">
        <is>
          <t xml:space="preserve">  Total equity – year 3</t>
        </is>
      </c>
      <c r="F180" s="42">
        <f>4961840*F27/11102600</f>
        <v/>
      </c>
      <c r="G180" s="42">
        <f>4961840*G27/11102600</f>
        <v/>
      </c>
      <c r="H180" s="42">
        <f>4961840*H27/11102600</f>
        <v/>
      </c>
    </row>
    <row r="181">
      <c r="A181" s="41" t="inlineStr">
        <is>
          <t xml:space="preserve">  Total equity – year 4</t>
        </is>
      </c>
      <c r="F181" s="42">
        <f>4961840*F28/11102600</f>
        <v/>
      </c>
      <c r="G181" s="42">
        <f>4961840*G28/11102600</f>
        <v/>
      </c>
      <c r="H181" s="42">
        <f>4961840*H28/11102600</f>
        <v/>
      </c>
    </row>
    <row r="182">
      <c r="A182" s="41" t="inlineStr">
        <is>
          <t xml:space="preserve">  Total equity – year 5</t>
        </is>
      </c>
      <c r="F182" s="42">
        <f>4961840*F29/11102600</f>
        <v/>
      </c>
      <c r="G182" s="42">
        <f>4961840*G29/11102600</f>
        <v/>
      </c>
      <c r="H182" s="42">
        <f>4961840*H29/11102600</f>
        <v/>
      </c>
    </row>
    <row r="183">
      <c r="A183" s="41" t="inlineStr">
        <is>
          <t xml:space="preserve">  Diluted shares (000) – year 1</t>
        </is>
      </c>
      <c r="F183" s="42">
        <f>119068-F21/100</f>
        <v/>
      </c>
      <c r="G183" s="42">
        <f>119068-G21/100</f>
        <v/>
      </c>
      <c r="H183" s="42">
        <f>119068-ROUND(H22*H153,0)/100</f>
        <v/>
      </c>
    </row>
    <row r="184">
      <c r="A184" s="41" t="inlineStr">
        <is>
          <t xml:space="preserve">  Diluted shares (000) – year 2</t>
        </is>
      </c>
      <c r="F184" s="42">
        <f>F183-F21/108</f>
        <v/>
      </c>
      <c r="G184" s="42">
        <f>G183-G21/108</f>
        <v/>
      </c>
      <c r="H184" s="42">
        <f>H183-ROUND(H22*H154,0)/108</f>
        <v/>
      </c>
    </row>
    <row r="185">
      <c r="A185" s="41" t="inlineStr">
        <is>
          <t xml:space="preserve">  Diluted shares (000) – year 3</t>
        </is>
      </c>
      <c r="F185" s="42">
        <f>F184-F21/115</f>
        <v/>
      </c>
      <c r="G185" s="42">
        <f>G184-G21/115</f>
        <v/>
      </c>
      <c r="H185" s="42">
        <f>H184-ROUND(H22*H155,0)/115</f>
        <v/>
      </c>
    </row>
    <row r="186">
      <c r="A186" s="41" t="inlineStr">
        <is>
          <t xml:space="preserve">  Diluted shares (000) – year 4</t>
        </is>
      </c>
      <c r="F186" s="42">
        <f>F185-F21/122</f>
        <v/>
      </c>
      <c r="G186" s="42">
        <f>G185-G21/122</f>
        <v/>
      </c>
      <c r="H186" s="42">
        <f>H185-ROUND(H22*H156,0)/122</f>
        <v/>
      </c>
    </row>
    <row r="187">
      <c r="A187" s="41" t="inlineStr">
        <is>
          <t xml:space="preserve">  Diluted shares (000) – year 5</t>
        </is>
      </c>
      <c r="F187" s="42">
        <f>F186-F21/130</f>
        <v/>
      </c>
      <c r="G187" s="42">
        <f>G186-G21/130</f>
        <v/>
      </c>
      <c r="H187" s="42">
        <f>H186-ROUND(H22*H157,0)/130</f>
        <v/>
      </c>
    </row>
    <row r="188">
      <c r="A188" s="41" t="inlineStr">
        <is>
          <t xml:space="preserve">  Diluted EPS ($) – year 1</t>
        </is>
      </c>
      <c r="F188" s="49">
        <f>F143/F183</f>
        <v/>
      </c>
      <c r="G188" s="49">
        <f>G143/G183</f>
        <v/>
      </c>
      <c r="H188" s="49">
        <f>H143/H183</f>
        <v/>
      </c>
    </row>
    <row r="189">
      <c r="A189" s="41" t="inlineStr">
        <is>
          <t xml:space="preserve">  Diluted EPS ($) – year 2</t>
        </is>
      </c>
      <c r="F189" s="49">
        <f>F144/F184</f>
        <v/>
      </c>
      <c r="G189" s="49">
        <f>G144/G184</f>
        <v/>
      </c>
      <c r="H189" s="49">
        <f>H144/H184</f>
        <v/>
      </c>
    </row>
    <row r="190">
      <c r="A190" s="41" t="inlineStr">
        <is>
          <t xml:space="preserve">  Diluted EPS ($) – year 3</t>
        </is>
      </c>
      <c r="F190" s="49">
        <f>F145/F185</f>
        <v/>
      </c>
      <c r="G190" s="49">
        <f>G145/G185</f>
        <v/>
      </c>
      <c r="H190" s="49">
        <f>H145/H185</f>
        <v/>
      </c>
    </row>
    <row r="191">
      <c r="A191" s="41" t="inlineStr">
        <is>
          <t xml:space="preserve">  Diluted EPS ($) – year 4</t>
        </is>
      </c>
      <c r="F191" s="49">
        <f>F146/F186</f>
        <v/>
      </c>
      <c r="G191" s="49">
        <f>G146/G186</f>
        <v/>
      </c>
      <c r="H191" s="49">
        <f>H146/H186</f>
        <v/>
      </c>
    </row>
    <row r="192">
      <c r="A192" s="41" t="inlineStr">
        <is>
          <t xml:space="preserve">  Diluted EPS ($) – year 5</t>
        </is>
      </c>
      <c r="F192" s="49">
        <f>F147/F187</f>
        <v/>
      </c>
      <c r="G192" s="49">
        <f>G147/G187</f>
        <v/>
      </c>
      <c r="H192" s="49">
        <f>H147/H187</f>
        <v/>
      </c>
    </row>
    <row r="193">
      <c r="A193" s="26" t="inlineStr">
        <is>
          <t xml:space="preserve">  memo: pitch deck pulls cols G (base) &amp; H (bull) from this block via pitch_values.py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ref="C9" location="'WACC'!E41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1"/>
    <pageSetUpPr/>
  </sheetPr>
  <dimension ref="A1:L59"/>
  <sheetViews>
    <sheetView showGridLines="0" showOutlineSymbols="1" workbookViewId="0">
      <pane xSplit="8" ySplit="4" topLeftCell="I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40" customWidth="1" min="9" max="9"/>
    <col hidden="1" outlineLevel="1" width="28" customWidth="1" min="10" max="10"/>
    <col hidden="1" outlineLevel="1" width="16" customWidth="1" min="11" max="11"/>
    <col width="36" customWidth="1" min="12" max="12"/>
  </cols>
  <sheetData>
    <row r="1">
      <c r="A1" s="50" t="inlineStr">
        <is>
          <t>BOTTOM-UP REVENUE DRIVER SCHEDULE (FY2026E–FY2030E)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</row>
    <row r="2">
      <c r="A2" s="26" t="inlineStr">
        <is>
          <t>FY2025A = Firecrawl-ingested 10-K anchors (blue). FY26–30 = red operational assumptions. Consolidated revenue cross-checks to Scenarios base case.</t>
        </is>
      </c>
    </row>
    <row r="3">
      <c r="I3" s="51" t="inlineStr">
        <is>
          <t>Equation (every formula row)</t>
        </is>
      </c>
      <c r="J3" s="51" t="inlineStr">
        <is>
          <t>Justification (~20 words)</t>
        </is>
      </c>
      <c r="K3" s="51" t="inlineStr">
        <is>
          <t>Source (click)</t>
        </is>
      </c>
      <c r="L3" s="51" t="inlineStr">
        <is>
          <t>Ctrl+F (prove number)</t>
        </is>
      </c>
    </row>
    <row r="4">
      <c r="A4" s="52" t="inlineStr">
        <is>
          <t>I. STORE FLEET &amp; SQUARE FOOTAGE (company-operated)</t>
        </is>
      </c>
    </row>
    <row r="5">
      <c r="A5" s="53" t="inlineStr">
        <is>
          <t>Driver</t>
        </is>
      </c>
      <c r="B5" s="54" t="inlineStr">
        <is>
          <t>FY2025A</t>
        </is>
      </c>
      <c r="C5" s="55" t="inlineStr">
        <is>
          <t>FY2026E</t>
        </is>
      </c>
      <c r="D5" s="54" t="inlineStr">
        <is>
          <t>FY2027E</t>
        </is>
      </c>
      <c r="E5" s="54" t="inlineStr">
        <is>
          <t>FY2028E</t>
        </is>
      </c>
      <c r="F5" s="54" t="inlineStr">
        <is>
          <t>FY2029E</t>
        </is>
      </c>
      <c r="G5" s="54" t="inlineStr">
        <is>
          <t>FY2030E</t>
        </is>
      </c>
      <c r="H5" s="54" t="inlineStr">
        <is>
          <t>Units</t>
        </is>
      </c>
      <c r="I5" s="55" t="inlineStr">
        <is>
          <t>Equation</t>
        </is>
      </c>
      <c r="J5" s="56" t="inlineStr">
        <is>
          <t>Justification  [cols I–L: click + to expand]</t>
        </is>
      </c>
      <c r="K5" s="56" t="inlineStr">
        <is>
          <t>Source</t>
        </is>
      </c>
      <c r="L5" s="56" t="inlineStr">
        <is>
          <t>Ctrl+F</t>
        </is>
      </c>
    </row>
    <row r="6" ht="28" customHeight="1">
      <c r="A6" s="41" t="inlineStr">
        <is>
          <t xml:space="preserve">  Americas — beginning stores</t>
        </is>
      </c>
      <c r="B6" s="57" t="n">
        <v>462</v>
      </c>
      <c r="C6" s="42">
        <f>B9</f>
        <v/>
      </c>
      <c r="D6" s="42">
        <f>C9</f>
        <v/>
      </c>
      <c r="E6" s="42">
        <f>D9</f>
        <v/>
      </c>
      <c r="F6" s="42">
        <f>E9</f>
        <v/>
      </c>
      <c r="G6" s="42">
        <f>F9</f>
        <v/>
      </c>
      <c r="H6" s="58" t="inlineStr">
        <is>
          <t>stores</t>
        </is>
      </c>
      <c r="I6" s="59" t="inlineStr">
        <is>
          <t>prior-year ending stores. Same count, new column; that's where the year starts.</t>
        </is>
      </c>
      <c r="J6" s="17" t="inlineStr">
        <is>
          <t>Beginning stores = last year's ending count. Same number, just carried forward into the new fiscal year.</t>
        </is>
      </c>
      <c r="K6" s="24" t="inlineStr">
        <is>
          <t>Revenue Drivers: beginning-stores formula</t>
        </is>
      </c>
    </row>
    <row r="7" ht="28" customHeight="1">
      <c r="A7" s="41" t="inlineStr">
        <is>
          <t xml:space="preserve">  Americas — openings</t>
        </is>
      </c>
      <c r="C7" s="60" t="n">
        <v>8</v>
      </c>
      <c r="D7" s="60" t="n">
        <v>7</v>
      </c>
      <c r="E7" s="60" t="n">
        <v>6</v>
      </c>
      <c r="F7" s="60" t="n">
        <v>5</v>
      </c>
      <c r="G7" s="60" t="n">
        <v>4</v>
      </c>
      <c r="H7" s="58" t="inlineStr">
        <is>
          <t>stores</t>
        </is>
      </c>
      <c r="J7" s="17" t="inlineStr">
        <is>
          <t>Store openings skew to China (+20 FY26) vs mature Americas (+8). Anchored to FY25 +44 net stores and 11% sq-ft growth.</t>
        </is>
      </c>
      <c r="K7" s="18" t="inlineStr">
        <is>
          <t>FY2025 10-K: store count &amp; expansion</t>
        </is>
      </c>
      <c r="L7" s="19" t="inlineStr">
        <is>
          <t>Ctrl+F "Total company-operated stores" → 811 (FY25). FY25 added 44 net stores; model skews openings to China.</t>
        </is>
      </c>
    </row>
    <row r="8" ht="28" customHeight="1">
      <c r="A8" s="41" t="inlineStr">
        <is>
          <t xml:space="preserve">  Americas — closures</t>
        </is>
      </c>
      <c r="C8" s="60" t="n">
        <v>3</v>
      </c>
      <c r="D8" s="60" t="n">
        <v>3</v>
      </c>
      <c r="E8" s="60" t="n">
        <v>2</v>
      </c>
      <c r="F8" s="60" t="n">
        <v>2</v>
      </c>
      <c r="G8" s="60" t="n">
        <v>2</v>
      </c>
      <c r="H8" s="58" t="inlineStr">
        <is>
          <t>stores</t>
        </is>
      </c>
      <c r="J8" s="17" t="inlineStr">
        <is>
          <t>Closures assume 2–3 per mature region annually as leases roll; immaterial vs openings in expansion markets.</t>
        </is>
      </c>
      <c r="K8" s="18" t="inlineStr">
        <is>
          <t>FY2025 10-K: lease renewal / fleet</t>
        </is>
      </c>
      <c r="L8" s="19" t="inlineStr">
        <is>
          <t>Ctrl+F "lease" / store fleet; immaterial closures vs expansion; 2–3 per mature region.</t>
        </is>
      </c>
    </row>
    <row r="9" ht="28" customHeight="1">
      <c r="A9" s="61" t="inlineStr">
        <is>
          <t xml:space="preserve">  Americas — ending stores</t>
        </is>
      </c>
      <c r="B9" s="57" t="n">
        <v>476</v>
      </c>
      <c r="C9" s="62">
        <f>C6+C7-C8</f>
        <v/>
      </c>
      <c r="D9" s="62">
        <f>D6+D7-D8</f>
        <v/>
      </c>
      <c r="E9" s="62">
        <f>E6+E7-E8</f>
        <v/>
      </c>
      <c r="F9" s="62">
        <f>F6+F7-F8</f>
        <v/>
      </c>
      <c r="G9" s="62">
        <f>G6+G7-G8</f>
        <v/>
      </c>
      <c r="H9" s="58" t="inlineStr">
        <is>
          <t>stores</t>
        </is>
      </c>
      <c r="I9" s="59" t="inlineStr">
        <is>
          <t>beginning stores + openings − closures. Roll-forward; nothing fancy, just how many doors you end with.</t>
        </is>
      </c>
      <c r="J9" s="17" t="inlineStr">
        <is>
          <t>Simple roll-forward: where you started, plus openings, minus closures. That's your ending store count for the year.</t>
        </is>
      </c>
      <c r="K9" s="24" t="inlineStr">
        <is>
          <t>Revenue Drivers: ending-stores formula</t>
        </is>
      </c>
    </row>
    <row r="10" ht="28" customHeight="1">
      <c r="A10" s="41" t="inlineStr">
        <is>
          <t xml:space="preserve">  China Mainland — beginning stores</t>
        </is>
      </c>
      <c r="B10" s="57" t="n">
        <v>151</v>
      </c>
      <c r="C10" s="42">
        <f>B13</f>
        <v/>
      </c>
      <c r="D10" s="42">
        <f>C13</f>
        <v/>
      </c>
      <c r="E10" s="42">
        <f>D13</f>
        <v/>
      </c>
      <c r="F10" s="42">
        <f>E13</f>
        <v/>
      </c>
      <c r="G10" s="42">
        <f>F13</f>
        <v/>
      </c>
      <c r="H10" s="58" t="inlineStr">
        <is>
          <t>stores</t>
        </is>
      </c>
      <c r="I10" s="59" t="inlineStr">
        <is>
          <t>prior-year ending stores. Same count, new column; that's where the year starts.</t>
        </is>
      </c>
      <c r="J10" s="17" t="inlineStr">
        <is>
          <t>Beginning stores = last year's ending count. Same number, just carried forward into the new fiscal year.</t>
        </is>
      </c>
      <c r="K10" s="24" t="inlineStr">
        <is>
          <t>Revenue Drivers: beginning-stores formula</t>
        </is>
      </c>
    </row>
    <row r="11" ht="28" customHeight="1">
      <c r="A11" s="41" t="inlineStr">
        <is>
          <t xml:space="preserve">  China Mainland — openings</t>
        </is>
      </c>
      <c r="C11" s="60" t="n">
        <v>20</v>
      </c>
      <c r="D11" s="60" t="n">
        <v>18</v>
      </c>
      <c r="E11" s="60" t="n">
        <v>16</v>
      </c>
      <c r="F11" s="60" t="n">
        <v>14</v>
      </c>
      <c r="G11" s="60" t="n">
        <v>12</v>
      </c>
      <c r="H11" s="58" t="inlineStr">
        <is>
          <t>stores</t>
        </is>
      </c>
      <c r="J11" s="17" t="inlineStr">
        <is>
          <t>Store openings skew to China (+20 FY26) vs mature Americas (+8). Anchored to FY25 +44 net stores and 11% sq-ft growth.</t>
        </is>
      </c>
      <c r="K11" s="18" t="inlineStr">
        <is>
          <t>FY2025 10-K: store count &amp; expansion</t>
        </is>
      </c>
      <c r="L11" s="19" t="inlineStr">
        <is>
          <t>Ctrl+F "Total company-operated stores" → 811 (FY25). FY25 added 44 net stores; model skews openings to China.</t>
        </is>
      </c>
    </row>
    <row r="12" ht="28" customHeight="1">
      <c r="A12" s="41" t="inlineStr">
        <is>
          <t xml:space="preserve">  China Mainland — closures</t>
        </is>
      </c>
      <c r="C12" s="60" t="n">
        <v>1</v>
      </c>
      <c r="D12" s="60" t="n">
        <v>1</v>
      </c>
      <c r="E12" s="60" t="n">
        <v>1</v>
      </c>
      <c r="F12" s="60" t="n">
        <v>1</v>
      </c>
      <c r="G12" s="60" t="n">
        <v>1</v>
      </c>
      <c r="H12" s="58" t="inlineStr">
        <is>
          <t>stores</t>
        </is>
      </c>
      <c r="J12" s="17" t="inlineStr">
        <is>
          <t>Closures assume 2–3 per mature region annually as leases roll; immaterial vs openings in expansion markets.</t>
        </is>
      </c>
      <c r="K12" s="18" t="inlineStr">
        <is>
          <t>FY2025 10-K: lease renewal / fleet</t>
        </is>
      </c>
      <c r="L12" s="19" t="inlineStr">
        <is>
          <t>Ctrl+F "lease" / store fleet; immaterial closures vs expansion; 2–3 per mature region.</t>
        </is>
      </c>
    </row>
    <row r="13" ht="28" customHeight="1">
      <c r="A13" s="61" t="inlineStr">
        <is>
          <t xml:space="preserve">  China Mainland — ending stores</t>
        </is>
      </c>
      <c r="B13" s="57" t="n">
        <v>172</v>
      </c>
      <c r="C13" s="62">
        <f>C10+C11-C12</f>
        <v/>
      </c>
      <c r="D13" s="62">
        <f>D10+D11-D12</f>
        <v/>
      </c>
      <c r="E13" s="62">
        <f>E10+E11-E12</f>
        <v/>
      </c>
      <c r="F13" s="62">
        <f>F10+F11-F12</f>
        <v/>
      </c>
      <c r="G13" s="62">
        <f>G10+G11-G12</f>
        <v/>
      </c>
      <c r="H13" s="58" t="inlineStr">
        <is>
          <t>stores</t>
        </is>
      </c>
      <c r="I13" s="59" t="inlineStr">
        <is>
          <t>beginning stores + openings − closures. Roll-forward; nothing fancy, just how many doors you end with.</t>
        </is>
      </c>
      <c r="J13" s="17" t="inlineStr">
        <is>
          <t>Simple roll-forward: where you started, plus openings, minus closures. That's your ending store count for the year.</t>
        </is>
      </c>
      <c r="K13" s="24" t="inlineStr">
        <is>
          <t>Revenue Drivers: ending-stores formula</t>
        </is>
      </c>
    </row>
    <row r="14" ht="28" customHeight="1">
      <c r="A14" s="41" t="inlineStr">
        <is>
          <t xml:space="preserve">  Rest of World — beginning stores</t>
        </is>
      </c>
      <c r="B14" s="57" t="n">
        <v>154</v>
      </c>
      <c r="C14" s="42">
        <f>B17</f>
        <v/>
      </c>
      <c r="D14" s="42">
        <f>C17</f>
        <v/>
      </c>
      <c r="E14" s="42">
        <f>D17</f>
        <v/>
      </c>
      <c r="F14" s="42">
        <f>E17</f>
        <v/>
      </c>
      <c r="G14" s="42">
        <f>F17</f>
        <v/>
      </c>
      <c r="H14" s="58" t="inlineStr">
        <is>
          <t>stores</t>
        </is>
      </c>
      <c r="I14" s="59" t="inlineStr">
        <is>
          <t>prior-year ending stores. Same count, new column; that's where the year starts.</t>
        </is>
      </c>
      <c r="J14" s="17" t="inlineStr">
        <is>
          <t>Beginning stores = last year's ending count. Same number, just carried forward into the new fiscal year.</t>
        </is>
      </c>
      <c r="K14" s="24" t="inlineStr">
        <is>
          <t>Revenue Drivers: beginning-stores formula</t>
        </is>
      </c>
    </row>
    <row r="15" ht="28" customHeight="1">
      <c r="A15" s="41" t="inlineStr">
        <is>
          <t xml:space="preserve">  Rest of World — openings</t>
        </is>
      </c>
      <c r="C15" s="60" t="n">
        <v>7</v>
      </c>
      <c r="D15" s="60" t="n">
        <v>6</v>
      </c>
      <c r="E15" s="60" t="n">
        <v>5</v>
      </c>
      <c r="F15" s="60" t="n">
        <v>5</v>
      </c>
      <c r="G15" s="60" t="n">
        <v>4</v>
      </c>
      <c r="H15" s="58" t="inlineStr">
        <is>
          <t>stores</t>
        </is>
      </c>
      <c r="J15" s="17" t="inlineStr">
        <is>
          <t>Store openings skew to China (+20 FY26) vs mature Americas (+8). Anchored to FY25 +44 net stores and 11% sq-ft growth.</t>
        </is>
      </c>
      <c r="K15" s="18" t="inlineStr">
        <is>
          <t>FY2025 10-K: store count &amp; expansion</t>
        </is>
      </c>
      <c r="L15" s="19" t="inlineStr">
        <is>
          <t>Ctrl+F "Total company-operated stores" → 811 (FY25). FY25 added 44 net stores; model skews openings to China.</t>
        </is>
      </c>
    </row>
    <row r="16" ht="28" customHeight="1">
      <c r="A16" s="41" t="inlineStr">
        <is>
          <t xml:space="preserve">  Rest of World — closures</t>
        </is>
      </c>
      <c r="C16" s="60" t="n">
        <v>2</v>
      </c>
      <c r="D16" s="60" t="n">
        <v>2</v>
      </c>
      <c r="E16" s="60" t="n">
        <v>2</v>
      </c>
      <c r="F16" s="60" t="n">
        <v>2</v>
      </c>
      <c r="G16" s="60" t="n">
        <v>2</v>
      </c>
      <c r="H16" s="58" t="inlineStr">
        <is>
          <t>stores</t>
        </is>
      </c>
      <c r="J16" s="17" t="inlineStr">
        <is>
          <t>Closures assume 2–3 per mature region annually as leases roll; immaterial vs openings in expansion markets.</t>
        </is>
      </c>
      <c r="K16" s="18" t="inlineStr">
        <is>
          <t>FY2025 10-K: lease renewal / fleet</t>
        </is>
      </c>
      <c r="L16" s="19" t="inlineStr">
        <is>
          <t>Ctrl+F "lease" / store fleet; immaterial closures vs expansion; 2–3 per mature region.</t>
        </is>
      </c>
    </row>
    <row r="17" ht="28" customHeight="1">
      <c r="A17" s="61" t="inlineStr">
        <is>
          <t xml:space="preserve">  Rest of World — ending stores</t>
        </is>
      </c>
      <c r="B17" s="57" t="n">
        <v>163</v>
      </c>
      <c r="C17" s="62">
        <f>C14+C15-C16</f>
        <v/>
      </c>
      <c r="D17" s="62">
        <f>D14+D15-D16</f>
        <v/>
      </c>
      <c r="E17" s="62">
        <f>E14+E15-E16</f>
        <v/>
      </c>
      <c r="F17" s="62">
        <f>F14+F15-F16</f>
        <v/>
      </c>
      <c r="G17" s="62">
        <f>G14+G15-G16</f>
        <v/>
      </c>
      <c r="H17" s="58" t="inlineStr">
        <is>
          <t>stores</t>
        </is>
      </c>
      <c r="I17" s="59" t="inlineStr">
        <is>
          <t>beginning stores + openings − closures. Roll-forward; nothing fancy, just how many doors you end with.</t>
        </is>
      </c>
      <c r="J17" s="17" t="inlineStr">
        <is>
          <t>Simple roll-forward: where you started, plus openings, minus closures. That's your ending store count for the year.</t>
        </is>
      </c>
      <c r="K17" s="24" t="inlineStr">
        <is>
          <t>Revenue Drivers: ending-stores formula</t>
        </is>
      </c>
    </row>
    <row r="18" ht="28" customHeight="1">
      <c r="A18" s="61" t="inlineStr">
        <is>
          <t>Total ending stores</t>
        </is>
      </c>
      <c r="B18" s="63" t="n">
        <v>811</v>
      </c>
      <c r="C18" s="62">
        <f>C9+C13+C17</f>
        <v/>
      </c>
      <c r="D18" s="62">
        <f>D9+D13+D17</f>
        <v/>
      </c>
      <c r="E18" s="62">
        <f>E9+E13+E17</f>
        <v/>
      </c>
      <c r="F18" s="62">
        <f>F9+F13+F17</f>
        <v/>
      </c>
      <c r="G18" s="62">
        <f>G9+G13+G17</f>
        <v/>
      </c>
      <c r="I18" s="59" t="inlineStr">
        <is>
          <t>Americas ending + China ending + RoW ending. Should foot to total company-operated stores.</t>
        </is>
      </c>
      <c r="J18" s="17" t="inlineStr">
        <is>
          <t>Add up Americas + China + RoW ending stores. Should tie to the 10-K total company-operated count.</t>
        </is>
      </c>
      <c r="K18" s="24" t="inlineStr">
        <is>
          <t>Revenue Drivers: total-stores formula</t>
        </is>
      </c>
    </row>
    <row r="19" ht="28" customHeight="1">
      <c r="A19" s="41" t="inlineStr">
        <is>
          <t>Avg square feet per store</t>
        </is>
      </c>
      <c r="B19" s="60" t="n">
        <v>4366</v>
      </c>
      <c r="C19" s="60" t="n">
        <v>4400</v>
      </c>
      <c r="D19" s="60" t="n">
        <v>4425</v>
      </c>
      <c r="E19" s="60" t="n">
        <v>4450</v>
      </c>
      <c r="F19" s="60" t="n">
        <v>4475</v>
      </c>
      <c r="G19" s="60" t="n">
        <v>4500</v>
      </c>
      <c r="H19" s="58" t="inlineStr">
        <is>
          <t>sq ft</t>
        </is>
      </c>
      <c r="J19" s="17" t="inlineStr">
        <is>
          <t>4,367 avg sq ft/store = implied FY25 total sq ft / 811 stores. Modest expansion to 4,500 by FY30.</t>
        </is>
      </c>
      <c r="K19" s="18" t="inlineStr">
        <is>
          <t>FY2025 10-K: sales per square foot</t>
        </is>
      </c>
      <c r="L19" s="19" t="inlineStr">
        <is>
          <t>Ctrl+F "sales per square foot were $1,426" → implied 3.54M sq ft / 811 stores ≈ 4,367 sq ft.</t>
        </is>
      </c>
    </row>
    <row r="20" ht="28" customHeight="1">
      <c r="A20" s="41" t="inlineStr">
        <is>
          <t>Total square footage (end stores × avg sq ft)</t>
        </is>
      </c>
      <c r="B20" s="42">
        <f>B18*B19</f>
        <v/>
      </c>
      <c r="C20" s="42">
        <f>C18*C19</f>
        <v/>
      </c>
      <c r="D20" s="42">
        <f>D18*D19</f>
        <v/>
      </c>
      <c r="E20" s="42">
        <f>E18*E19</f>
        <v/>
      </c>
      <c r="F20" s="42">
        <f>F18*F19</f>
        <v/>
      </c>
      <c r="G20" s="42">
        <f>G18*G19</f>
        <v/>
      </c>
      <c r="H20" s="58" t="inlineStr">
        <is>
          <t>sq ft</t>
        </is>
      </c>
      <c r="I20" s="59" t="inlineStr">
        <is>
          <t>total ending stores × avg sq ft per store. Fleet size in square feet for the productivity lines.</t>
        </is>
      </c>
      <c r="J20" s="17" t="inlineStr">
        <is>
          <t>Ending stores times avg sq ft per box. Gives you total fleet square footage for the productivity math.</t>
        </is>
      </c>
      <c r="K20" s="24" t="inlineStr">
        <is>
          <t>Revenue Drivers: total-sqft formula</t>
        </is>
      </c>
    </row>
    <row r="22">
      <c r="A22" s="52" t="inlineStr">
        <is>
          <t>II. STORE PRODUCTIVITY (brick &amp; mortar channel)</t>
        </is>
      </c>
    </row>
    <row r="23">
      <c r="A23" s="53" t="inlineStr">
        <is>
          <t>Driver</t>
        </is>
      </c>
      <c r="B23" s="54" t="inlineStr">
        <is>
          <t>FY2025A</t>
        </is>
      </c>
      <c r="C23" s="55" t="inlineStr">
        <is>
          <t>FY2026E</t>
        </is>
      </c>
      <c r="D23" s="54" t="inlineStr">
        <is>
          <t>FY2027E</t>
        </is>
      </c>
      <c r="E23" s="54" t="inlineStr">
        <is>
          <t>FY2028E</t>
        </is>
      </c>
      <c r="F23" s="54" t="inlineStr">
        <is>
          <t>FY2029E</t>
        </is>
      </c>
      <c r="G23" s="54" t="inlineStr">
        <is>
          <t>FY2030E</t>
        </is>
      </c>
      <c r="H23" s="54" t="inlineStr">
        <is>
          <t>Units</t>
        </is>
      </c>
      <c r="I23" s="55" t="inlineStr">
        <is>
          <t>Equation</t>
        </is>
      </c>
      <c r="J23" s="56" t="inlineStr">
        <is>
          <t>Justification  [cols I–L: click + to expand]</t>
        </is>
      </c>
      <c r="K23" s="56" t="inlineStr">
        <is>
          <t>Source</t>
        </is>
      </c>
      <c r="L23" s="56" t="inlineStr">
        <is>
          <t>Ctrl+F</t>
        </is>
      </c>
    </row>
    <row r="24" ht="28" customHeight="1">
      <c r="A24" s="41" t="inlineStr">
        <is>
          <t>Sales per square foot ($)</t>
        </is>
      </c>
      <c r="B24" s="60" t="n">
        <v>1426</v>
      </c>
      <c r="C24" s="60" t="n">
        <v>1360</v>
      </c>
      <c r="D24" s="60" t="n">
        <v>1380</v>
      </c>
      <c r="E24" s="60" t="n">
        <v>1400</v>
      </c>
      <c r="F24" s="60" t="n">
        <v>1420</v>
      </c>
      <c r="G24" s="60" t="n">
        <v>1440</v>
      </c>
      <c r="H24" s="58" t="inlineStr">
        <is>
          <t>$/sq ft</t>
        </is>
      </c>
      <c r="J24" s="17" t="inlineStr">
        <is>
          <t>FY26 SPSF $1,380 reflects Americas traffic/conversion pressure; recovers toward $1,440 by FY30.</t>
        </is>
      </c>
      <c r="K24" s="18" t="inlineStr">
        <is>
          <t>FY2025 10-K: comparable sales &amp; SPSF</t>
        </is>
      </c>
      <c r="L24" s="19" t="inlineStr">
        <is>
          <t>Ctrl+F "sales per square foot were $1,426" → FY25 reported $1,426; FY26 model $1,380 on traffic pressure.</t>
        </is>
      </c>
    </row>
    <row r="25" ht="28" customHeight="1">
      <c r="A25" s="41" t="inlineStr">
        <is>
          <t xml:space="preserve">  Americas — comparable sales growth</t>
        </is>
      </c>
      <c r="B25" s="64" t="n">
        <v>-0.03</v>
      </c>
      <c r="C25" s="64" t="n">
        <v>-0.04</v>
      </c>
      <c r="D25" s="64" t="n">
        <v>0</v>
      </c>
      <c r="E25" s="64" t="n">
        <v>0.01</v>
      </c>
      <c r="F25" s="64" t="n">
        <v>0.02</v>
      </c>
      <c r="G25" s="64" t="n">
        <v>0.02</v>
      </c>
      <c r="H25" s="58" t="inlineStr">
        <is>
          <t>%</t>
        </is>
      </c>
      <c r="J25" s="17" t="inlineStr">
        <is>
          <t>FY25 Americas comp −3% per 10-K (traffic, conversion, AOV down). FY26 −4%: modest step-down before flat FY27 as promo clears.</t>
        </is>
      </c>
      <c r="K25" s="18" t="inlineStr">
        <is>
          <t>FY2025 10-K: Americas comparable sales</t>
        </is>
      </c>
      <c r="L25" s="19" t="inlineStr">
        <is>
          <t>Ctrl+F "Americas comparable sales decreased 3%" → FY25 anchor. FY26 model −4% before stabilization.</t>
        </is>
      </c>
    </row>
    <row r="26" ht="28" customHeight="1">
      <c r="A26" s="41" t="inlineStr">
        <is>
          <t xml:space="preserve">  China Mainland — comparable sales growth</t>
        </is>
      </c>
      <c r="B26" s="64" t="n">
        <v>0.2</v>
      </c>
      <c r="C26" s="64" t="n">
        <v>0.14</v>
      </c>
      <c r="D26" s="64" t="n">
        <v>0.12</v>
      </c>
      <c r="E26" s="64" t="n">
        <v>0.1</v>
      </c>
      <c r="F26" s="64" t="n">
        <v>0.08</v>
      </c>
      <c r="G26" s="64" t="n">
        <v>0.07000000000000001</v>
      </c>
      <c r="H26" s="58" t="inlineStr">
        <is>
          <t>%</t>
        </is>
      </c>
      <c r="J26" s="17" t="inlineStr">
        <is>
          <t>FY25 China comp +20% (+19% CCY) per 10-K. FY26 +14%: still fastest region but moderating as the store base scales.</t>
        </is>
      </c>
      <c r="K26" s="18" t="inlineStr">
        <is>
          <t>FY2025 10-K: China Mainland comparable sales</t>
        </is>
      </c>
      <c r="L26" s="19" t="inlineStr">
        <is>
          <t>Ctrl+F "China Mainland comparable sales increased 20%" → FY25 anchor. FY26 model +14% on a larger base.</t>
        </is>
      </c>
    </row>
    <row r="27" ht="28" customHeight="1">
      <c r="A27" s="41" t="inlineStr">
        <is>
          <t xml:space="preserve">  Rest of World — comparable sales growth</t>
        </is>
      </c>
      <c r="B27" s="64" t="n">
        <v>0.09</v>
      </c>
      <c r="C27" s="64" t="n">
        <v>0.07000000000000001</v>
      </c>
      <c r="D27" s="64" t="n">
        <v>0.06</v>
      </c>
      <c r="E27" s="64" t="n">
        <v>0.05</v>
      </c>
      <c r="F27" s="64" t="n">
        <v>0.04</v>
      </c>
      <c r="G27" s="64" t="n">
        <v>0.04</v>
      </c>
      <c r="H27" s="58" t="inlineStr">
        <is>
          <t>%</t>
        </is>
      </c>
      <c r="J27" s="17" t="inlineStr">
        <is>
          <t>FY25 RoW comp +9% (+7% CCY) per 10-K. FY26 +7%: hold above CCY, fade to +4% by FY30 as APAC/Europe base matures.</t>
        </is>
      </c>
      <c r="K27" s="18" t="inlineStr">
        <is>
          <t>FY2025 10-K: Rest of World comparable sales</t>
        </is>
      </c>
      <c r="L27" s="19" t="inlineStr">
        <is>
          <t>Ctrl+F "Rest of World comparable sales increased 9%" → FY25 +9% (+7% CCY). FY26 model +7%, fading to +4%.</t>
        </is>
      </c>
    </row>
    <row r="28" ht="28" customHeight="1">
      <c r="A28" s="41" t="inlineStr">
        <is>
          <t>Prior-year store channel revenue ($000)</t>
        </is>
      </c>
      <c r="B28" s="65" t="n">
        <v>5049744</v>
      </c>
      <c r="C28" s="42">
        <f>B31</f>
        <v/>
      </c>
      <c r="D28" s="42">
        <f>C31</f>
        <v/>
      </c>
      <c r="E28" s="42">
        <f>D31</f>
        <v/>
      </c>
      <c r="F28" s="42">
        <f>E31</f>
        <v/>
      </c>
      <c r="G28" s="42">
        <f>F31</f>
        <v/>
      </c>
      <c r="H28" s="58" t="inlineStr">
        <is>
          <t>$000</t>
        </is>
      </c>
      <c r="I28" s="59" t="inlineStr">
        <is>
          <t>prior column's total store-channel revenue. Base you're applying comps to; not new-store contribution.</t>
        </is>
      </c>
      <c r="J28" s="17" t="inlineStr">
        <is>
          <t>Last year's total store-channel revenue; the base you're growing comps off of, not the new boxes.</t>
        </is>
      </c>
      <c r="K28" s="24" t="inlineStr">
        <is>
          <t>Revenue Drivers: prior store-rev formula</t>
        </is>
      </c>
    </row>
    <row r="29" ht="28" customHeight="1">
      <c r="A29" s="41" t="inlineStr">
        <is>
          <t>Comparable store revenue ($000)</t>
        </is>
      </c>
      <c r="B29" s="57" t="n">
        <v>5049744</v>
      </c>
      <c r="C29" s="42">
        <f>B28*0.71*(1+C25)+B28*0.16*(1+C26)+B28*0.13*(1+C27)</f>
        <v/>
      </c>
      <c r="D29" s="42">
        <f>C28*0.71*(1+D25)+C28*0.16*(1+D26)+C28*0.13*(1+D27)</f>
        <v/>
      </c>
      <c r="E29" s="42">
        <f>D28*0.71*(1+E25)+D28*0.16*(1+E26)+D28*0.13*(1+E27)</f>
        <v/>
      </c>
      <c r="F29" s="42">
        <f>E28*0.71*(1+F25)+E28*0.16*(1+F26)+E28*0.13*(1+F27)</f>
        <v/>
      </c>
      <c r="G29" s="42">
        <f>F28*0.71*(1+G25)+F28*0.16*(1+G26)+F28*0.13*(1+G27)</f>
        <v/>
      </c>
      <c r="I29" s="59" t="inlineStr">
        <is>
          <t>prior store rev×(71%×(1+Am comp)+16%×(1+China)+13%×(1+RoW)). Existing base only; new stores are on the next row.</t>
        </is>
      </c>
      <c r="J29" s="17" t="inlineStr">
        <is>
          <t>Existing-store sales only; prior store rev grown by geo comp %. New doors are a separate line, not in here.</t>
        </is>
      </c>
      <c r="K29" s="24" t="inlineStr">
        <is>
          <t>Revenue Drivers: comp-store formula</t>
        </is>
      </c>
    </row>
    <row r="30" ht="28" customHeight="1">
      <c r="A30" s="41" t="inlineStr">
        <is>
          <t>Net new store revenue contribution ($000)</t>
        </is>
      </c>
      <c r="B30" s="42" t="n">
        <v>0</v>
      </c>
      <c r="C30" s="42">
        <f>(C7-C8+C11-C12+C15-C16)*C19*C24/1000*0.55</f>
        <v/>
      </c>
      <c r="D30" s="42">
        <f>(D7-D8+D11-D12+D15-D16)*D19*D24/1000*0.55</f>
        <v/>
      </c>
      <c r="E30" s="42">
        <f>(E7-E8+E11-E12+E15-E16)*E19*E24/1000*0.55</f>
        <v/>
      </c>
      <c r="F30" s="42">
        <f>(F7-F8+F11-F12+F15-F16)*F19*F24/1000*0.55</f>
        <v/>
      </c>
      <c r="G30" s="42">
        <f>(G7-G8+G11-G12+G15-G16)*G19*G24/1000*0.55</f>
        <v/>
      </c>
      <c r="I30" s="59" t="inlineStr">
        <is>
          <t>(open−close each geo)×sq ft×$/sq ft → raw annual $. /1000 flips that to $000 (this whole tab is thousands). ×0.55 = year-one haircut; new boxes don't run at full SPSF yet. FY27 ex: (D7−D8+D11−D12+D15−D16)×D19×D24/1000×0.55.</t>
        </is>
      </c>
      <c r="J30" s="17" t="inlineStr">
        <is>
          <t>Net new doors × sq ft × $/sq ft is plain dollars. /1000 → $000 on this tab. ×0.55 'cause year-one stores don't run full.</t>
        </is>
      </c>
      <c r="K30" s="24" t="inlineStr">
        <is>
          <t>Revenue Drivers: net-new-store formula</t>
        </is>
      </c>
    </row>
    <row r="31" ht="28" customHeight="1">
      <c r="A31" s="61" t="inlineStr">
        <is>
          <t>Store channel revenue ($000)</t>
        </is>
      </c>
      <c r="B31" s="63" t="n">
        <v>5049744</v>
      </c>
      <c r="C31" s="62">
        <f>C29+C30</f>
        <v/>
      </c>
      <c r="D31" s="62">
        <f>D29+D30</f>
        <v/>
      </c>
      <c r="E31" s="62">
        <f>E29+E30</f>
        <v/>
      </c>
      <c r="F31" s="62">
        <f>F29+F30</f>
        <v/>
      </c>
      <c r="G31" s="62">
        <f>G29+G30</f>
        <v/>
      </c>
      <c r="I31" s="59" t="inlineStr">
        <is>
          <t>comparable store revenue + net new store revenue. Full brick-and-mortar channel for the year.</t>
        </is>
      </c>
      <c r="J31" s="17" t="inlineStr">
        <is>
          <t>Brick-and-mortar channel = comp store sales plus whatever the net new stores contributed. That's the whole store line.</t>
        </is>
      </c>
      <c r="K31" s="24" t="inlineStr">
        <is>
          <t>Revenue Drivers: store-channel formula</t>
        </is>
      </c>
    </row>
    <row r="32" ht="28" customHeight="1">
      <c r="A32" s="41" t="inlineStr">
        <is>
          <t xml:space="preserve">  memo: fleet traffic (millions of visits)</t>
        </is>
      </c>
      <c r="B32" s="66" t="n">
        <v>42.5</v>
      </c>
      <c r="C32" s="66" t="n">
        <v>40</v>
      </c>
      <c r="D32" s="66" t="n">
        <v>41</v>
      </c>
      <c r="E32" s="66" t="n">
        <v>42</v>
      </c>
      <c r="F32" s="66" t="n">
        <v>43</v>
      </c>
      <c r="G32" s="66" t="n">
        <v>44</v>
      </c>
      <c r="H32" s="58" t="inlineStr">
        <is>
          <t>M visits</t>
        </is>
      </c>
      <c r="J32" s="17" t="inlineStr">
        <is>
          <t>Fleet traffic memo line; not a separate FCF item. Calibrated to FY25 store productivity commentary.</t>
        </is>
      </c>
      <c r="K32" s="18" t="inlineStr">
        <is>
          <t>FY2025 10-K: store traffic commentary</t>
        </is>
      </c>
      <c r="L32" s="19" t="inlineStr">
        <is>
          <t>Ctrl+F "store traffic" → lower traffic in Americas; memo line only.</t>
        </is>
      </c>
    </row>
    <row r="33" ht="28" customHeight="1">
      <c r="A33" s="41" t="inlineStr">
        <is>
          <t xml:space="preserve">  memo: in-store conversion rate</t>
        </is>
      </c>
      <c r="B33" s="64" t="n">
        <v>0.28</v>
      </c>
      <c r="C33" s="64" t="n">
        <v>0.27</v>
      </c>
      <c r="D33" s="64" t="n">
        <v>0.275</v>
      </c>
      <c r="E33" s="64" t="n">
        <v>0.28</v>
      </c>
      <c r="F33" s="64" t="n">
        <v>0.285</v>
      </c>
      <c r="G33" s="64" t="n">
        <v>0.29</v>
      </c>
      <c r="J33" s="17" t="inlineStr">
        <is>
          <t>In-store conversion memo; 10-K cites lower conversion in Americas; FY26 27% improving to 29%.</t>
        </is>
      </c>
      <c r="K33" s="18" t="inlineStr">
        <is>
          <t>FY2025 10-K: conversion rate commentary</t>
        </is>
      </c>
      <c r="L33" s="19" t="inlineStr">
        <is>
          <t>Ctrl+F "conversion rates" → lower in Americas; in-store memo 27%→29%.</t>
        </is>
      </c>
    </row>
    <row r="34" ht="28" customHeight="1">
      <c r="A34" s="41" t="inlineStr">
        <is>
          <t xml:space="preserve">  memo: in-store average transaction ($)</t>
        </is>
      </c>
      <c r="B34" s="67" t="n">
        <v>118</v>
      </c>
      <c r="C34" s="67" t="n">
        <v>115</v>
      </c>
      <c r="D34" s="67" t="n">
        <v>116</v>
      </c>
      <c r="E34" s="67" t="n">
        <v>118</v>
      </c>
      <c r="F34" s="67" t="n">
        <v>120</v>
      </c>
      <c r="G34" s="67" t="n">
        <v>122</v>
      </c>
      <c r="J34" s="17" t="inlineStr">
        <is>
          <t>In-store average transaction $115–$122; supports SPSF and comp-sales bridge on the driver tab.</t>
        </is>
      </c>
      <c r="K34" s="18" t="inlineStr">
        <is>
          <t>FY2025 10-K: average order value commentary</t>
        </is>
      </c>
      <c r="L34" s="19" t="inlineStr">
        <is>
          <t>Ctrl+F "average order value" → lower AOV in Americas; memo $115–$122.</t>
        </is>
      </c>
    </row>
    <row r="36">
      <c r="A36" s="52" t="inlineStr">
        <is>
          <t>III. DIRECT-TO-CONSUMER (e-commerce / digital)</t>
        </is>
      </c>
    </row>
    <row r="37">
      <c r="A37" s="53" t="inlineStr">
        <is>
          <t>Driver</t>
        </is>
      </c>
      <c r="B37" s="54" t="inlineStr">
        <is>
          <t>FY2025A</t>
        </is>
      </c>
      <c r="C37" s="55" t="inlineStr">
        <is>
          <t>FY2026E</t>
        </is>
      </c>
      <c r="D37" s="54" t="inlineStr">
        <is>
          <t>FY2027E</t>
        </is>
      </c>
      <c r="E37" s="54" t="inlineStr">
        <is>
          <t>FY2028E</t>
        </is>
      </c>
      <c r="F37" s="54" t="inlineStr">
        <is>
          <t>FY2029E</t>
        </is>
      </c>
      <c r="G37" s="54" t="inlineStr">
        <is>
          <t>FY2030E</t>
        </is>
      </c>
      <c r="H37" s="54" t="inlineStr">
        <is>
          <t>Units</t>
        </is>
      </c>
      <c r="I37" s="55" t="inlineStr">
        <is>
          <t>Equation</t>
        </is>
      </c>
      <c r="J37" s="56" t="inlineStr">
        <is>
          <t>Justification  [cols I–L: click + to expand]</t>
        </is>
      </c>
      <c r="K37" s="56" t="inlineStr">
        <is>
          <t>Source</t>
        </is>
      </c>
      <c r="L37" s="56" t="inlineStr">
        <is>
          <t>Ctrl+F</t>
        </is>
      </c>
    </row>
    <row r="38" ht="28" customHeight="1">
      <c r="A38" s="41" t="inlineStr">
        <is>
          <t>Unique digital sessions (millions)</t>
        </is>
      </c>
      <c r="B38" s="60" t="n">
        <v>485</v>
      </c>
      <c r="C38" s="60" t="n">
        <v>485</v>
      </c>
      <c r="D38" s="60" t="n">
        <v>505</v>
      </c>
      <c r="E38" s="60" t="n">
        <v>525</v>
      </c>
      <c r="F38" s="60" t="n">
        <v>545</v>
      </c>
      <c r="G38" s="60" t="n">
        <v>560</v>
      </c>
      <c r="H38" s="58" t="inlineStr">
        <is>
          <t>M</t>
        </is>
      </c>
      <c r="J38" s="17" t="inlineStr">
        <is>
          <t>485M FY25 sessions implied from reported e-comm revenue / conv / AOV. FY26 −3% on Americas softness.</t>
        </is>
      </c>
      <c r="K38" s="18" t="inlineStr">
        <is>
          <t>FY2025 10-K: e-commerce revenue</t>
        </is>
      </c>
      <c r="L38" s="19" t="inlineStr">
        <is>
          <t>Ctrl+F "E-commerce" → 4,918,697 ($000). Sessions implied from revenue / conv / AOV.</t>
        </is>
      </c>
    </row>
    <row r="39" ht="28" customHeight="1">
      <c r="A39" s="41" t="inlineStr">
        <is>
          <t>Digital conversion rate</t>
        </is>
      </c>
      <c r="B39" s="64" t="n">
        <v>0.033</v>
      </c>
      <c r="C39" s="64" t="n">
        <v>0.033</v>
      </c>
      <c r="D39" s="64" t="n">
        <v>0.034</v>
      </c>
      <c r="E39" s="64" t="n">
        <v>0.035</v>
      </c>
      <c r="F39" s="64" t="n">
        <v>0.035</v>
      </c>
      <c r="G39" s="64" t="n">
        <v>0.036</v>
      </c>
      <c r="J39" s="17" t="inlineStr">
        <is>
          <t>3.3% FY26 digital conversion vs 3.5% pressure cited in 10-K Americas; gradual recovery to 3.6%.</t>
        </is>
      </c>
      <c r="K39" s="18" t="inlineStr">
        <is>
          <t>FY2025 10-K: digital / traffic commentary</t>
        </is>
      </c>
      <c r="L39" s="19" t="inlineStr">
        <is>
          <t>Ctrl+F "lower conversion rates" (Americas MD&amp;A). FY26 model 3.3% digital conversion.</t>
        </is>
      </c>
    </row>
    <row r="40" ht="28" customHeight="1">
      <c r="A40" s="41" t="inlineStr">
        <is>
          <t>Digital average order value ($)</t>
        </is>
      </c>
      <c r="B40" s="67" t="n">
        <v>307</v>
      </c>
      <c r="C40" s="67" t="n">
        <v>305</v>
      </c>
      <c r="D40" s="67" t="n">
        <v>308</v>
      </c>
      <c r="E40" s="67" t="n">
        <v>310</v>
      </c>
      <c r="F40" s="67" t="n">
        <v>312</v>
      </c>
      <c r="G40" s="67" t="n">
        <v>315</v>
      </c>
      <c r="J40" s="17" t="inlineStr">
        <is>
          <t>AOV $305 FY26 on promo intensity; steps to $315 by FY30 as mix normalizes.</t>
        </is>
      </c>
      <c r="K40" s="18" t="inlineStr">
        <is>
          <t>FY2025 10-K: e-commerce revenue</t>
        </is>
      </c>
      <c r="L40" s="19" t="inlineStr">
        <is>
          <t>Ctrl+F "average order value" (Americas MD&amp;A). FY26 model $305 AOV.</t>
        </is>
      </c>
    </row>
    <row r="41" ht="28" customHeight="1">
      <c r="A41" s="61" t="inlineStr">
        <is>
          <t>E-commerce revenue ($000)</t>
        </is>
      </c>
      <c r="B41" s="63" t="n">
        <v>4918697</v>
      </c>
      <c r="C41" s="62">
        <f>C38*1000000*C39*C40/1000</f>
        <v/>
      </c>
      <c r="D41" s="62">
        <f>D38*1000000*D39*D40/1000</f>
        <v/>
      </c>
      <c r="E41" s="62">
        <f>E38*1000000*E39*E40/1000</f>
        <v/>
      </c>
      <c r="F41" s="62">
        <f>F38*1000000*F39*F40/1000</f>
        <v/>
      </c>
      <c r="G41" s="62">
        <f>G38*1000000*G39*G40/1000</f>
        <v/>
      </c>
      <c r="I41" s="59" t="inlineStr">
        <is>
          <t>sessions×1,000,000×conversion×AOV/1000 → e-comm $000. ×1M 'cause sessions are millions; /1000 matches tab units.</t>
        </is>
      </c>
      <c r="J41" s="17" t="inlineStr">
        <is>
          <t>Traffic × conversion × AOV is dollars. ×1M 'cause sessions are in millions; /1000 puts it in $000 like everything else.</t>
        </is>
      </c>
      <c r="K41" s="24" t="inlineStr">
        <is>
          <t>Revenue Drivers: e-comm formula</t>
        </is>
      </c>
    </row>
    <row r="43">
      <c r="A43" s="52" t="inlineStr">
        <is>
          <t>IV. OTHER CHANNELS, GEOGRAPHY &amp; PRODUCT MIX</t>
        </is>
      </c>
    </row>
    <row r="44">
      <c r="A44" s="53" t="inlineStr">
        <is>
          <t>Driver</t>
        </is>
      </c>
      <c r="B44" s="54" t="inlineStr">
        <is>
          <t>FY2025A</t>
        </is>
      </c>
      <c r="C44" s="55" t="inlineStr">
        <is>
          <t>FY2026E</t>
        </is>
      </c>
      <c r="D44" s="54" t="inlineStr">
        <is>
          <t>FY2027E</t>
        </is>
      </c>
      <c r="E44" s="54" t="inlineStr">
        <is>
          <t>FY2028E</t>
        </is>
      </c>
      <c r="F44" s="54" t="inlineStr">
        <is>
          <t>FY2029E</t>
        </is>
      </c>
      <c r="G44" s="54" t="inlineStr">
        <is>
          <t>FY2030E</t>
        </is>
      </c>
      <c r="H44" s="54" t="inlineStr">
        <is>
          <t>Units</t>
        </is>
      </c>
      <c r="I44" s="55" t="inlineStr">
        <is>
          <t>Equation</t>
        </is>
      </c>
      <c r="J44" s="56" t="inlineStr">
        <is>
          <t>Justification  [cols I–L: click + to expand]</t>
        </is>
      </c>
      <c r="K44" s="56" t="inlineStr">
        <is>
          <t>Source</t>
        </is>
      </c>
      <c r="L44" s="56" t="inlineStr">
        <is>
          <t>Ctrl+F</t>
        </is>
      </c>
    </row>
    <row r="45" ht="28" customHeight="1">
      <c r="A45" s="41" t="inlineStr">
        <is>
          <t>Other channels (wholesale / license / outlets) ($000)</t>
        </is>
      </c>
      <c r="B45" s="65" t="n">
        <v>1134159</v>
      </c>
      <c r="C45" s="42">
        <f>B45*(1+-0.02)</f>
        <v/>
      </c>
      <c r="D45" s="42">
        <f>C45*(1+0.0)</f>
        <v/>
      </c>
      <c r="E45" s="42">
        <f>D45*(1+0.02)</f>
        <v/>
      </c>
      <c r="F45" s="42">
        <f>E45*(1+0.02)</f>
        <v/>
      </c>
      <c r="G45" s="42">
        <f>F45*(1+0.02)</f>
        <v/>
      </c>
      <c r="H45" s="58" t="inlineStr">
        <is>
          <t>$000</t>
        </is>
      </c>
      <c r="I45" s="59" t="inlineStr">
        <is>
          <t>prior other-channel rev × (1 + growth %). Wholesale/license/outlets; grown off last year.</t>
        </is>
      </c>
      <c r="J45" s="17" t="inlineStr">
        <is>
          <t>Other channels (wholesale/license/outlets) held at FY25 $1.13B base; low-single-digit growth thereafter.</t>
        </is>
      </c>
      <c r="K45" s="18" t="inlineStr">
        <is>
          <t>FY2025 10-K: channel revenue table</t>
        </is>
      </c>
      <c r="L45" s="19" t="inlineStr">
        <is>
          <t>Ctrl+F "Company-operated stores" and "E-commerce" → residual other channels ≈ $1.13B.</t>
        </is>
      </c>
    </row>
    <row r="46" ht="70" customHeight="1">
      <c r="A46" s="41" t="inlineStr">
        <is>
          <t xml:space="preserve">  Americas net revenue ($000)</t>
        </is>
      </c>
      <c r="B46" s="65" t="n">
        <v>7847044</v>
      </c>
      <c r="C46" s="42">
        <f>B46*(C31+C41+C45)/(B31+B41+B45)</f>
        <v/>
      </c>
      <c r="D46" s="42">
        <f>B46*(D31+D41+D45)/(B31+B41+B45)</f>
        <v/>
      </c>
      <c r="E46" s="42">
        <f>B46*(E31+E41+E45)/(B31+B41+B45)</f>
        <v/>
      </c>
      <c r="F46" s="42">
        <f>B46*(F31+F41+F45)/(B31+B41+B45)</f>
        <v/>
      </c>
      <c r="G46" s="42">
        <f>B46*(G31+G41+G45)/(B31+B41+B45)</f>
        <v/>
      </c>
      <c r="H46" s="58" t="inlineStr">
        <is>
          <t>$000</t>
        </is>
      </c>
      <c r="I46" s="59" t="inlineStr">
        <is>
          <t>FY26 geo rev = FY25 geo rev × (FY26 total rev ÷ FY25 total rev).
Total rev = store channel + e-comm + other. Keeps FY25 geo mix; scales with consolidated growth.
FY26E plugged: B46 × (C31+C41+C45) ÷ (B31+B41+B45)</t>
        </is>
      </c>
      <c r="J46" s="17" t="inlineStr">
        <is>
          <t>Geographic split scales with consolidated growth; FY25 Americas 70.7% of revenue per 10-K segment table.</t>
        </is>
      </c>
      <c r="K46" s="18" t="inlineStr">
        <is>
          <t>FY2025 10-K: segmented net revenue</t>
        </is>
      </c>
      <c r="L46" s="19" t="inlineStr">
        <is>
          <t>Ctrl+F "Americas" segment table → $7,847,044 net revenue (70.7%).</t>
        </is>
      </c>
    </row>
    <row r="47" ht="70" customHeight="1">
      <c r="A47" s="41" t="inlineStr">
        <is>
          <t xml:space="preserve">  China Mainland net revenue ($000)</t>
        </is>
      </c>
      <c r="B47" s="65" t="n">
        <v>1754799</v>
      </c>
      <c r="C47" s="42">
        <f>B47*(C31+C41+C45)/(B31+B41+B45)</f>
        <v/>
      </c>
      <c r="D47" s="42">
        <f>B47*(D31+D41+D45)/(B31+B41+B45)</f>
        <v/>
      </c>
      <c r="E47" s="42">
        <f>B47*(E31+E41+E45)/(B31+B41+B45)</f>
        <v/>
      </c>
      <c r="F47" s="42">
        <f>B47*(F31+F41+F45)/(B31+B41+B45)</f>
        <v/>
      </c>
      <c r="G47" s="42">
        <f>B47*(G31+G41+G45)/(B31+B41+B45)</f>
        <v/>
      </c>
      <c r="H47" s="58" t="inlineStr">
        <is>
          <t>$000</t>
        </is>
      </c>
      <c r="I47" s="59" t="inlineStr">
        <is>
          <t>FY26 geo rev = FY25 geo rev × (FY26 total rev ÷ FY25 total rev).
Total rev = store channel + e-comm + other. Keeps FY25 geo mix; scales with consolidated growth.
FY26E plugged: B47 × (C31+C41+C45) ÷ (B31+B41+B45)</t>
        </is>
      </c>
      <c r="J47" s="17" t="inlineStr">
        <is>
          <t>China 15.8% of FY25 revenue; fastest comp and store growth; expansion market in the driver schedule.</t>
        </is>
      </c>
      <c r="K47" s="18" t="inlineStr">
        <is>
          <t>FY2025 10-K: segmented net revenue</t>
        </is>
      </c>
      <c r="L47" s="19" t="inlineStr">
        <is>
          <t>Ctrl+F "China Mainland" segment → $1,754,799 net revenue (15.8%).</t>
        </is>
      </c>
    </row>
    <row r="48" ht="70" customHeight="1">
      <c r="A48" s="41" t="inlineStr">
        <is>
          <t xml:space="preserve">  Rest of World net revenue ($000)</t>
        </is>
      </c>
      <c r="B48" s="65" t="n">
        <v>1500757</v>
      </c>
      <c r="C48" s="42">
        <f>B48*(C31+C41+C45)/(B31+B41+B45)</f>
        <v/>
      </c>
      <c r="D48" s="42">
        <f>B48*(D31+D41+D45)/(B31+B41+B45)</f>
        <v/>
      </c>
      <c r="E48" s="42">
        <f>B48*(E31+E41+E45)/(B31+B41+B45)</f>
        <v/>
      </c>
      <c r="F48" s="42">
        <f>B48*(F31+F41+F45)/(B31+B41+B45)</f>
        <v/>
      </c>
      <c r="G48" s="42">
        <f>B48*(G31+G41+G45)/(B31+B41+B45)</f>
        <v/>
      </c>
      <c r="H48" s="58" t="inlineStr">
        <is>
          <t>$000</t>
        </is>
      </c>
      <c r="I48" s="59" t="inlineStr">
        <is>
          <t>FY26 geo rev = FY25 geo rev × (FY26 total rev ÷ FY25 total rev).
Total rev = store channel + e-comm + other. Keeps FY25 geo mix; scales with consolidated growth.
FY26E plugged: B48 × (C31+C41+C45) ÷ (B31+B41+B45)</t>
        </is>
      </c>
      <c r="J48" s="17" t="inlineStr">
        <is>
          <t>Rest of World 13.5% of FY25 revenue; mid-single-digit comps and steady openings.</t>
        </is>
      </c>
      <c r="K48" s="18" t="inlineStr">
        <is>
          <t>FY2025 10-K: segmented net revenue</t>
        </is>
      </c>
      <c r="L48" s="19" t="inlineStr">
        <is>
          <t>Ctrl+F "Rest of World" segment → $1,500,757 net revenue (13.5%).</t>
        </is>
      </c>
    </row>
    <row r="49" ht="28" customHeight="1">
      <c r="A49" s="41" t="inlineStr">
        <is>
          <t>Women's % of revenue</t>
        </is>
      </c>
      <c r="B49" s="64" t="n">
        <v>0.63</v>
      </c>
      <c r="C49" s="64" t="n">
        <v>0.62</v>
      </c>
      <c r="D49" s="64" t="n">
        <v>0.615</v>
      </c>
      <c r="E49" s="64" t="n">
        <v>0.61</v>
      </c>
      <c r="F49" s="64" t="n">
        <v>0.605</v>
      </c>
      <c r="G49" s="64" t="n">
        <v>0.6</v>
      </c>
      <c r="J49" s="17" t="inlineStr">
        <is>
          <t>Women's mix fades 62.5%→60% as men's penetrates; FY25 reported 63% women's per 10-K category disclosure.</t>
        </is>
      </c>
      <c r="K49" s="18" t="inlineStr">
        <is>
          <t>FY2025 10-K: product category mix</t>
        </is>
      </c>
      <c r="L49" s="19" t="inlineStr">
        <is>
          <t>Ctrl+F "women's, men's, and accessories" → 63% / 24% / 13% of net revenue.</t>
        </is>
      </c>
    </row>
    <row r="50" ht="28" customHeight="1">
      <c r="A50" s="41" t="inlineStr">
        <is>
          <t>Men's % of revenue</t>
        </is>
      </c>
      <c r="B50" s="64" t="n">
        <v>0.24</v>
      </c>
      <c r="C50" s="64" t="n">
        <v>0.25</v>
      </c>
      <c r="D50" s="64" t="n">
        <v>0.255</v>
      </c>
      <c r="E50" s="64" t="n">
        <v>0.26</v>
      </c>
      <c r="F50" s="64" t="n">
        <v>0.265</v>
      </c>
      <c r="G50" s="64" t="n">
        <v>0.27</v>
      </c>
      <c r="J50" s="17" t="inlineStr">
        <is>
          <t>Men's mix rises 24.5%→27%; FY25 men's grew 4% vs women's 5% per 10-K category commentary.</t>
        </is>
      </c>
      <c r="K50" s="18" t="inlineStr">
        <is>
          <t>FY2025 10-K: product category mix</t>
        </is>
      </c>
      <c r="L50" s="19" t="inlineStr">
        <is>
          <t>Ctrl+F "men's" category growth 4% in MD&amp;A; mix rises to 27% by FY30.</t>
        </is>
      </c>
    </row>
    <row r="51" ht="28" customHeight="1">
      <c r="A51" s="41" t="inlineStr">
        <is>
          <t>Accessories &amp; other % of revenue</t>
        </is>
      </c>
      <c r="B51" s="64" t="n">
        <v>0.13</v>
      </c>
      <c r="C51" s="64" t="n">
        <v>0.13</v>
      </c>
      <c r="D51" s="64" t="n">
        <v>0.13</v>
      </c>
      <c r="E51" s="64" t="n">
        <v>0.13</v>
      </c>
      <c r="F51" s="64" t="n">
        <v>0.13</v>
      </c>
      <c r="G51" s="64" t="n">
        <v>0.13</v>
      </c>
      <c r="J51" s="17" t="inlineStr">
        <is>
          <t>Accessories steady at 13% of revenue; FY25 accessories +8% per 10-K category disclosure.</t>
        </is>
      </c>
      <c r="K51" s="18" t="inlineStr">
        <is>
          <t>FY2025 10-K: product category mix</t>
        </is>
      </c>
      <c r="L51" s="19" t="inlineStr">
        <is>
          <t>Ctrl+F "accessories" +8% category growth; hold 13% mix.</t>
        </is>
      </c>
    </row>
    <row r="53">
      <c r="A53" s="52" t="inlineStr">
        <is>
          <t>V. CONSOLIDATED REVENUE &amp; RECONCILIATION</t>
        </is>
      </c>
    </row>
    <row r="54">
      <c r="A54" s="53" t="inlineStr">
        <is>
          <t>Driver</t>
        </is>
      </c>
      <c r="B54" s="54" t="inlineStr">
        <is>
          <t>FY2025A</t>
        </is>
      </c>
      <c r="C54" s="55" t="inlineStr">
        <is>
          <t>FY2026E</t>
        </is>
      </c>
      <c r="D54" s="54" t="inlineStr">
        <is>
          <t>FY2027E</t>
        </is>
      </c>
      <c r="E54" s="54" t="inlineStr">
        <is>
          <t>FY2028E</t>
        </is>
      </c>
      <c r="F54" s="54" t="inlineStr">
        <is>
          <t>FY2029E</t>
        </is>
      </c>
      <c r="G54" s="54" t="inlineStr">
        <is>
          <t>FY2030E</t>
        </is>
      </c>
      <c r="H54" s="54" t="inlineStr">
        <is>
          <t>Units</t>
        </is>
      </c>
      <c r="I54" s="55" t="inlineStr">
        <is>
          <t>Equation</t>
        </is>
      </c>
      <c r="J54" s="56" t="inlineStr">
        <is>
          <t>Justification  [cols I–L: click + to expand]</t>
        </is>
      </c>
      <c r="K54" s="56" t="inlineStr">
        <is>
          <t>Source</t>
        </is>
      </c>
      <c r="L54" s="56" t="inlineStr">
        <is>
          <t>Ctrl+F</t>
        </is>
      </c>
    </row>
    <row r="55" ht="28" customHeight="1">
      <c r="A55" s="68" t="inlineStr">
        <is>
          <t>Bottom-up total revenue ($000)</t>
        </is>
      </c>
      <c r="B55" s="69" t="n">
        <v>11102600</v>
      </c>
      <c r="C55" s="70">
        <f>C31+C41+C45</f>
        <v/>
      </c>
      <c r="D55" s="70">
        <f>D31+D41+D45</f>
        <v/>
      </c>
      <c r="E55" s="70">
        <f>E31+E41+E45</f>
        <v/>
      </c>
      <c r="F55" s="70">
        <f>F31+F41+F45</f>
        <v/>
      </c>
      <c r="G55" s="70">
        <f>G31+G41+G45</f>
        <v/>
      </c>
      <c r="I55" s="59" t="inlineStr">
        <is>
          <t>store channel + e-commerce + other. Bottom-up top line before you reconcile to Scenarios.</t>
        </is>
      </c>
      <c r="J55" s="17" t="inlineStr">
        <is>
          <t>Bottom-up total = store channel + e-comm + other. That's your driver-built revenue before you check Scenarios.</t>
        </is>
      </c>
      <c r="K55" s="24" t="inlineStr">
        <is>
          <t>Revenue Drivers: total-rev formula</t>
        </is>
      </c>
    </row>
    <row r="56" ht="28" customHeight="1">
      <c r="A56" s="41" t="inlineStr">
        <is>
          <t>Scenarios base-case revenue ($000)</t>
        </is>
      </c>
      <c r="B56" s="65" t="n">
        <v>11102600</v>
      </c>
      <c r="C56" s="42">
        <f>Scenarios!G25</f>
        <v/>
      </c>
      <c r="D56" s="42">
        <f>Scenarios!G26</f>
        <v/>
      </c>
      <c r="E56" s="42">
        <f>Scenarios!G27</f>
        <v/>
      </c>
      <c r="F56" s="42">
        <f>Scenarios!G28</f>
        <v/>
      </c>
      <c r="G56" s="42">
        <f>Scenarios!G29</f>
        <v/>
      </c>
      <c r="I56" s="59" t="inlineStr">
        <is>
          <t>Scenarios! base-case revenue. DCF still runs off this path; not the driver total.</t>
        </is>
      </c>
      <c r="J56" s="17" t="inlineStr">
        <is>
          <t>Pulls the Scenarios base-case revenue path; that's still the number the DCF actually uses, not the driver total.</t>
        </is>
      </c>
      <c r="K56" s="18" t="inlineStr">
        <is>
          <t>Scenarios tab: base revenue</t>
        </is>
      </c>
    </row>
    <row r="57" ht="28" customHeight="1">
      <c r="A57" s="41" t="inlineStr">
        <is>
          <t>Variance (bottom-up − scenarios) ($000)</t>
        </is>
      </c>
      <c r="B57" s="42">
        <f>B55-B56</f>
        <v/>
      </c>
      <c r="C57" s="42">
        <f>C55-C56</f>
        <v/>
      </c>
      <c r="D57" s="42">
        <f>D55-D56</f>
        <v/>
      </c>
      <c r="E57" s="42">
        <f>E55-E56</f>
        <v/>
      </c>
      <c r="F57" s="42">
        <f>F55-F56</f>
        <v/>
      </c>
      <c r="G57" s="42">
        <f>G55-G56</f>
        <v/>
      </c>
      <c r="I57" s="59" t="inlineStr">
        <is>
          <t>bottom-up total − Scenarios revenue. Positive = drivers above Scenarios; negative = below.</t>
        </is>
      </c>
      <c r="J57" s="17" t="inlineStr">
        <is>
          <t>Driver-built revenue minus Scenarios revenue. Shows you how far off the bottom-up path is from what you're valuing on.</t>
        </is>
      </c>
      <c r="K57" s="24" t="inlineStr">
        <is>
          <t>Revenue Drivers: variance formula</t>
        </is>
      </c>
    </row>
    <row r="58" ht="28" customHeight="1">
      <c r="A58" s="41" t="inlineStr">
        <is>
          <t>Variance (%)</t>
        </is>
      </c>
      <c r="B58" s="43">
        <f>IF(B56=0,"",B57/B56)</f>
        <v/>
      </c>
      <c r="C58" s="43">
        <f>IF(C56=0,"",C57/C56)</f>
        <v/>
      </c>
      <c r="D58" s="43">
        <f>IF(D56=0,"",D57/D56)</f>
        <v/>
      </c>
      <c r="E58" s="43">
        <f>IF(E56=0,"",E57/E56)</f>
        <v/>
      </c>
      <c r="F58" s="43">
        <f>IF(F56=0,"",F57/F56)</f>
        <v/>
      </c>
      <c r="G58" s="43">
        <f>IF(G56=0,"",G57/G56)</f>
        <v/>
      </c>
      <c r="I58" s="59" t="inlineStr">
        <is>
          <t>variance ÷ Scenarios revenue. Quick % read on how far the driver build is from the valuation path.</t>
        </is>
      </c>
      <c r="J58" s="17" t="inlineStr">
        <is>
          <t>Variance as a percent of Scenarios revenue. Easy read on whether the driver schedule is close or way out of line.</t>
        </is>
      </c>
      <c r="K58" s="24" t="inlineStr">
        <is>
          <t>Revenue Drivers: variance % formula</t>
        </is>
      </c>
    </row>
    <row r="59">
      <c r="A59" s="26" t="inlineStr">
        <is>
          <t>Note: DCF / Scenarios consolidated revenue is the valuation anchor — drivers do not feed the DCF. A small variance vs Scenarios means the bottom-up path still hangs together, so the Scenarios case stays viable. Bigger gaps = revisit drivers or Scenarios assumptions.</t>
        </is>
      </c>
    </row>
  </sheetData>
  <hyperlinks>
    <hyperlink xmlns:r="http://schemas.openxmlformats.org/officeDocument/2006/relationships" ref="K7" r:id="rId1"/>
    <hyperlink xmlns:r="http://schemas.openxmlformats.org/officeDocument/2006/relationships" ref="K8" r:id="rId2"/>
    <hyperlink xmlns:r="http://schemas.openxmlformats.org/officeDocument/2006/relationships" ref="K11" r:id="rId3"/>
    <hyperlink xmlns:r="http://schemas.openxmlformats.org/officeDocument/2006/relationships" ref="K12" r:id="rId4"/>
    <hyperlink xmlns:r="http://schemas.openxmlformats.org/officeDocument/2006/relationships" ref="K15" r:id="rId5"/>
    <hyperlink xmlns:r="http://schemas.openxmlformats.org/officeDocument/2006/relationships" ref="K16" r:id="rId6"/>
    <hyperlink xmlns:r="http://schemas.openxmlformats.org/officeDocument/2006/relationships" ref="B18" r:id="rId7"/>
    <hyperlink xmlns:r="http://schemas.openxmlformats.org/officeDocument/2006/relationships" ref="K19" r:id="rId8"/>
    <hyperlink xmlns:r="http://schemas.openxmlformats.org/officeDocument/2006/relationships" ref="K24" r:id="rId9"/>
    <hyperlink xmlns:r="http://schemas.openxmlformats.org/officeDocument/2006/relationships" ref="K25" r:id="rId10"/>
    <hyperlink xmlns:r="http://schemas.openxmlformats.org/officeDocument/2006/relationships" ref="K26" r:id="rId11"/>
    <hyperlink xmlns:r="http://schemas.openxmlformats.org/officeDocument/2006/relationships" ref="K27" r:id="rId12"/>
    <hyperlink xmlns:r="http://schemas.openxmlformats.org/officeDocument/2006/relationships" ref="B28" r:id="rId13"/>
    <hyperlink xmlns:r="http://schemas.openxmlformats.org/officeDocument/2006/relationships" ref="B31" r:id="rId14"/>
    <hyperlink xmlns:r="http://schemas.openxmlformats.org/officeDocument/2006/relationships" ref="K32" r:id="rId15"/>
    <hyperlink xmlns:r="http://schemas.openxmlformats.org/officeDocument/2006/relationships" ref="K33" r:id="rId16"/>
    <hyperlink xmlns:r="http://schemas.openxmlformats.org/officeDocument/2006/relationships" ref="K34" r:id="rId17"/>
    <hyperlink xmlns:r="http://schemas.openxmlformats.org/officeDocument/2006/relationships" ref="K38" r:id="rId18"/>
    <hyperlink xmlns:r="http://schemas.openxmlformats.org/officeDocument/2006/relationships" ref="K39" r:id="rId19"/>
    <hyperlink xmlns:r="http://schemas.openxmlformats.org/officeDocument/2006/relationships" ref="K40" r:id="rId20"/>
    <hyperlink xmlns:r="http://schemas.openxmlformats.org/officeDocument/2006/relationships" ref="B41" r:id="rId21"/>
    <hyperlink xmlns:r="http://schemas.openxmlformats.org/officeDocument/2006/relationships" ref="B45" r:id="rId22"/>
    <hyperlink xmlns:r="http://schemas.openxmlformats.org/officeDocument/2006/relationships" ref="K45" r:id="rId23"/>
    <hyperlink xmlns:r="http://schemas.openxmlformats.org/officeDocument/2006/relationships" ref="B46" r:id="rId24"/>
    <hyperlink xmlns:r="http://schemas.openxmlformats.org/officeDocument/2006/relationships" ref="K46" r:id="rId25"/>
    <hyperlink xmlns:r="http://schemas.openxmlformats.org/officeDocument/2006/relationships" ref="B47" r:id="rId26"/>
    <hyperlink xmlns:r="http://schemas.openxmlformats.org/officeDocument/2006/relationships" ref="K47" r:id="rId27"/>
    <hyperlink xmlns:r="http://schemas.openxmlformats.org/officeDocument/2006/relationships" ref="B48" r:id="rId28"/>
    <hyperlink xmlns:r="http://schemas.openxmlformats.org/officeDocument/2006/relationships" ref="K48" r:id="rId29"/>
    <hyperlink xmlns:r="http://schemas.openxmlformats.org/officeDocument/2006/relationships" ref="K49" r:id="rId30"/>
    <hyperlink xmlns:r="http://schemas.openxmlformats.org/officeDocument/2006/relationships" ref="K50" r:id="rId31"/>
    <hyperlink xmlns:r="http://schemas.openxmlformats.org/officeDocument/2006/relationships" ref="K51" r:id="rId32"/>
    <hyperlink xmlns:r="http://schemas.openxmlformats.org/officeDocument/2006/relationships" ref="B55" r:id="rId33"/>
    <hyperlink xmlns:r="http://schemas.openxmlformats.org/officeDocument/2006/relationships" ref="B56" r:id="rId34"/>
    <hyperlink ref="K56" location="'Scenarios'!G2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1"/>
    <pageSetUpPr/>
  </sheetPr>
  <dimension ref="A1:J52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hidden="1" outlineLevel="1" width="22" customWidth="1" min="2" max="2"/>
    <col width="28" customWidth="1" min="3" max="3"/>
    <col hidden="1" outlineLevel="1" width="28" customWidth="1" min="4" max="4"/>
    <col width="12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2" t="inlineStr">
        <is>
          <t>NOPAT NORMALIZATION PIPELINE (BASE CASE)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51" t="inlineStr">
        <is>
          <t>Justification  [cols B–D: click + to expand]</t>
        </is>
      </c>
      <c r="C2" s="51" t="inlineStr">
        <is>
          <t>Source (click)</t>
        </is>
      </c>
      <c r="D2" s="51" t="inlineStr">
        <is>
          <t>Ctrl+F (prove number)</t>
        </is>
      </c>
      <c r="E2" s="71" t="inlineStr">
        <is>
          <t>FY2025A</t>
        </is>
      </c>
      <c r="F2" s="72" t="inlineStr">
        <is>
          <t>FY2026E</t>
        </is>
      </c>
      <c r="G2" s="72" t="inlineStr">
        <is>
          <t>FY2027E</t>
        </is>
      </c>
      <c r="H2" s="72" t="inlineStr">
        <is>
          <t>FY2028E</t>
        </is>
      </c>
      <c r="I2" s="72" t="inlineStr">
        <is>
          <t>FY2029E</t>
        </is>
      </c>
      <c r="J2" s="72" t="inlineStr">
        <is>
          <t>FY2030E</t>
        </is>
      </c>
    </row>
    <row r="3">
      <c r="A3" s="52" t="inlineStr">
        <is>
          <t>Reported EBIT → Normalized NOPAT (5-phase pipeline)</t>
        </is>
      </c>
    </row>
    <row r="4">
      <c r="A4" s="26" t="inlineStr">
        <is>
          <t>Phases 1–4 clean and forecast operating profit; Phase 5 is the agent workflow summary below.</t>
        </is>
      </c>
    </row>
    <row r="6">
      <c r="A6" s="52" t="inlineStr">
        <is>
          <t>Driver assumptions</t>
        </is>
      </c>
    </row>
    <row r="7" ht="42" customHeight="1">
      <c r="A7" s="16" t="inlineStr">
        <is>
          <t>Phase 1: Add back SBC? (0 = no — Convention A: expense stays in EBIT)</t>
        </is>
      </c>
      <c r="B7" s="17" t="inlineStr">
        <is>
          <t>Not % of revenue; SBC add-back flag. Set to 0 (Convention A).
SBC stays inside Scenarios EBIT/NOPAT as a real economic cost; DCF uses basic shares (111.4M).
FY25 reference: $62,203k (10-K). Flag = 1 would add back (Convention B + diluted shares); not used.</t>
        </is>
      </c>
      <c r="C7" s="18" t="inlineStr">
        <is>
          <t>LULU CF statement (10-K): stock-based compensation</t>
        </is>
      </c>
      <c r="D7" s="19" t="inlineStr">
        <is>
          <t>Ctrl+F "Stock-based compensation expense"
→ 62,203 ($000) FY25 reference. Flag = 0: SBC stays in EBIT (Convention A); DCF IV uses basic 111,380k shares.</t>
        </is>
      </c>
      <c r="E7" s="40" t="n">
        <v>0</v>
      </c>
      <c r="F7" s="40" t="n">
        <v>0</v>
      </c>
      <c r="G7" s="40" t="n">
        <v>0</v>
      </c>
      <c r="H7" s="40" t="n">
        <v>0</v>
      </c>
      <c r="I7" s="40" t="n">
        <v>0</v>
      </c>
      <c r="J7" s="40" t="n">
        <v>0</v>
      </c>
    </row>
    <row r="8">
      <c r="A8" s="26" t="inlineStr">
        <is>
          <t>Convention A: SBC is a real economic cost (captures shareholder dilution). Forecast NOPAT uses Scenarios EBIT with SBC expensed. DCF implied value uses basic shares (111.4M).</t>
        </is>
      </c>
    </row>
    <row r="9" ht="70" customHeight="1">
      <c r="A9" s="16" t="inlineStr">
        <is>
          <t>Phase 3: Store-channel EBIT margin %</t>
        </is>
      </c>
      <c r="B9" s="17" t="inlineStr">
        <is>
          <t>Not % of consolidated revenue; EBIT as % of store-channel revenue only (not the Scenarios 13.2%–15.5% consolidated margin).
18.6% margin assumption.
EBIT_store = Rev_store × Margin_store
FY25 check: 5,049,744 × 18.6% ≈ 939,252 ($000).
Calibrated so Σ channel EBIT ≈ consolidated EBIT 2,210,615 (10-K).</t>
        </is>
      </c>
      <c r="C9" s="18" t="inlineStr">
        <is>
          <t>FY2025 10-K: company-operated stores net revenue</t>
        </is>
      </c>
      <c r="D9" s="19" t="inlineStr">
        <is>
          <t>Not consolidated EBIT margin; EBIT ÷ store revenue only (cf. Scenarios 13.2%–15.5%).
Ctrl+F "Company-operated stores"
→ 5,049,744 ($000) net revenue
× 18.6% margin assumption → store EBIT ≈ 939,252 ($000)</t>
        </is>
      </c>
      <c r="E9" s="20" t="n">
        <v>0.186</v>
      </c>
      <c r="F9" s="20" t="n">
        <v>0.186</v>
      </c>
      <c r="G9" s="20" t="n">
        <v>0.186</v>
      </c>
      <c r="H9" s="20" t="n">
        <v>0.186</v>
      </c>
      <c r="I9" s="20" t="n">
        <v>0.186</v>
      </c>
      <c r="J9" s="20" t="n">
        <v>0.186</v>
      </c>
    </row>
    <row r="10" ht="70" customHeight="1">
      <c r="A10" s="16" t="inlineStr">
        <is>
          <t>Phase 3: E-commerce EBIT margin %</t>
        </is>
      </c>
      <c r="B10" s="17" t="inlineStr">
        <is>
          <t>Not % of consolidated revenue; EBIT as % of e-commerce revenue only (not the Scenarios 13.2%–15.5% consolidated margin).
23.6% margin assumption.
EBIT_e-comm = Rev_e-comm × Margin_e-comm
FY25 check: 4,918,697 × 23.6% ≈ 1,160,812 ($000).
Higher than stores; no occupancy; fulfillment + digital marketing only.</t>
        </is>
      </c>
      <c r="C10" s="18" t="inlineStr">
        <is>
          <t>FY2025 10-K: e-commerce net revenue</t>
        </is>
      </c>
      <c r="D10" s="19" t="inlineStr">
        <is>
          <t>Not consolidated EBIT margin; EBIT ÷ e-commerce revenue only (cf. Scenarios 13.2%–15.5%).
Ctrl+F "E-commerce"
→ 4,918,697 ($000) net revenue
× 23.6% margin assumption → e-comm EBIT ≈ 1,160,812 ($000)</t>
        </is>
      </c>
      <c r="E10" s="20" t="n">
        <v>0.236</v>
      </c>
      <c r="F10" s="20" t="n">
        <v>0.236</v>
      </c>
      <c r="G10" s="20" t="n">
        <v>0.236</v>
      </c>
      <c r="H10" s="20" t="n">
        <v>0.236</v>
      </c>
      <c r="I10" s="20" t="n">
        <v>0.236</v>
      </c>
      <c r="J10" s="20" t="n">
        <v>0.236</v>
      </c>
    </row>
    <row r="11" ht="70" customHeight="1">
      <c r="A11" s="16" t="inlineStr">
        <is>
          <t>Phase 3: Other-channels EBIT margin %</t>
        </is>
      </c>
      <c r="B11" s="17" t="inlineStr">
        <is>
          <t>Not % of consolidated revenue; EBIT as % of other-channel revenue only (not the Scenarios 13.2%–15.5% consolidated margin).
9.1% margin assumption.
EBIT_other = Rev_other × Margin_other
FY25 check: 1,134,159 × 9.1% ≈ 103,209 ($000).
Wholesale/license/outlets; lower-margin residual channel.</t>
        </is>
      </c>
      <c r="C11" s="18" t="inlineStr">
        <is>
          <t>FY2025 10-K: other channels (residual)</t>
        </is>
      </c>
      <c r="D11" s="19" t="inlineStr">
        <is>
          <t>Not consolidated EBIT margin; EBIT ÷ other-channel revenue only (cf. Scenarios 13.2%–15.5%).
Ctrl+F "Net revenue" → 11,102,600
Minus stores + e-comm → other channels ≈ 1,134,159 ($000)
× 9.1% margin assumption → other EBIT ≈ 103,209 ($000)</t>
        </is>
      </c>
      <c r="E11" s="20" t="n">
        <v>0.091</v>
      </c>
      <c r="F11" s="20" t="n">
        <v>0.091</v>
      </c>
      <c r="G11" s="20" t="n">
        <v>0.091</v>
      </c>
      <c r="H11" s="20" t="n">
        <v>0.091</v>
      </c>
      <c r="I11" s="20" t="n">
        <v>0.091</v>
      </c>
      <c r="J11" s="20" t="n">
        <v>0.091</v>
      </c>
    </row>
    <row r="12" ht="28" customHeight="1">
      <c r="A12" s="16" t="inlineStr">
        <is>
          <t>Phase 4: Terminal marginal tax rate</t>
        </is>
      </c>
      <c r="B12" s="17" t="inlineStr">
        <is>
          <t>30% statutory marginal rate. t_operating transitions here over the 5-year forecast.</t>
        </is>
      </c>
      <c r="C12" s="18" t="inlineStr">
        <is>
          <t>Q2 FY2026 outlook: tax rate ≈ 30%</t>
        </is>
      </c>
      <c r="D12" s="19" t="inlineStr">
        <is>
          <t>Ctrl+F "a tax rate of approximately 30%" → terminal marginal rate for t_operating glide path.</t>
        </is>
      </c>
      <c r="E12" s="20" t="n">
        <v>0.3</v>
      </c>
      <c r="F12" s="20" t="n">
        <v>0.3</v>
      </c>
      <c r="G12" s="20" t="n">
        <v>0.3</v>
      </c>
      <c r="H12" s="20" t="n">
        <v>0.3</v>
      </c>
      <c r="I12" s="20" t="n">
        <v>0.3</v>
      </c>
      <c r="J12" s="20" t="n">
        <v>0.3</v>
      </c>
    </row>
    <row r="13" ht="28" customHeight="1">
      <c r="A13" s="16" t="inlineStr">
        <is>
          <t>Phase 2: R&amp;D / software amortization period (years)</t>
        </is>
      </c>
      <c r="B13" s="17" t="inlineStr">
        <is>
          <t>Not % of revenue; amortization period (years) if R&amp;D/software is capitalized. LULU: no separate R&amp;D cap.</t>
        </is>
      </c>
      <c r="C13" s="24" t="inlineStr">
        <is>
          <t>NOPAT Bridge: capitalization convention</t>
        </is>
      </c>
      <c r="D13" s="19" t="inlineStr">
        <is>
          <t>Amortization period if R&amp;D capitalized (3–5 yr convention). LULU: no separate R&amp;D capitalization.</t>
        </is>
      </c>
      <c r="E13" s="40" t="n">
        <v>4</v>
      </c>
      <c r="F13" s="40" t="n">
        <v>4</v>
      </c>
      <c r="G13" s="40" t="n">
        <v>4</v>
      </c>
      <c r="H13" s="40" t="n">
        <v>4</v>
      </c>
      <c r="I13" s="40" t="n">
        <v>4</v>
      </c>
      <c r="J13" s="40" t="n">
        <v>4</v>
      </c>
    </row>
    <row r="15" hidden="1" outlineLevel="1">
      <c r="A15" s="73" t="inlineStr">
        <is>
          <t>Phase 1 — Operating normalization</t>
        </is>
      </c>
    </row>
    <row r="16" hidden="1" outlineLevel="1" ht="28" customHeight="1">
      <c r="A16" s="16" t="inlineStr">
        <is>
          <t>Reported operating income (EBIT)</t>
        </is>
      </c>
      <c r="B16" s="17" t="inlineStr">
        <is>
          <t>FY25: reported operating income from 10-K. Forecast: Scenarios base-case EBIT (margin path).</t>
        </is>
      </c>
      <c r="C16" s="18" t="inlineStr">
        <is>
          <t>LULU FY2025 10-K: Income from operations</t>
        </is>
      </c>
      <c r="D16" s="19" t="inlineStr">
        <is>
          <t>Ctrl+F "Income from operations" → 2,210,615 ($000). Forecast links to Scenarios EBIT.</t>
        </is>
      </c>
      <c r="E16" s="74" t="n">
        <v>2210615</v>
      </c>
      <c r="F16" s="75">
        <f>Scenarios!G45</f>
        <v/>
      </c>
      <c r="G16" s="75">
        <f>Scenarios!G46</f>
        <v/>
      </c>
      <c r="H16" s="75">
        <f>Scenarios!G47</f>
        <v/>
      </c>
      <c r="I16" s="75">
        <f>Scenarios!G48</f>
        <v/>
      </c>
      <c r="J16" s="75">
        <f>Scenarios!G49</f>
        <v/>
      </c>
    </row>
    <row r="17" hidden="1" outlineLevel="1" ht="28" customHeight="1">
      <c r="A17" s="16" t="inlineStr">
        <is>
          <t>+ Impairment / intangible amortization (add-back)</t>
        </is>
      </c>
      <c r="B17" s="17" t="inlineStr">
        <is>
          <t>Add back intangible amortization / impairments. FY25 = other operating expense amortization run-rate.</t>
        </is>
      </c>
      <c r="C17" s="18" t="inlineStr">
        <is>
          <t>LULU FY2025 10-K: amortization of intangible assets</t>
        </is>
      </c>
      <c r="D17" s="19" t="inlineStr">
        <is>
          <t>Ctrl+F "Amortization of intangible assets" → other operating expense run-rate (add-back).</t>
        </is>
      </c>
      <c r="E17" s="74" t="n">
        <v>6961</v>
      </c>
      <c r="F17" s="75" t="n">
        <v>0</v>
      </c>
      <c r="G17" s="75" t="n">
        <v>0</v>
      </c>
      <c r="H17" s="75" t="n">
        <v>0</v>
      </c>
      <c r="I17" s="75" t="n">
        <v>0</v>
      </c>
      <c r="J17" s="75" t="n">
        <v>0</v>
      </c>
    </row>
    <row r="18" hidden="1" outlineLevel="1" ht="28" customHeight="1">
      <c r="A18" s="16" t="inlineStr">
        <is>
          <t>+ Restructuring costs (add-back)</t>
        </is>
      </c>
      <c r="B18" s="17" t="inlineStr">
        <is>
          <t>Add back restructuring (severance, store closures). LULU FY25: none identified.</t>
        </is>
      </c>
      <c r="C18" s="18" t="inlineStr">
        <is>
          <t>LULU FY2025 10-K: restructuring charges</t>
        </is>
      </c>
      <c r="D18" s="19" t="inlineStr">
        <is>
          <t>Ctrl+F "restructuring" → none material in FY25 10-K.</t>
        </is>
      </c>
      <c r="E18" s="74" t="n">
        <v>0</v>
      </c>
      <c r="F18" s="75" t="n">
        <v>0</v>
      </c>
      <c r="G18" s="75" t="n">
        <v>0</v>
      </c>
      <c r="H18" s="75" t="n">
        <v>0</v>
      </c>
      <c r="I18" s="75" t="n">
        <v>0</v>
      </c>
      <c r="J18" s="75" t="n">
        <v>0</v>
      </c>
    </row>
    <row r="19" hidden="1" outlineLevel="1" ht="28" customHeight="1">
      <c r="A19" s="16" t="inlineStr">
        <is>
          <t>+ Legal / M&amp;A one-offs (add-back)</t>
        </is>
      </c>
      <c r="B19" s="17" t="inlineStr">
        <is>
          <t>Strip one-off legal / M&amp;A advisory fees. LULU FY25: none identified.</t>
        </is>
      </c>
      <c r="C19" s="18" t="inlineStr">
        <is>
          <t>LULU FY2025 10-K: SG&amp;A one-offs</t>
        </is>
      </c>
      <c r="D19" s="19" t="inlineStr">
        <is>
          <t>One-off legal/M&amp;A fees in SG&amp;A; none identified FY25.</t>
        </is>
      </c>
      <c r="E19" s="74" t="n">
        <v>0</v>
      </c>
      <c r="F19" s="75" t="n">
        <v>0</v>
      </c>
      <c r="G19" s="75" t="n">
        <v>0</v>
      </c>
      <c r="H19" s="75" t="n">
        <v>0</v>
      </c>
      <c r="I19" s="75" t="n">
        <v>0</v>
      </c>
      <c r="J19" s="75" t="n">
        <v>0</v>
      </c>
    </row>
    <row r="20" hidden="1" outlineLevel="1" ht="42" customHeight="1">
      <c r="A20" s="16" t="inlineStr">
        <is>
          <t>+ Stock-based compensation (add-back only if flag = 1)</t>
        </is>
      </c>
      <c r="B20" s="17" t="inlineStr">
        <is>
          <t>Not % of revenue; SBC add-back flag. Set to 0 (Convention A).
SBC stays inside Scenarios EBIT/NOPAT as a real economic cost; DCF uses basic shares (111.4M).
FY25 reference: $62,203k (10-K). Flag = 1 would add back (Convention B + diluted shares); not used.</t>
        </is>
      </c>
      <c r="C20" s="18" t="inlineStr">
        <is>
          <t>LULU CF statement (10-K): stock-based compensation</t>
        </is>
      </c>
      <c r="D20" s="19" t="inlineStr">
        <is>
          <t>Ctrl+F "Stock-based compensation expense"
→ 62,203 ($000) FY25 reference. Flag = 0: SBC stays in EBIT (Convention A); DCF IV uses basic 111,380k shares.</t>
        </is>
      </c>
      <c r="E20" s="75">
        <f>62203*$E$7</f>
        <v/>
      </c>
      <c r="F20" s="75">
        <f>Scenarios!G25/11102600*62203*$E$7</f>
        <v/>
      </c>
      <c r="G20" s="75">
        <f>Scenarios!G26/11102600*62203*$E$7</f>
        <v/>
      </c>
      <c r="H20" s="75">
        <f>Scenarios!G27/11102600*62203*$E$7</f>
        <v/>
      </c>
      <c r="I20" s="75">
        <f>Scenarios!G28/11102600*62203*$E$7</f>
        <v/>
      </c>
      <c r="J20" s="75">
        <f>Scenarios!G29/11102600*62203*$E$7</f>
        <v/>
      </c>
    </row>
    <row r="21" hidden="1" outlineLevel="1" ht="28" customHeight="1">
      <c r="A21" s="23">
        <f> Adjusted EBIT (Phase 1)</f>
        <v/>
      </c>
      <c r="B21" s="17" t="inlineStr">
        <is>
          <t>Phase 1 adjusted EBIT = reported + non-recurring add-backs. SBC add-back = 0 when flag = 0.</t>
        </is>
      </c>
      <c r="C21" s="24" t="inlineStr">
        <is>
          <t>NOPAT Bridge tab: Phase 1 subtotal</t>
        </is>
      </c>
      <c r="D21" s="19" t="inlineStr">
        <is>
          <t>Sum of reported EBIT + Phase 1 add-backs on this tab.</t>
        </is>
      </c>
      <c r="F21" s="25">
        <f>F16+F17+F18+F19+F20</f>
        <v/>
      </c>
      <c r="G21" s="25">
        <f>G16+G17+G18+G19+G20</f>
        <v/>
      </c>
      <c r="H21" s="25">
        <f>H16+H17+H18+H19+H20</f>
        <v/>
      </c>
      <c r="I21" s="25">
        <f>I16+I17+I18+I19+I20</f>
        <v/>
      </c>
      <c r="J21" s="25">
        <f>J16+J17+J18+J19+J20</f>
        <v/>
      </c>
    </row>
    <row r="22" hidden="1" outlineLevel="1">
      <c r="A22" s="73" t="inlineStr">
        <is>
          <t>Phase 2 — Lease &amp; capitalization (ASC 842 / IFRS 16)</t>
        </is>
      </c>
    </row>
    <row r="23" hidden="1" outlineLevel="1" ht="42" customHeight="1">
      <c r="A23" s="16" t="inlineStr">
        <is>
          <t>+ Implied lease interest expense (reclass from rent)</t>
        </is>
      </c>
      <c r="B23" s="17" t="inlineStr">
        <is>
          <t>Not % of revenue; implied lease interest ($1,028k FY25). Reclass from rent to unlevered EBIT; scales with revenue in forecast.</t>
        </is>
      </c>
      <c r="C23" s="18" t="inlineStr">
        <is>
          <t>LULU FY2025 10-K: interest on lease liabilities (supplemental)</t>
        </is>
      </c>
      <c r="D23" s="19" t="inlineStr">
        <is>
          <t>Ctrl+F "Interest paid on lease liabilities"
→ 1,028 ($000) supplemental cash-flow disclosure. Reclass to unlevered EBIT.</t>
        </is>
      </c>
      <c r="E23" s="74" t="n">
        <v>1028</v>
      </c>
      <c r="F23" s="75">
        <f>1028*(Scenarios!G25/11102600)</f>
        <v/>
      </c>
      <c r="G23" s="75">
        <f>1028*(Scenarios!G26/11102600)</f>
        <v/>
      </c>
      <c r="H23" s="75">
        <f>1028*(Scenarios!G27/11102600)</f>
        <v/>
      </c>
      <c r="I23" s="75">
        <f>1028*(Scenarios!G28/11102600)</f>
        <v/>
      </c>
      <c r="J23" s="75">
        <f>1028*(Scenarios!G29/11102600)</f>
        <v/>
      </c>
    </row>
    <row r="24" hidden="1" outlineLevel="1" ht="28" customHeight="1">
      <c r="A24" s="16" t="inlineStr">
        <is>
          <t>+ Capitalize R&amp;D / software (current-year expense)</t>
        </is>
      </c>
      <c r="B24" s="17" t="inlineStr">
        <is>
          <t>Capitalize multi-year software/R&amp;D. LULU: immaterial separate R&amp;D line; held at $0.</t>
        </is>
      </c>
      <c r="C24" s="18" t="inlineStr">
        <is>
          <t>LULU FY2025 10-K: R&amp;D / software expense</t>
        </is>
      </c>
      <c r="D24" s="19" t="inlineStr">
        <is>
          <t>R&amp;D / software capitalization; LULU immaterial; held at $0.</t>
        </is>
      </c>
      <c r="E24" s="74" t="n">
        <v>0</v>
      </c>
      <c r="F24" s="75" t="n">
        <v>0</v>
      </c>
      <c r="G24" s="75" t="n">
        <v>0</v>
      </c>
      <c r="H24" s="75" t="n">
        <v>0</v>
      </c>
      <c r="I24" s="75" t="n">
        <v>0</v>
      </c>
      <c r="J24" s="75" t="n">
        <v>0</v>
      </c>
    </row>
    <row r="25" hidden="1" outlineLevel="1" ht="28" customHeight="1">
      <c r="A25" s="16" t="inlineStr">
        <is>
          <t>− Amortization of prior capitalized intangibles</t>
        </is>
      </c>
      <c r="B25" s="17" t="inlineStr">
        <is>
          <t>Amortization of prior capitalized intangibles. LULU: flows through existing D&amp;A.</t>
        </is>
      </c>
      <c r="C25" s="18" t="inlineStr">
        <is>
          <t>LULU FY2025 10-K: intangible amortization</t>
        </is>
      </c>
      <c r="D25" s="19" t="inlineStr">
        <is>
          <t>Amortization of prior capitalized intangibles; netted in D&amp;A line.</t>
        </is>
      </c>
      <c r="E25" s="74" t="n">
        <v>6961</v>
      </c>
      <c r="F25" s="75" t="n">
        <v>0</v>
      </c>
      <c r="G25" s="75" t="n">
        <v>0</v>
      </c>
      <c r="H25" s="75" t="n">
        <v>0</v>
      </c>
      <c r="I25" s="75" t="n">
        <v>0</v>
      </c>
      <c r="J25" s="75" t="n">
        <v>0</v>
      </c>
    </row>
    <row r="26" hidden="1" outlineLevel="1" ht="28" customHeight="1">
      <c r="A26" s="23">
        <f> EBIT after lease &amp; capitalization (Phase 2)</f>
        <v/>
      </c>
      <c r="B26" s="17" t="inlineStr">
        <is>
          <t>Phase 2 EBIT = Phase 1 + lease interest reclass + R&amp;D cap − amortization.</t>
        </is>
      </c>
      <c r="C26" s="24" t="inlineStr">
        <is>
          <t>NOPAT Bridge tab: Phase 2 subtotal</t>
        </is>
      </c>
      <c r="D26" s="19" t="inlineStr">
        <is>
          <t>Phase 1 + lease interest + R&amp;D cap − amortization.</t>
        </is>
      </c>
      <c r="F26" s="25">
        <f>F21+F23+F24-F25</f>
        <v/>
      </c>
      <c r="G26" s="25">
        <f>G21+G23+G24-G25</f>
        <v/>
      </c>
      <c r="H26" s="25">
        <f>H21+H23+H24-H25</f>
        <v/>
      </c>
      <c r="I26" s="25">
        <f>I21+I23+I24-I25</f>
        <v/>
      </c>
      <c r="J26" s="25">
        <f>J21+J23+J24-J25</f>
        <v/>
      </c>
    </row>
    <row r="27" hidden="1" outlineLevel="1">
      <c r="A27" s="73" t="inlineStr">
        <is>
          <t>Phase 3 — Segment / channel EBIT (driver-based)</t>
        </is>
      </c>
    </row>
    <row r="28" hidden="1" outlineLevel="1" ht="28" customHeight="1">
      <c r="A28" s="16" t="inlineStr">
        <is>
          <t xml:space="preserve">  Store-channel revenue</t>
        </is>
      </c>
      <c r="B28" s="17" t="inlineStr">
        <is>
          <t>Not % of revenue; store-channel revenue from Revenue Drivers tab.</t>
        </is>
      </c>
      <c r="C28" s="18" t="inlineStr">
        <is>
          <t>Revenue Drivers tab: store-channel revenue</t>
        </is>
      </c>
      <c r="D28" s="19" t="inlineStr">
        <is>
          <t>Revenue Drivers tab → store-channel revenue row.</t>
        </is>
      </c>
      <c r="E28" s="74" t="n">
        <v>5049744</v>
      </c>
      <c r="F28" s="75">
        <f>'Revenue Drivers'!F31</f>
        <v/>
      </c>
      <c r="G28" s="75">
        <f>'Revenue Drivers'!G31</f>
        <v/>
      </c>
      <c r="H28" s="75">
        <f>'Revenue Drivers'!H31</f>
        <v/>
      </c>
      <c r="I28" s="75">
        <f>'Revenue Drivers'!I31</f>
        <v/>
      </c>
      <c r="J28" s="75">
        <f>'Revenue Drivers'!J31</f>
        <v/>
      </c>
    </row>
    <row r="29" hidden="1" outlineLevel="1" ht="28" customHeight="1">
      <c r="A29" s="16" t="inlineStr">
        <is>
          <t xml:space="preserve">  E-commerce revenue</t>
        </is>
      </c>
      <c r="B29" s="17" t="inlineStr">
        <is>
          <t>Not % of revenue; e-commerce revenue from Revenue Drivers tab.</t>
        </is>
      </c>
      <c r="C29" s="18" t="inlineStr">
        <is>
          <t>Revenue Drivers tab: e-commerce revenue</t>
        </is>
      </c>
      <c r="D29" s="19" t="inlineStr">
        <is>
          <t>Revenue Drivers tab → e-commerce revenue row.</t>
        </is>
      </c>
      <c r="E29" s="74" t="n">
        <v>4918697</v>
      </c>
      <c r="F29" s="75">
        <f>'Revenue Drivers'!F41</f>
        <v/>
      </c>
      <c r="G29" s="75">
        <f>'Revenue Drivers'!G41</f>
        <v/>
      </c>
      <c r="H29" s="75">
        <f>'Revenue Drivers'!H41</f>
        <v/>
      </c>
      <c r="I29" s="75">
        <f>'Revenue Drivers'!I41</f>
        <v/>
      </c>
      <c r="J29" s="75">
        <f>'Revenue Drivers'!J41</f>
        <v/>
      </c>
    </row>
    <row r="30" hidden="1" outlineLevel="1" ht="28" customHeight="1">
      <c r="A30" s="16" t="inlineStr">
        <is>
          <t xml:space="preserve">  Other channels revenue</t>
        </is>
      </c>
      <c r="B30" s="17" t="inlineStr">
        <is>
          <t>Not % of revenue; wholesale/license/outlet revenue from Revenue Drivers tab.</t>
        </is>
      </c>
      <c r="C30" s="18" t="inlineStr">
        <is>
          <t>Revenue Drivers tab: other channels revenue</t>
        </is>
      </c>
      <c r="D30" s="19" t="inlineStr">
        <is>
          <t>Revenue Drivers tab → other channels revenue row.</t>
        </is>
      </c>
      <c r="E30" s="74" t="n">
        <v>1134159</v>
      </c>
      <c r="F30" s="75">
        <f>'Revenue Drivers'!F45</f>
        <v/>
      </c>
      <c r="G30" s="75">
        <f>'Revenue Drivers'!G45</f>
        <v/>
      </c>
      <c r="H30" s="75">
        <f>'Revenue Drivers'!H45</f>
        <v/>
      </c>
      <c r="I30" s="75">
        <f>'Revenue Drivers'!I45</f>
        <v/>
      </c>
      <c r="J30" s="75">
        <f>'Revenue Drivers'!J45</f>
        <v/>
      </c>
    </row>
    <row r="31" hidden="1" outlineLevel="1" ht="70" customHeight="1">
      <c r="A31" s="16" t="inlineStr">
        <is>
          <t xml:space="preserve">  Store-channel EBIT (= Rev × store margin)</t>
        </is>
      </c>
      <c r="B31" s="17" t="inlineStr">
        <is>
          <t>Not % of consolidated revenue; store EBIT ÷ store revenue only (not Scenarios consolidated EBIT margin).
EBIT_store,t = Rev_store,t × 18.6%
FY25: 5,049,744 × 18.6% ≈ 939,252 ($000).
Margin from driver assumptions row above; ties to 10-K store revenue.</t>
        </is>
      </c>
      <c r="C31" s="18" t="inlineStr">
        <is>
          <t>FY2025 10-K: company-operated stores net revenue</t>
        </is>
      </c>
      <c r="D31" s="19" t="inlineStr">
        <is>
          <t>Not consolidated EBIT margin; store EBIT ÷ store revenue only.
Ctrl+F "Company-operated stores"
→ 5,049,744 ($000)
EBIT = Rev × 18.6% → ≈ 939,252 ($000)</t>
        </is>
      </c>
      <c r="E31" s="75" t="n">
        <v>939252.384</v>
      </c>
      <c r="F31" s="75">
        <f>F28*E$9</f>
        <v/>
      </c>
      <c r="G31" s="75">
        <f>G28*E$9</f>
        <v/>
      </c>
      <c r="H31" s="75">
        <f>H28*E$9</f>
        <v/>
      </c>
      <c r="I31" s="75">
        <f>I28*E$9</f>
        <v/>
      </c>
      <c r="J31" s="75">
        <f>J28*E$9</f>
        <v/>
      </c>
    </row>
    <row r="32" hidden="1" outlineLevel="1" ht="70" customHeight="1">
      <c r="A32" s="16" t="inlineStr">
        <is>
          <t xml:space="preserve">  E-commerce EBIT (= Rev × e-comm margin)</t>
        </is>
      </c>
      <c r="B32" s="17" t="inlineStr">
        <is>
          <t>Not % of consolidated revenue; e-commerce EBIT ÷ e-commerce revenue only (not Scenarios consolidated EBIT margin).
EBIT_e-comm,t = Rev_e-comm,t × 23.6%
FY25: 4,918,697 × 23.6% ≈ 1,160,812 ($000).
Higher than stores; no brick-and-mortar occupancy drag.</t>
        </is>
      </c>
      <c r="C32" s="18" t="inlineStr">
        <is>
          <t>FY2025 10-K: e-commerce net revenue</t>
        </is>
      </c>
      <c r="D32" s="19" t="inlineStr">
        <is>
          <t>Not consolidated EBIT margin; e-commerce EBIT ÷ e-commerce revenue only.
Ctrl+F "E-commerce"
→ 4,918,697 ($000)
EBIT = Rev × 23.6% → ≈ 1,160,812 ($000)</t>
        </is>
      </c>
      <c r="E32" s="75" t="n">
        <v>1160812.492</v>
      </c>
      <c r="F32" s="75">
        <f>F29*E$10</f>
        <v/>
      </c>
      <c r="G32" s="75">
        <f>G29*E$10</f>
        <v/>
      </c>
      <c r="H32" s="75">
        <f>H29*E$10</f>
        <v/>
      </c>
      <c r="I32" s="75">
        <f>I29*E$10</f>
        <v/>
      </c>
      <c r="J32" s="75">
        <f>J29*E$10</f>
        <v/>
      </c>
    </row>
    <row r="33" hidden="1" outlineLevel="1" ht="56" customHeight="1">
      <c r="A33" s="16" t="inlineStr">
        <is>
          <t xml:space="preserve">  Other-channels EBIT (= Rev × other margin)</t>
        </is>
      </c>
      <c r="B33" s="17" t="inlineStr">
        <is>
          <t>Not % of consolidated revenue; other-channel EBIT ÷ other revenue only (not Scenarios consolidated EBIT margin).
EBIT_other,t = Rev_other,t × 9.1%
FY25: 1,134,159 × 9.1% ≈ 103,209 ($000).
Wholesale/license/outlets; lowest channel margin.</t>
        </is>
      </c>
      <c r="C33" s="18" t="inlineStr">
        <is>
          <t>FY2025 10-K: other channels (residual)</t>
        </is>
      </c>
      <c r="D33" s="19" t="inlineStr">
        <is>
          <t>Not consolidated EBIT margin; other-channel EBIT ÷ other revenue only.
Other rev = 11,102,600 − 5,049,744 − 4,918,697 ≈ 1,134,159 ($000)
EBIT = Rev × 9.1% → ≈ 103,209 ($000)</t>
        </is>
      </c>
      <c r="E33" s="75" t="n">
        <v>103208.469</v>
      </c>
      <c r="F33" s="75">
        <f>F30*E$11</f>
        <v/>
      </c>
      <c r="G33" s="75">
        <f>G30*E$11</f>
        <v/>
      </c>
      <c r="H33" s="75">
        <f>H30*E$11</f>
        <v/>
      </c>
      <c r="I33" s="75">
        <f>I30*E$11</f>
        <v/>
      </c>
      <c r="J33" s="75">
        <f>J30*E$11</f>
        <v/>
      </c>
    </row>
    <row r="34" hidden="1" outlineLevel="1" ht="28" customHeight="1">
      <c r="A34" s="23" t="inlineStr">
        <is>
          <t xml:space="preserve">  Channel EBIT (sum of sector EBIT)</t>
        </is>
      </c>
      <c r="B34" s="17" t="inlineStr">
        <is>
          <t>Phase 3 channel EBIT = Σ sector EBIT_i. FY26 adds Scenarios tariff refund.</t>
        </is>
      </c>
      <c r="C34" s="24" t="inlineStr">
        <is>
          <t>NOPAT Bridge tab: sector EBIT subtotal</t>
        </is>
      </c>
      <c r="D34" s="19" t="inlineStr">
        <is>
          <t>Sum of sector EBIT rows. FY26 adds Scenarios tariff refund cell.</t>
        </is>
      </c>
      <c r="F34" s="70">
        <f>F31+F32+F33+Scenarios!G7</f>
        <v/>
      </c>
      <c r="G34" s="70">
        <f>G31+G32+G33</f>
        <v/>
      </c>
      <c r="H34" s="70">
        <f>H31+H32+H33</f>
        <v/>
      </c>
      <c r="I34" s="70">
        <f>I31+I32+I33</f>
        <v/>
      </c>
      <c r="J34" s="70">
        <f>J31+J32+J33</f>
        <v/>
      </c>
    </row>
    <row r="35" hidden="1" outlineLevel="1" ht="28" customHeight="1">
      <c r="A35" s="23">
        <f> EBIT after channel mix (Phase 3)</f>
        <v/>
      </c>
      <c r="B35" s="17" t="inlineStr">
        <is>
          <t>Channel-mix EBIT output (Phase 3). Check row vs Scenarios shows channel vs margin-path gap.</t>
        </is>
      </c>
      <c r="C35" s="24" t="inlineStr">
        <is>
          <t>NOPAT Bridge tab: Phase 3 subtotal</t>
        </is>
      </c>
      <c r="D35" s="19" t="inlineStr">
        <is>
          <t>Channel EBIT subtotal (Phase 3). Compare Check row vs Scenarios.</t>
        </is>
      </c>
      <c r="E35" s="76" t="n">
        <v>2203273.345</v>
      </c>
      <c r="F35" s="25">
        <f>F34</f>
        <v/>
      </c>
      <c r="G35" s="25">
        <f>G34</f>
        <v/>
      </c>
      <c r="H35" s="25">
        <f>H34</f>
        <v/>
      </c>
      <c r="I35" s="25">
        <f>I34</f>
        <v/>
      </c>
      <c r="J35" s="25">
        <f>J34</f>
        <v/>
      </c>
    </row>
    <row r="36" hidden="1" outlineLevel="1" ht="28" customHeight="1">
      <c r="A36" s="23">
        <f> Normalized EBIT (tax base for NOPAT)</f>
        <v/>
      </c>
      <c r="B36" s="17" t="inlineStr">
        <is>
          <t>FY25: Phases 1–2 walk-through (SBC not added back; flag = 0). Forecast: Scenarios base EBIT; tax base for NOPAT.</t>
        </is>
      </c>
      <c r="C36" s="24" t="inlineStr">
        <is>
          <t>Scenarios tab: base-case EBIT (forecast)</t>
        </is>
      </c>
      <c r="D36" s="19" t="inlineStr">
        <is>
          <t>FY25: Phase 1–2 formula. Forecast: Scenarios base EBIT (tax base).</t>
        </is>
      </c>
      <c r="E36" s="25">
        <f>E21+E23+E24-E25</f>
        <v/>
      </c>
      <c r="F36" s="25">
        <f>Scenarios!G45</f>
        <v/>
      </c>
      <c r="G36" s="25">
        <f>Scenarios!G46</f>
        <v/>
      </c>
      <c r="H36" s="25">
        <f>Scenarios!G47</f>
        <v/>
      </c>
      <c r="I36" s="25">
        <f>Scenarios!G48</f>
        <v/>
      </c>
      <c r="J36" s="25">
        <f>Scenarios!G49</f>
        <v/>
      </c>
    </row>
    <row r="37" hidden="1" outlineLevel="1">
      <c r="A37" s="16" t="inlineStr">
        <is>
          <t xml:space="preserve">  Check vs Scenarios EBIT (base case)</t>
        </is>
      </c>
      <c r="F37" s="75">
        <f>F36-Scenarios!G45</f>
        <v/>
      </c>
      <c r="G37" s="75">
        <f>G36-Scenarios!G46</f>
        <v/>
      </c>
      <c r="H37" s="75">
        <f>H36-Scenarios!G47</f>
        <v/>
      </c>
      <c r="I37" s="75">
        <f>I36-Scenarios!G48</f>
        <v/>
      </c>
      <c r="J37" s="75">
        <f>J36-Scenarios!G49</f>
        <v/>
      </c>
    </row>
    <row r="38" hidden="1" outlineLevel="1">
      <c r="A38" s="73" t="inlineStr">
        <is>
          <t>Phase 4 — Tax normalization to NOPAT</t>
        </is>
      </c>
    </row>
    <row r="39" hidden="1" outlineLevel="1" ht="70" customHeight="1">
      <c r="A39" s="16" t="inlineStr">
        <is>
          <t>Operating effective tax rate (t_operating)</t>
        </is>
      </c>
      <c r="B39" s="17" t="inlineStr">
        <is>
          <t>Operating effective tax rate: (tax + interest shield) ÷ (EBT + interest). Transitions from FY25 t_operating toward 30% marginal over 5 years.</t>
        </is>
      </c>
      <c r="C39" s="18" t="inlineStr">
        <is>
          <t>LULU FY2025 10-K: income tax &amp; interest expense</t>
        </is>
      </c>
      <c r="D39" s="19" t="inlineStr">
        <is>
          <t>t_operating = (tax + interest×30%) ÷ (EBT + interest).
Ctrl+F "Income tax expense" → 659,784
Ctrl+F "Income before income tax expense" → 2,238,967
Ctrl+F "Interest paid on lease liabilities" → 1,028</t>
        </is>
      </c>
      <c r="E39" s="77" t="n">
        <v>0.2946847649213503</v>
      </c>
      <c r="F39" s="32">
        <f>0.29468476492135026+(F$12-0.29468476492135026)*1/5</f>
        <v/>
      </c>
      <c r="G39" s="32">
        <f>0.29468476492135026+(G$12-0.29468476492135026)*2/5</f>
        <v/>
      </c>
      <c r="H39" s="32">
        <f>0.29468476492135026+(H$12-0.29468476492135026)*3/5</f>
        <v/>
      </c>
      <c r="I39" s="32">
        <f>0.29468476492135026+(I$12-0.29468476492135026)*4/5</f>
        <v/>
      </c>
      <c r="J39" s="32">
        <f>0.29468476492135026+(J$12-0.29468476492135026)*5/5</f>
        <v/>
      </c>
    </row>
    <row r="40" hidden="1" outlineLevel="1" ht="28" customHeight="1">
      <c r="A40" s="16" t="inlineStr">
        <is>
          <t>Unlevered tax on normalized EBIT</t>
        </is>
      </c>
      <c r="B40" s="17" t="inlineStr">
        <is>
          <t>Unlevered tax = normalized EBIT × t_operating. Strips debt-interest tax shield from GAAP rate.</t>
        </is>
      </c>
      <c r="C40" s="24" t="inlineStr">
        <is>
          <t>NOPAT Bridge tab: unlevered tax expense</t>
        </is>
      </c>
      <c r="D40" s="19" t="inlineStr">
        <is>
          <t>Normalized EBIT × t_operating; unlevered tax (no debt shield).</t>
        </is>
      </c>
      <c r="F40" s="75">
        <f>F36*F39</f>
        <v/>
      </c>
      <c r="G40" s="75">
        <f>G36*G39</f>
        <v/>
      </c>
      <c r="H40" s="75">
        <f>H36*H39</f>
        <v/>
      </c>
      <c r="I40" s="75">
        <f>I36*I39</f>
        <v/>
      </c>
      <c r="J40" s="75">
        <f>J36*J39</f>
        <v/>
      </c>
    </row>
    <row r="41" ht="28" customHeight="1">
      <c r="A41" s="23" t="inlineStr">
        <is>
          <t>NORMALIZED NOPAT</t>
        </is>
      </c>
      <c r="B41" s="17" t="inlineStr">
        <is>
          <t>NORMALIZED NOPAT = EBIT_norm × (1 − t_operating). Scenarios base case links here.</t>
        </is>
      </c>
      <c r="C41" s="24" t="inlineStr">
        <is>
          <t>NOPAT Bridge tab: normalized NOPAT</t>
        </is>
      </c>
      <c r="D41" s="19" t="inlineStr">
        <is>
          <t>EBIT_norm − unlevered tax. Scenarios base-case NOPAT links to this row.</t>
        </is>
      </c>
      <c r="F41" s="25">
        <f>F36-F40</f>
        <v/>
      </c>
      <c r="G41" s="25">
        <f>G36-G40</f>
        <v/>
      </c>
      <c r="H41" s="25">
        <f>H36-H40</f>
        <v/>
      </c>
      <c r="I41" s="25">
        <f>I36-I40</f>
        <v/>
      </c>
      <c r="J41" s="25">
        <f>J36-J40</f>
        <v/>
      </c>
    </row>
    <row r="43">
      <c r="A43" s="73" t="inlineStr">
        <is>
          <t>Phase 5 — Agent workflow (execution steps)</t>
        </is>
      </c>
    </row>
    <row r="44">
      <c r="B44" s="78" t="inlineStr">
        <is>
          <t>Source</t>
        </is>
      </c>
      <c r="C44" s="78" t="inlineStr">
        <is>
          <t>Without applied (FY26 DCF)</t>
        </is>
      </c>
      <c r="D44" s="78" t="inlineStr">
        <is>
          <t>With applied (FY26 DCF)</t>
        </is>
      </c>
      <c r="F44" s="78" t="inlineStr">
        <is>
          <t>Output</t>
        </is>
      </c>
    </row>
    <row r="45">
      <c r="A45" s="61" t="inlineStr">
        <is>
          <t>1. Clean base</t>
        </is>
      </c>
      <c r="B45" s="79" t="inlineStr">
        <is>
          <t>SEC 10-K income statement</t>
        </is>
      </c>
      <c r="C45" s="79" t="inlineStr">
        <is>
          <t>EBIT = 13.2% × rev + tariff; SBC stays expensed (flag = 0).</t>
        </is>
      </c>
      <c r="D45" s="79" t="inlineStr">
        <is>
          <t>DCF unchanged.</t>
        </is>
      </c>
      <c r="F45" s="80" t="inlineStr">
        <is>
          <t>EBIT_adj (Phase 1)</t>
        </is>
      </c>
    </row>
    <row r="46">
      <c r="A46" s="61" t="inlineStr">
        <is>
          <t>2. Capitalize R&amp;D</t>
        </is>
      </c>
      <c r="B46" s="79" t="inlineStr">
        <is>
          <t>SG&amp;A footnotes</t>
        </is>
      </c>
      <c r="C46" s="79" t="inlineStr">
        <is>
          <t>R&amp;D/software expensed in full each year ($0 for LULU).</t>
        </is>
      </c>
      <c r="D46" s="79" t="inlineStr">
        <is>
          <t>DCF unchanged.</t>
        </is>
      </c>
      <c r="F46" s="80" t="inlineStr">
        <is>
          <t>EBIT_capitalized (Phase 2)</t>
        </is>
      </c>
    </row>
    <row r="47">
      <c r="A47" s="61" t="inlineStr">
        <is>
          <t>3. Lease shift</t>
        </is>
      </c>
      <c r="B47" s="79" t="inlineStr">
        <is>
          <t>ASC 842 lease footnote</t>
        </is>
      </c>
      <c r="C47" s="79" t="inlineStr">
        <is>
          <t>Rent in opex; no implied lease-interest add-back.</t>
        </is>
      </c>
      <c r="D47" s="79" t="inlineStr">
        <is>
          <t>DCF unchanged.</t>
        </is>
      </c>
      <c r="F47" s="80" t="inlineStr">
        <is>
          <t>EBIT_lease-adj (Phase 2)</t>
        </is>
      </c>
    </row>
    <row r="48">
      <c r="A48" s="61" t="inlineStr">
        <is>
          <t>4. Segment mix</t>
        </is>
      </c>
      <c r="B48" s="79" t="inlineStr">
        <is>
          <t>Revenue Drivers tab</t>
        </is>
      </c>
      <c r="C48" s="79" t="inlineStr">
        <is>
          <t>DCF uses consolidated 13.2% on total revenue (+ tariff).</t>
        </is>
      </c>
      <c r="D48" s="79" t="inlineStr">
        <is>
          <t>DCF unchanged.</t>
        </is>
      </c>
      <c r="F48" s="80" t="inlineStr">
        <is>
          <t>Forecast EBIT (Phase 3)</t>
        </is>
      </c>
    </row>
    <row r="49">
      <c r="A49" s="61" t="inlineStr">
        <is>
          <t>5. NOPAT bridge</t>
        </is>
      </c>
      <c r="B49" s="79" t="inlineStr">
        <is>
          <t>Normalized EBIT &amp; t_operating</t>
        </is>
      </c>
      <c r="C49" s="79" t="inlineStr">
        <is>
          <t>NOPAT = EBIT × (1 − 30%) flat sc_tax.</t>
        </is>
      </c>
      <c r="D49" s="79" t="inlineStr">
        <is>
          <t>NOPAT = EBIT × (1 − t_operating) — same EBIT, slightly higher NOPAT.</t>
        </is>
      </c>
      <c r="F49" s="80" t="inlineStr">
        <is>
          <t>Normalized NOPAT</t>
        </is>
      </c>
    </row>
    <row r="50">
      <c r="A50" s="61" t="inlineStr">
        <is>
          <t>6. Tariff refund (Scenarios)</t>
        </is>
      </c>
      <c r="B50" s="79" t="inlineStr">
        <is>
          <t>Q2 FY2026 earnings release</t>
        </is>
      </c>
      <c r="C50" s="79" t="inlineStr">
        <is>
          <t>EBIT = Rev × 13.2% only (no refund).</t>
        </is>
      </c>
      <c r="D50" s="79" t="inlineStr">
        <is>
          <t>+ $134,500k in FY26 — DCF uses this.</t>
        </is>
      </c>
      <c r="F50" s="80" t="inlineStr">
        <is>
          <t>Scenarios EBIT (FY26)</t>
        </is>
      </c>
    </row>
    <row r="51">
      <c r="A51" s="26" t="inlineStr">
        <is>
          <t>Steps 1–4: DCF unchanged on FY26. Step 5 changes NOPAT only (tax). Step 6 changes FY26 EBIT (+ tariff).</t>
        </is>
      </c>
    </row>
    <row r="52">
      <c r="A52" s="26" t="inlineStr">
        <is>
          <t>Scenarios base-case NOPAT (col G) links to NORMALIZED NOPAT above. Bear/bull apply the same t_operating to their EBIT paths.</t>
        </is>
      </c>
    </row>
  </sheetData>
  <hyperlinks>
    <hyperlink xmlns:r="http://schemas.openxmlformats.org/officeDocument/2006/relationships" ref="C7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6" r:id="rId6"/>
    <hyperlink xmlns:r="http://schemas.openxmlformats.org/officeDocument/2006/relationships" ref="E16" r:id="rId7"/>
    <hyperlink xmlns:r="http://schemas.openxmlformats.org/officeDocument/2006/relationships" ref="C17" r:id="rId8"/>
    <hyperlink xmlns:r="http://schemas.openxmlformats.org/officeDocument/2006/relationships" ref="E17" r:id="rId9"/>
    <hyperlink xmlns:r="http://schemas.openxmlformats.org/officeDocument/2006/relationships" ref="C18" r:id="rId10"/>
    <hyperlink xmlns:r="http://schemas.openxmlformats.org/officeDocument/2006/relationships" ref="E18" r:id="rId11"/>
    <hyperlink xmlns:r="http://schemas.openxmlformats.org/officeDocument/2006/relationships" ref="C19" r:id="rId12"/>
    <hyperlink xmlns:r="http://schemas.openxmlformats.org/officeDocument/2006/relationships" ref="E19" r:id="rId13"/>
    <hyperlink xmlns:r="http://schemas.openxmlformats.org/officeDocument/2006/relationships" ref="C20" r:id="rId14"/>
    <hyperlink xmlns:r="http://schemas.openxmlformats.org/officeDocument/2006/relationships" ref="C23" r:id="rId15"/>
    <hyperlink xmlns:r="http://schemas.openxmlformats.org/officeDocument/2006/relationships" ref="E23" r:id="rId16"/>
    <hyperlink xmlns:r="http://schemas.openxmlformats.org/officeDocument/2006/relationships" ref="C24" r:id="rId17"/>
    <hyperlink xmlns:r="http://schemas.openxmlformats.org/officeDocument/2006/relationships" ref="E24" r:id="rId18"/>
    <hyperlink xmlns:r="http://schemas.openxmlformats.org/officeDocument/2006/relationships" ref="C25" r:id="rId19"/>
    <hyperlink xmlns:r="http://schemas.openxmlformats.org/officeDocument/2006/relationships" ref="E25" r:id="rId20"/>
    <hyperlink ref="C28" location="'Revenue Drivers'!B31"/>
    <hyperlink xmlns:r="http://schemas.openxmlformats.org/officeDocument/2006/relationships" ref="E28" r:id="rId21"/>
    <hyperlink ref="C29" location="'Revenue Drivers'!B41"/>
    <hyperlink xmlns:r="http://schemas.openxmlformats.org/officeDocument/2006/relationships" ref="E29" r:id="rId22"/>
    <hyperlink ref="C30" location="'Revenue Drivers'!B45"/>
    <hyperlink xmlns:r="http://schemas.openxmlformats.org/officeDocument/2006/relationships" ref="E30" r:id="rId23"/>
    <hyperlink xmlns:r="http://schemas.openxmlformats.org/officeDocument/2006/relationships" ref="C31" r:id="rId24"/>
    <hyperlink xmlns:r="http://schemas.openxmlformats.org/officeDocument/2006/relationships" ref="C32" r:id="rId25"/>
    <hyperlink xmlns:r="http://schemas.openxmlformats.org/officeDocument/2006/relationships" ref="C33" r:id="rId26"/>
    <hyperlink xmlns:r="http://schemas.openxmlformats.org/officeDocument/2006/relationships" ref="E35" r:id="rId27"/>
    <hyperlink xmlns:r="http://schemas.openxmlformats.org/officeDocument/2006/relationships" ref="C39" r:id="rId28"/>
    <hyperlink xmlns:r="http://schemas.openxmlformats.org/officeDocument/2006/relationships" ref="E39" r:id="rId2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0" summaryRight="1"/>
    <pageSetUpPr/>
  </sheetPr>
  <dimension ref="A1:M104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hidden="1" outlineLevel="1" width="26" customWidth="1" min="2" max="2"/>
    <col width="16" customWidth="1" min="3" max="3"/>
    <col hidden="1" outlineLevel="1" width="36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width="16" customWidth="1" min="12" max="12"/>
    <col width="36" customWidth="1" min="13" max="13"/>
  </cols>
  <sheetData>
    <row r="1" ht="16" customHeight="1">
      <c r="A1" s="12" t="inlineStr">
        <is>
          <t>DISCOUNTED CASH FLOW — BASE CASE  (US$ thousands)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78" t="inlineStr">
        <is>
          <t>Justification (~20 words)  [cols B–D: click + to expand]</t>
        </is>
      </c>
      <c r="C2" s="78" t="inlineStr">
        <is>
          <t>Source (click)</t>
        </is>
      </c>
      <c r="D2" s="78" t="inlineStr">
        <is>
          <t>Ctrl+F (prove number)</t>
        </is>
      </c>
      <c r="E2" s="71" t="inlineStr">
        <is>
          <t>FY2025A</t>
        </is>
      </c>
      <c r="F2" s="72" t="inlineStr">
        <is>
          <t>FY2026E</t>
        </is>
      </c>
      <c r="G2" s="72" t="inlineStr">
        <is>
          <t>FY2027E</t>
        </is>
      </c>
      <c r="H2" s="72" t="inlineStr">
        <is>
          <t>FY2028E</t>
        </is>
      </c>
      <c r="I2" s="72" t="inlineStr">
        <is>
          <t>FY2029E</t>
        </is>
      </c>
      <c r="J2" s="72" t="inlineStr">
        <is>
          <t>FY2030E</t>
        </is>
      </c>
      <c r="K2" s="81" t="inlineStr">
        <is>
          <t>Δ vs Scenarios</t>
        </is>
      </c>
      <c r="L2" s="78" t="inlineStr">
        <is>
          <t>Alt. source  [cols L–M: click + to expand]</t>
        </is>
      </c>
      <c r="M2" s="78" t="inlineStr">
        <is>
          <t>Alt. Ctrl+F</t>
        </is>
      </c>
    </row>
    <row r="3" ht="28" customHeight="1">
      <c r="A3" s="82" t="inlineStr">
        <is>
          <t>Forecast drivers linked to Scenarios tab → Base case (column G)</t>
        </is>
      </c>
      <c r="C3" s="19" t="inlineStr">
        <is>
          <t>Ctrl+F "Net revenue" → 11,102,600 or "Depreciation and amortization" → 496,228 on this 10-K HTML file</t>
        </is>
      </c>
      <c r="E3" s="83" t="inlineStr">
        <is>
          <t>10-K</t>
        </is>
      </c>
      <c r="K3" s="84" t="inlineStr">
        <is>
          <t>(should be 0)</t>
        </is>
      </c>
    </row>
    <row r="4" ht="36" customHeight="1">
      <c r="A4" s="38" t="inlineStr">
        <is>
          <t>Full Assumptions Guide (PDF)
Ctrl+F: Every red assumption on every tab — justification, source link, Ctrl+F proof.</t>
        </is>
      </c>
      <c r="C4" s="85" t="inlineStr">
        <is>
          <t>NOPAT Bridge tab
Ctrl+F: 5-phase EBIT normalization → normalized NOPAT (base case).</t>
        </is>
      </c>
      <c r="D4" s="85" t="inlineStr">
        <is>
          <t>Revenue Drivers tab
Ctrl+F: Bottom-up store / DTC / category schedule (FY26–30).</t>
        </is>
      </c>
    </row>
    <row r="5">
      <c r="A5" s="16" t="inlineStr">
        <is>
          <t>Net revenue</t>
        </is>
      </c>
      <c r="E5" s="74" t="n">
        <v>11102600</v>
      </c>
      <c r="F5" s="75">
        <f>Scenarios!G25</f>
        <v/>
      </c>
      <c r="G5" s="75">
        <f>Scenarios!G26</f>
        <v/>
      </c>
      <c r="H5" s="75">
        <f>Scenarios!G27</f>
        <v/>
      </c>
      <c r="I5" s="75">
        <f>Scenarios!G28</f>
        <v/>
      </c>
      <c r="J5" s="75">
        <f>Scenarios!G29</f>
        <v/>
      </c>
      <c r="K5" s="86">
        <f>IF(MAX(ABS(F5-Scenarios!$G$25),ABS(G5-Scenarios!$G$26),ABS(H5-Scenarios!$G$27),ABS(I5-Scenarios!$G$28),ABS(J5-Scenarios!$G$29))&lt;0.5,"OK","CHECK")</f>
        <v/>
      </c>
    </row>
    <row r="6" ht="42" customHeight="1">
      <c r="A6" s="16" t="inlineStr">
        <is>
          <t>Revenue growth %</t>
        </is>
      </c>
      <c r="B6" s="19" t="inlineStr">
        <is>
          <t>−6.1% FY2026 revenue growth matches company guidance midpoint of −5% to −7% after Q2 FY2026 print.
Also: 2.3% FY27–30 growth matches StockAnalysis Revenue Growth Forecast (3Y) of 2.26%; next-year consensus is +2.64%.</t>
        </is>
      </c>
      <c r="C6" s="38" t="inlineStr">
        <is>
          <t>LULU Q2 FY2026 earnings release
Also: StockAnalysis: LULU 3Y revenue forecast</t>
        </is>
      </c>
      <c r="D6" s="19" t="inlineStr">
        <is>
          <t>Ctrl+F "decline of 5% to 7%" → FY2026 revenue guide; model −6.1% midpoint
Also: Ctrl+F "Revenue Growth Forecast (3Y)" → 2.26%. That is the unique line (do not search "Net revenue"). Model FY27–30 uses 2.3%.</t>
        </is>
      </c>
      <c r="F6" s="32">
        <f>F5/E5-1</f>
        <v/>
      </c>
      <c r="G6" s="32">
        <f>G5/F5-1</f>
        <v/>
      </c>
      <c r="H6" s="32">
        <f>H5/G5-1</f>
        <v/>
      </c>
      <c r="I6" s="32">
        <f>I5/H5-1</f>
        <v/>
      </c>
      <c r="J6" s="32">
        <f>J5/I5-1</f>
        <v/>
      </c>
    </row>
    <row r="7" ht="112" customHeight="1">
      <c r="A7" s="16" t="inlineStr">
        <is>
          <t>Gross margin %</t>
        </is>
      </c>
      <c r="B7" s="17" t="inlineStr">
        <is>
          <t>56.6% of revenue (gross margin). Isolates COGS for inventory/AP drivers; base case held near FY25 reported GM.</t>
        </is>
      </c>
      <c r="C7" s="18" t="inlineStr">
        <is>
          <t>LULU FY2025 10-K: Gross profit &amp; COGS</t>
        </is>
      </c>
      <c r="D7" s="19" t="inlineStr">
        <is>
          <t>56.6% of revenue (gross margin).
Ctrl+F "Gross profit"
→ 6,284,132 ($000)
Ctrl+F "Net revenue"
→ 11,102,600 ($000)
Ctrl+F "Cost of goods sold"
→ 4,818,468 ($000)</t>
        </is>
      </c>
      <c r="E7" s="77" t="n">
        <v>0.566005440167168</v>
      </c>
      <c r="F7" s="20">
        <f>Scenarios!$G$14</f>
        <v/>
      </c>
      <c r="G7" s="20">
        <f>Scenarios!$G$14</f>
        <v/>
      </c>
      <c r="H7" s="20">
        <f>Scenarios!$G$14</f>
        <v/>
      </c>
      <c r="I7" s="20">
        <f>Scenarios!$G$14</f>
        <v/>
      </c>
      <c r="J7" s="20">
        <f>Scenarios!$G$14</f>
        <v/>
      </c>
    </row>
    <row r="8">
      <c r="A8" s="16" t="inlineStr">
        <is>
          <t>Cost of goods sold (COGS)</t>
        </is>
      </c>
      <c r="E8" s="74" t="n">
        <v>4818468</v>
      </c>
      <c r="F8" s="75">
        <f>Scenarios!G35</f>
        <v/>
      </c>
      <c r="G8" s="75">
        <f>Scenarios!G36</f>
        <v/>
      </c>
      <c r="H8" s="75">
        <f>Scenarios!G37</f>
        <v/>
      </c>
      <c r="I8" s="75">
        <f>Scenarios!G38</f>
        <v/>
      </c>
      <c r="J8" s="75">
        <f>Scenarios!G39</f>
        <v/>
      </c>
      <c r="K8" s="86">
        <f>IF(MAX(ABS(F8-Scenarios!$G$35),ABS(G8-Scenarios!$G$36),ABS(H8-Scenarios!$G$37),ABS(I8-Scenarios!$G$38),ABS(J8-Scenarios!$G$39))&lt;0.5,"OK","CHECK")</f>
        <v/>
      </c>
    </row>
    <row r="9" ht="42" customHeight="1">
      <c r="A9" s="16" t="inlineStr">
        <is>
          <t>Clean / run-rate EBIT margin %</t>
        </is>
      </c>
      <c r="B9" s="19" t="inlineStr">
        <is>
          <t>13.2% is the real/run-rate OM: Q2 18.8% minus 560bps of tariff refunds. FY26 then adds the $134.5M refund once on top.
Also: FY30 15.5% is a partial recovery vs the FY25 10-K OM of 19.9% (unique Ctrl+F). Still well below the FY24 23.7% peak.</t>
        </is>
      </c>
      <c r="C9" s="38" t="inlineStr">
        <is>
          <t>Q2 FY2026 release: 18.8% OM minus 560bps tariffs
Also: FY2025 10-K: Operating margin 19.9% (one hit)</t>
        </is>
      </c>
      <c r="D9" s="19" t="inlineStr">
        <is>
          <t>Ctrl+F "18.8%" (Q2 OM) and "560 basis points" (tariff boost). Real run-rate = 18.8% − 5.6% = 13.2%. Do not use "decreased 13%".
Also: Ctrl+F "19.9%" (one hit) → Operating margin decreased 380 basis points to 19.9%. That is FY25 OM. Do not search the words Income from operations (17 hits). Model FY30 15.5% is a partial-recovery assumption.</t>
        </is>
      </c>
      <c r="F9" s="32">
        <f>Scenarios!G40</f>
        <v/>
      </c>
      <c r="G9" s="32">
        <f>Scenarios!G41</f>
        <v/>
      </c>
      <c r="H9" s="32">
        <f>Scenarios!G42</f>
        <v/>
      </c>
      <c r="I9" s="32">
        <f>Scenarios!G43</f>
        <v/>
      </c>
      <c r="J9" s="32">
        <f>Scenarios!G44</f>
        <v/>
      </c>
      <c r="K9" s="86">
        <f>IF(MAX(ABS(F9-Scenarios!$G$40),ABS(G9-Scenarios!$G$41),ABS(H9-Scenarios!$G$42),ABS(I9-Scenarios!$G$43),ABS(J9-Scenarios!$G$44))&lt;0.0001,"OK","CHECK")</f>
        <v/>
      </c>
    </row>
    <row r="10" ht="28" customHeight="1">
      <c r="A10" s="16" t="inlineStr">
        <is>
          <t>Plus: FY26 IEEPA tariff refunds (one-time)</t>
        </is>
      </c>
      <c r="B10" s="17" t="inlineStr">
        <is>
          <t>Add back $134.5M in FY26 only; already recognized (reduced COGS). +130bps on FY26 sales, not +560bps (that was Q2-only).</t>
        </is>
      </c>
      <c r="C10" s="18" t="inlineStr">
        <is>
          <t>Q2 FY2026 release: $134.5M IEEPA tariff refunds</t>
        </is>
      </c>
      <c r="D10" s="19" t="inlineStr">
        <is>
          <t>Ctrl+F "134.5 million" → IEEPA tariff refunds reduced COGS. Add this dollar amount to FY26 EBIT only. Full-year boost = 134.5 / FY26 sales ≈ 1.3ppt, not 5.6ppt.</t>
        </is>
      </c>
      <c r="E10" s="74" t="n">
        <v>0</v>
      </c>
      <c r="F10" s="37">
        <f>Scenarios!$G$7</f>
        <v/>
      </c>
      <c r="G10" s="37" t="n">
        <v>0</v>
      </c>
      <c r="H10" s="37" t="n">
        <v>0</v>
      </c>
      <c r="I10" s="37" t="n">
        <v>0</v>
      </c>
      <c r="J10" s="37" t="n">
        <v>0</v>
      </c>
    </row>
    <row r="11">
      <c r="A11" s="23" t="inlineStr">
        <is>
          <t>EBIT (incl. FY26 refund)</t>
        </is>
      </c>
      <c r="E11" s="76" t="n">
        <v>2210615</v>
      </c>
      <c r="F11" s="25">
        <f>Scenarios!G45</f>
        <v/>
      </c>
      <c r="G11" s="25">
        <f>Scenarios!G46</f>
        <v/>
      </c>
      <c r="H11" s="25">
        <f>Scenarios!G47</f>
        <v/>
      </c>
      <c r="I11" s="25">
        <f>Scenarios!G48</f>
        <v/>
      </c>
      <c r="J11" s="25">
        <f>Scenarios!G49</f>
        <v/>
      </c>
      <c r="K11" s="87">
        <f>IF(MAX(ABS(F11-Scenarios!$G$45),ABS(G11-Scenarios!$G$46),ABS(H11-Scenarios!$G$47),ABS(I11-Scenarios!$G$48),ABS(J11-Scenarios!$G$49))&lt;0.5,"OK","CHECK")</f>
        <v/>
      </c>
    </row>
    <row r="12">
      <c r="A12" s="16" t="inlineStr">
        <is>
          <t>Reported EBIT margin % (incl. FY26 refund)</t>
        </is>
      </c>
      <c r="E12" s="77" t="n">
        <v>0.1991078666258354</v>
      </c>
      <c r="F12" s="32">
        <f>F11/F5</f>
        <v/>
      </c>
      <c r="G12" s="32">
        <f>G11/G5</f>
        <v/>
      </c>
      <c r="H12" s="32">
        <f>H11/H5</f>
        <v/>
      </c>
      <c r="I12" s="32">
        <f>I11/I5</f>
        <v/>
      </c>
      <c r="J12" s="32">
        <f>J11/J5</f>
        <v/>
      </c>
    </row>
    <row r="13">
      <c r="A13" s="16" t="inlineStr">
        <is>
          <t>Less: unlevered tax (t_operating from NOPAT Bridge)</t>
        </is>
      </c>
      <c r="F13" s="75">
        <f>-'NOPAT Bridge'!F40</f>
        <v/>
      </c>
      <c r="G13" s="75">
        <f>-'NOPAT Bridge'!G40</f>
        <v/>
      </c>
      <c r="H13" s="75">
        <f>-'NOPAT Bridge'!H40</f>
        <v/>
      </c>
      <c r="I13" s="75">
        <f>-'NOPAT Bridge'!I40</f>
        <v/>
      </c>
      <c r="J13" s="75">
        <f>-'NOPAT Bridge'!J40</f>
        <v/>
      </c>
    </row>
    <row r="14">
      <c r="A14" s="23" t="inlineStr">
        <is>
          <t>NOPAT</t>
        </is>
      </c>
      <c r="F14" s="25">
        <f>Scenarios!G50</f>
        <v/>
      </c>
      <c r="G14" s="25">
        <f>Scenarios!G51</f>
        <v/>
      </c>
      <c r="H14" s="25">
        <f>Scenarios!G52</f>
        <v/>
      </c>
      <c r="I14" s="25">
        <f>Scenarios!G53</f>
        <v/>
      </c>
      <c r="J14" s="25">
        <f>Scenarios!G54</f>
        <v/>
      </c>
      <c r="K14" s="87">
        <f>IF(MAX(ABS(F14-Scenarios!$G$50),ABS(G14-Scenarios!$G$51),ABS(H14-Scenarios!$G$52),ABS(I14-Scenarios!$G$53),ABS(J14-Scenarios!$G$54))&lt;0.5,"OK","CHECK")</f>
        <v/>
      </c>
    </row>
    <row r="15" ht="28" customHeight="1">
      <c r="A15" s="16" t="inlineStr">
        <is>
          <t xml:space="preserve">  D&amp;A % of revenue</t>
        </is>
      </c>
      <c r="B15" s="17" t="inlineStr">
        <is>
          <t>4.5% D&amp;A / sales = FY25 496,228 / 11,102,600 on the 10-K cash-flow statement.</t>
        </is>
      </c>
      <c r="C15" s="18" t="inlineStr">
        <is>
          <t>LULU CF statement (10-K)</t>
        </is>
      </c>
      <c r="D15" s="19" t="inlineStr">
        <is>
          <t>Ctrl+F "Depreciation and amortization" → 496,228 on this 10-K HTML (not the SEC viewer). ÷ "Net revenue" 11,102,600 = 4.5%.</t>
        </is>
      </c>
      <c r="F15" s="20">
        <f>Scenarios!$G$12</f>
        <v/>
      </c>
      <c r="G15" s="20">
        <f>Scenarios!$G$12</f>
        <v/>
      </c>
      <c r="H15" s="20">
        <f>Scenarios!$G$12</f>
        <v/>
      </c>
      <c r="I15" s="20">
        <f>Scenarios!$G$12</f>
        <v/>
      </c>
      <c r="J15" s="20">
        <f>Scenarios!$G$12</f>
        <v/>
      </c>
    </row>
    <row r="16">
      <c r="A16" s="16" t="inlineStr">
        <is>
          <t>Plus: depreciation &amp; amortization</t>
        </is>
      </c>
      <c r="F16" s="75">
        <f>Scenarios!G55</f>
        <v/>
      </c>
      <c r="G16" s="75">
        <f>Scenarios!G56</f>
        <v/>
      </c>
      <c r="H16" s="75">
        <f>Scenarios!G57</f>
        <v/>
      </c>
      <c r="I16" s="75">
        <f>Scenarios!G58</f>
        <v/>
      </c>
      <c r="J16" s="75">
        <f>Scenarios!G59</f>
        <v/>
      </c>
      <c r="K16" s="86">
        <f>IF(MAX(ABS(F16-Scenarios!$G$55),ABS(G16-Scenarios!$G$56),ABS(H16-Scenarios!$G$57),ABS(I16-Scenarios!$G$58),ABS(J16-Scenarios!$G$59))&lt;0.5,"OK","CHECK")</f>
        <v/>
      </c>
    </row>
    <row r="17" ht="150" customHeight="1">
      <c r="A17" s="16" t="inlineStr">
        <is>
          <t xml:space="preserve">  Capex % of revenue</t>
        </is>
      </c>
      <c r="B17" s="19" t="inlineStr">
        <is>
          <t>FY26 7.0% is $735M on $10.4B sales, not FY25 $11.1B. Since 7.0% steps toward FY25 6.1%, we assume a fade: DCF 5.5% = (7.0+6.0+5.5+5.0+4.0)/5.
Also: FY26 sales are $10.35–$10.50B (earnings). Use that $10.4B year as the 7% denominator, not FY25 $11.1B.</t>
        </is>
      </c>
      <c r="C17" s="38" t="inlineStr">
        <is>
          <t>LULU 10-K: 2026 capex guide $725–745M
Also: Q2 FY2026 outlook: $10.350B–$10.500B sales</t>
        </is>
      </c>
      <c r="D17" s="19" t="inlineStr">
        <is>
          <t>FY25 actual (10-K)
  Ctrl+F "680,802"  →  capex $680.8M
  Ctrl+F "11,102,600"  →  sales $11.1B
  680.8 / 11,102.6 = 6.1%
FY26 capex (10-K)
  Ctrl+F "$725.0 million and $745.0 million"  →  mid $735M
FY26 sales (earnings)
  Ctrl+F "$10.350 billion to $10.500 billion"  →  $10.35–$10.50B (mid $10.425B)
  7.0% = $735M / $10.425B    ($10B year, not FY25 $11.1B)
DCF blend
  Fade  7.0 / 6.0 / 5.5 / 5.0 / 4.0
  5.5% = (7.0+6.0+5.5+5.0+4.0)/5</t>
        </is>
      </c>
      <c r="F17" s="20">
        <f>Scenarios!$G$13</f>
        <v/>
      </c>
      <c r="G17" s="20">
        <f>Scenarios!$G$13</f>
        <v/>
      </c>
      <c r="H17" s="20">
        <f>Scenarios!$G$13</f>
        <v/>
      </c>
      <c r="I17" s="20">
        <f>Scenarios!$G$13</f>
        <v/>
      </c>
      <c r="J17" s="20">
        <f>Scenarios!$G$13</f>
        <v/>
      </c>
    </row>
    <row r="18">
      <c r="A18" s="16" t="inlineStr">
        <is>
          <t>Less: capital expenditures</t>
        </is>
      </c>
      <c r="F18" s="75">
        <f>-Scenarios!G60</f>
        <v/>
      </c>
      <c r="G18" s="75">
        <f>-Scenarios!G61</f>
        <v/>
      </c>
      <c r="H18" s="75">
        <f>-Scenarios!G62</f>
        <v/>
      </c>
      <c r="I18" s="75">
        <f>-Scenarios!G63</f>
        <v/>
      </c>
      <c r="J18" s="75">
        <f>-Scenarios!G64</f>
        <v/>
      </c>
      <c r="K18" s="86">
        <f>IF(MAX(ABS(F18+Scenarios!$G$60),ABS(G18+Scenarios!$G$61),ABS(H18+Scenarios!$G$62),ABS(I18+Scenarios!$G$63),ABS(J18+Scenarios!$G$64))&lt;0.5,"OK","CHECK")</f>
        <v/>
      </c>
    </row>
    <row r="19">
      <c r="A19" s="52" t="inlineStr">
        <is>
          <t>Working capital schedule (driver-based)  [click − to collapse detail]</t>
        </is>
      </c>
    </row>
    <row r="20" hidden="1" outlineLevel="1" ht="150" customHeight="1">
      <c r="A20" s="16" t="inlineStr">
        <is>
          <t xml:space="preserve">  DSO (days) — flat vs FY25</t>
        </is>
      </c>
      <c r="B20" s="17" t="inlineStr">
        <is>
          <t>Not % of revenue; DSO (days), flat ~6.3. Mostly own stores/DTC (cash at register); AR is small wholesale residual; predictable ~6 days FY22–25.</t>
        </is>
      </c>
      <c r="C20" s="18" t="inlineStr">
        <is>
          <t>LULU FY2025 10-K: Accounts receivable, net</t>
        </is>
      </c>
      <c r="D20" s="19" t="inlineStr">
        <is>
          <t>Not % of revenue; DSO (days), flat ~6.3.
Why flat: ~90%+ revenue is company-operated stores + e-commerce (cash/card at sale);
AR is a small, stable wholesale/license residual; predictable collection, not trade credit.
Ctrl+F "Accounts receivable, net"
→ 190,657 ($000)
Ctrl+F "Net revenue"
→ 11,102,600 ($000)
DSO = (190,657 ÷ 11,102,600) × 365 ≈ 6.3 days (~6.0–6.3 FY22–25).
Ctrl+F "company-operated stores"
Ctrl+F "E-commerce"</t>
        </is>
      </c>
      <c r="E20" s="88" t="n">
        <v>6.267883648875038</v>
      </c>
      <c r="F20" s="28">
        <f>Scenarios!G65</f>
        <v/>
      </c>
      <c r="G20" s="28">
        <f>Scenarios!G66</f>
        <v/>
      </c>
      <c r="H20" s="28">
        <f>Scenarios!G67</f>
        <v/>
      </c>
      <c r="I20" s="28">
        <f>Scenarios!G68</f>
        <v/>
      </c>
      <c r="J20" s="28">
        <f>Scenarios!G69</f>
        <v/>
      </c>
      <c r="K20" s="86">
        <f>IF(MAX(ABS(F20-Scenarios!$G$65),ABS(G20-Scenarios!$G$66),ABS(H20-Scenarios!$G$67),ABS(I20-Scenarios!$G$68),ABS(J20-Scenarios!$G$69))&lt;0.5,"OK","CHECK")</f>
        <v/>
      </c>
    </row>
    <row r="21" hidden="1" outlineLevel="1" ht="98" customHeight="1">
      <c r="A21" s="16" t="inlineStr">
        <is>
          <t xml:space="preserve">  Accounts receivable, net</t>
        </is>
      </c>
      <c r="B21" s="17" t="inlineStr">
        <is>
          <t>Implied ~1.7% of revenue (not a direct % plug). AR = (DSO÷365)×revenue; flat DSO because sales are mostly own-store/DTC, not credit wholesale.</t>
        </is>
      </c>
      <c r="C21" s="18" t="inlineStr">
        <is>
          <t>LULU FY2025 10-K: Accounts receivable, net</t>
        </is>
      </c>
      <c r="D21" s="19" t="inlineStr">
        <is>
          <t>Implied ~1.7% of revenue (= 190,657 ÷ 11,102,600); not a direct % plug.
AR_t = (DSO ÷ 365) × Revenue_t. DSO flat because own-store/DTC dominates; AR scales predictably with sales.
Ctrl+F "Accounts receivable, net"
→ 190,657 ($000)
Ctrl+F "Net revenue"
→ 11,102,600 ($000)</t>
        </is>
      </c>
      <c r="E21" s="74" t="n">
        <v>190657</v>
      </c>
      <c r="F21" s="75">
        <f>Scenarios!G70</f>
        <v/>
      </c>
      <c r="G21" s="75">
        <f>Scenarios!G71</f>
        <v/>
      </c>
      <c r="H21" s="75">
        <f>Scenarios!G72</f>
        <v/>
      </c>
      <c r="I21" s="75">
        <f>Scenarios!G73</f>
        <v/>
      </c>
      <c r="J21" s="75">
        <f>Scenarios!G74</f>
        <v/>
      </c>
      <c r="K21" s="86">
        <f>IF(MAX(ABS(F21-Scenarios!$G$70),ABS(G21-Scenarios!$G$71),ABS(H21-Scenarios!$G$72),ABS(I21-Scenarios!$G$73),ABS(J21-Scenarios!$G$74))&lt;0.5,"OK","CHECK")</f>
        <v/>
      </c>
    </row>
    <row r="22" hidden="1" outlineLevel="1" ht="150" customHeight="1">
      <c r="A22" s="16" t="inlineStr">
        <is>
          <t xml:space="preserve">  DIO (days) — FY25 anchor, −1 day/yr</t>
        </is>
      </c>
      <c r="B22" s="19" t="inlineStr">
        <is>
          <t>Not % of revenue; DIO (days).
FY25 anchor: DIO = (Inventories ÷ COGS) × 365
  = (1,700,753 ÷ 4,818,468) × 365 ≈ 129 days (FY24 inv: 1,442,081).
Forecast path: DIO_t = FY25 DIO − (1 day × year t); flat across scenarios.
Also: Not % of revenue; subtract 1 DIO day per forecast year (−5 days FY26–30).
Feeds Inventories = (DIO_t ÷ 365) × COGS_t.
Ctrl+F "reduce the percentage of markdowns"
Ctrl+F "On a unit basis, we expect inventories to slightly decrease"</t>
        </is>
      </c>
      <c r="C22" s="38" t="inlineStr">
        <is>
          <t>LULU FY2025 10-K: Inventories &amp; COGS
Also: LULU FY2025 10-K: inventory &amp; markdown outlook</t>
        </is>
      </c>
      <c r="D22" s="19" t="inlineStr">
        <is>
          <t>Not % of revenue; DIO (days).
FY25 anchor formula:
  DIO = (Inventories ÷ COGS) × 365
Ctrl+F "Inventories"
→ 1,700,753 ($000)  |  FY24: 1,442,081
Ctrl+F "Cost of goods sold"
→ 4,818,468 ($000)
  = (1,700,753 ÷ 4,818,468) × 365 ≈ 129 days
Forecast: DIO_t = FY25 DIO − (1 × year t)
Also: Not % of revenue; DIO −1 day/yr (−5 days FY26–30).
Feeds Inventories_t = (DIO_t ÷ 365) × COGS_t.
Ctrl+F "reduce the percentage of markdowns"
Ctrl+F "On a unit basis, we expect inventories to slightly decrease"</t>
        </is>
      </c>
      <c r="E22" s="88" t="n">
        <v>128.8324100108167</v>
      </c>
      <c r="F22" s="28">
        <f>Scenarios!G75</f>
        <v/>
      </c>
      <c r="G22" s="28">
        <f>Scenarios!G76</f>
        <v/>
      </c>
      <c r="H22" s="28">
        <f>Scenarios!G77</f>
        <v/>
      </c>
      <c r="I22" s="28">
        <f>Scenarios!G78</f>
        <v/>
      </c>
      <c r="J22" s="28">
        <f>Scenarios!G79</f>
        <v/>
      </c>
      <c r="K22" s="86">
        <f>IF(MAX(ABS(F22-Scenarios!$G$75),ABS(G22-Scenarios!$G$76),ABS(H22-Scenarios!$G$77),ABS(I22-Scenarios!$G$78),ABS(J22-Scenarios!$G$79))&lt;0.5,"OK","CHECK")</f>
        <v/>
      </c>
    </row>
    <row r="23" hidden="1" outlineLevel="1" ht="112" customHeight="1">
      <c r="A23" s="16" t="inlineStr">
        <is>
          <t xml:space="preserve">  Inventories</t>
        </is>
      </c>
      <c r="B23" s="17" t="inlineStr">
        <is>
          <t>Not % of revenue; $ balance (not a direct % plug).
Inventories_t = (DIO_t ÷ 365) × COGS_t
COGS_t = Revenue_t × (1 − GM%). FY25 check: (129 ÷ 365) × 4,818,468 ≈ 1,700,753.
Ctrl+F "Inventories"
→ 1,700,753 ($000)
Ctrl+F "Cost of goods sold"
→ 4,818,468 ($000)</t>
        </is>
      </c>
      <c r="C23" s="18" t="inlineStr">
        <is>
          <t>LULU FY2025 10-K: Inventories</t>
        </is>
      </c>
      <c r="D23" s="19" t="inlineStr">
        <is>
          <t>Not % of revenue; Inventories_t = (DIO_t ÷ 365) × COGS_t.
COGS_t = Revenue_t × (1 − GM%).
Ctrl+F "Inventories"
→ 1,700,753 ($000)
Ctrl+F "Cost of goods sold"
→ 4,818,468 ($000)
FY25 proof: (129 ÷ 365) × 4,818,468 ≈ 1,700,753</t>
        </is>
      </c>
      <c r="E23" s="74" t="n">
        <v>1700753</v>
      </c>
      <c r="F23" s="75">
        <f>Scenarios!G80</f>
        <v/>
      </c>
      <c r="G23" s="75">
        <f>Scenarios!G81</f>
        <v/>
      </c>
      <c r="H23" s="75">
        <f>Scenarios!G82</f>
        <v/>
      </c>
      <c r="I23" s="75">
        <f>Scenarios!G83</f>
        <v/>
      </c>
      <c r="J23" s="75">
        <f>Scenarios!G84</f>
        <v/>
      </c>
      <c r="K23" s="86">
        <f>IF(MAX(ABS(F23-Scenarios!$G$80),ABS(G23-Scenarios!$G$81),ABS(H23-Scenarios!$G$82),ABS(I23-Scenarios!$G$83),ABS(J23-Scenarios!$G$84))&lt;0.5,"OK","CHECK")</f>
        <v/>
      </c>
    </row>
    <row r="24" hidden="1" outlineLevel="1" ht="84" customHeight="1">
      <c r="A24" s="16" t="inlineStr">
        <is>
          <t xml:space="preserve">  DPO (days) — flat vs FY25</t>
        </is>
      </c>
      <c r="B24" s="17" t="inlineStr">
        <is>
          <t>Not % of revenue; DPO (days), flat ~25.1. Implied AP ≈3.0% of sales / 6.9% of COGS.</t>
        </is>
      </c>
      <c r="C24" s="18" t="inlineStr">
        <is>
          <t>LULU FY2025 10-K: Accounts payable &amp; COGS</t>
        </is>
      </c>
      <c r="D24" s="19" t="inlineStr">
        <is>
          <t>Ctrl+F "Accounts payable"
→ 331,421 ($000)
Ctrl+F "Cost of goods sold"
→ 4,818,468 ($000)
Not % of revenue; DPO ≈ 25.1 days. Implied AP ≈ 3.0% of sales / 6.9% of COGS.</t>
        </is>
      </c>
      <c r="E24" s="88" t="n">
        <v>25.10521290169407</v>
      </c>
      <c r="F24" s="28">
        <f>Scenarios!G85</f>
        <v/>
      </c>
      <c r="G24" s="28">
        <f>Scenarios!G86</f>
        <v/>
      </c>
      <c r="H24" s="28">
        <f>Scenarios!G87</f>
        <v/>
      </c>
      <c r="I24" s="28">
        <f>Scenarios!G88</f>
        <v/>
      </c>
      <c r="J24" s="28">
        <f>Scenarios!G89</f>
        <v/>
      </c>
      <c r="K24" s="86">
        <f>IF(MAX(ABS(F24-Scenarios!$G$85),ABS(G24-Scenarios!$G$86),ABS(H24-Scenarios!$G$87),ABS(I24-Scenarios!$G$88),ABS(J24-Scenarios!$G$89))&lt;0.5,"OK","CHECK")</f>
        <v/>
      </c>
    </row>
    <row r="25" hidden="1" outlineLevel="1" ht="84" customHeight="1">
      <c r="A25" s="16" t="inlineStr">
        <is>
          <t xml:space="preserve">  Accounts payable</t>
        </is>
      </c>
      <c r="B25" s="17" t="inlineStr">
        <is>
          <t>Implied ~3.0% of revenue (not a direct % plug). Balance = (DPO÷365)×COGS; DPO flat at FY25.</t>
        </is>
      </c>
      <c r="C25" s="18" t="inlineStr">
        <is>
          <t>LULU FY2025 10-K: Accounts payable</t>
        </is>
      </c>
      <c r="D25" s="19" t="inlineStr">
        <is>
          <t>Ctrl+F "Accounts payable"
→ 331,421 ($000)
Ctrl+F "Net revenue"
→ 11,102,600 ($000)
Implied ~3.0% of revenue (= 331,421 ÷ 11,102,600); forecast via DPO×COGS.</t>
        </is>
      </c>
      <c r="E25" s="74" t="n">
        <v>331421</v>
      </c>
      <c r="F25" s="75">
        <f>Scenarios!G90</f>
        <v/>
      </c>
      <c r="G25" s="75">
        <f>Scenarios!G91</f>
        <v/>
      </c>
      <c r="H25" s="75">
        <f>Scenarios!G92</f>
        <v/>
      </c>
      <c r="I25" s="75">
        <f>Scenarios!G93</f>
        <v/>
      </c>
      <c r="J25" s="75">
        <f>Scenarios!G94</f>
        <v/>
      </c>
      <c r="K25" s="86">
        <f>IF(MAX(ABS(F25-Scenarios!$G$90),ABS(G25-Scenarios!$G$91),ABS(H25-Scenarios!$G$92),ABS(I25-Scenarios!$G$93),ABS(J25-Scenarios!$G$94))&lt;0.5,"OK","CHECK")</f>
        <v/>
      </c>
    </row>
    <row r="26" hidden="1" outlineLevel="1" ht="84" customHeight="1">
      <c r="A26" s="16" t="inlineStr">
        <is>
          <t xml:space="preserve">  Prepaid expenses (% of revenue)</t>
        </is>
      </c>
      <c r="B26" s="17" t="inlineStr">
        <is>
          <t>5.1% of revenue (flat). FY25 other current assets (prepaids + tax receivables) ÷ net revenue.</t>
        </is>
      </c>
      <c r="C26" s="18" t="inlineStr">
        <is>
          <t>LULU FY2025 10-K: other current assets (residual)</t>
        </is>
      </c>
      <c r="D26" s="19" t="inlineStr">
        <is>
          <t>Ctrl+F "Prepaid expenses and other current assets"
→ 211,620 ($000)
Ctrl+F "Prepaid and receivable income taxes"
→ 352,469 ($000)
5.1% of revenue (flat). OCA residual = 564,089 ÷ 11,102,600.</t>
        </is>
      </c>
      <c r="E26" s="77" t="n">
        <v>0.05080692810692991</v>
      </c>
      <c r="F26" s="20">
        <f>Scenarios!$G$19</f>
        <v/>
      </c>
      <c r="G26" s="20">
        <f>Scenarios!$G$19</f>
        <v/>
      </c>
      <c r="H26" s="20">
        <f>Scenarios!$G$19</f>
        <v/>
      </c>
      <c r="I26" s="20">
        <f>Scenarios!$G$19</f>
        <v/>
      </c>
      <c r="J26" s="20">
        <f>Scenarios!$G$19</f>
        <v/>
      </c>
    </row>
    <row r="27" hidden="1" outlineLevel="1" ht="84" customHeight="1">
      <c r="A27" s="16" t="inlineStr">
        <is>
          <t xml:space="preserve">  Prepaid expenses (other current assets)</t>
        </is>
      </c>
      <c r="B27" s="17" t="inlineStr">
        <is>
          <t>5.1% of revenue (flat). FY25 other current assets (prepaids + tax receivables) ÷ net revenue.</t>
        </is>
      </c>
      <c r="C27" s="18" t="inlineStr">
        <is>
          <t>LULU FY2025 10-K: other current assets (residual)</t>
        </is>
      </c>
      <c r="D27" s="19" t="inlineStr">
        <is>
          <t>Ctrl+F "Prepaid expenses and other current assets"
→ 211,620 ($000)
Ctrl+F "Prepaid and receivable income taxes"
→ 352,469 ($000)
5.1% of revenue (flat). OCA residual = 564,089 ÷ 11,102,600.</t>
        </is>
      </c>
      <c r="E27" s="74" t="n">
        <v>564089</v>
      </c>
      <c r="F27" s="75">
        <f>Scenarios!G95</f>
        <v/>
      </c>
      <c r="G27" s="75">
        <f>Scenarios!G96</f>
        <v/>
      </c>
      <c r="H27" s="75">
        <f>Scenarios!G97</f>
        <v/>
      </c>
      <c r="I27" s="75">
        <f>Scenarios!G98</f>
        <v/>
      </c>
      <c r="J27" s="75">
        <f>Scenarios!G99</f>
        <v/>
      </c>
      <c r="K27" s="86">
        <f>IF(MAX(ABS(F27-Scenarios!$G$95),ABS(G27-Scenarios!$G$96),ABS(H27-Scenarios!$G$97),ABS(I27-Scenarios!$G$98),ABS(J27-Scenarios!$G$99))&lt;0.5,"OK","CHECK")</f>
        <v/>
      </c>
    </row>
    <row r="28" hidden="1" outlineLevel="1" ht="84" customHeight="1">
      <c r="A28" s="16" t="inlineStr">
        <is>
          <t xml:space="preserve">  Accrued liabilities (% of revenue)</t>
        </is>
      </c>
      <c r="B28" s="17" t="inlineStr">
        <is>
          <t>6.0% of revenue (flat). FY25 accrued liabilities ÷ net revenue; comp/marketing accrual mix.</t>
        </is>
      </c>
      <c r="C28" s="18" t="inlineStr">
        <is>
          <t>LULU FY2025 10-K: Accrued liabilities and other</t>
        </is>
      </c>
      <c r="D28" s="19" t="inlineStr">
        <is>
          <t>Ctrl+F "Accrued liabilities and other"
→ 662,982 ($000)
Ctrl+F "Net revenue"
→ 11,102,600 ($000)
6.0% of revenue (flat). 662,982 ÷ 11,102,600.</t>
        </is>
      </c>
      <c r="E28" s="77" t="n">
        <v>0.05971412101669879</v>
      </c>
      <c r="F28" s="20">
        <f>Scenarios!$G$20</f>
        <v/>
      </c>
      <c r="G28" s="20">
        <f>Scenarios!$G$20</f>
        <v/>
      </c>
      <c r="H28" s="20">
        <f>Scenarios!$G$20</f>
        <v/>
      </c>
      <c r="I28" s="20">
        <f>Scenarios!$G$20</f>
        <v/>
      </c>
      <c r="J28" s="20">
        <f>Scenarios!$G$20</f>
        <v/>
      </c>
    </row>
    <row r="29" hidden="1" outlineLevel="1" ht="84" customHeight="1">
      <c r="A29" s="16" t="inlineStr">
        <is>
          <t xml:space="preserve">  Accrued liabilities and other</t>
        </is>
      </c>
      <c r="B29" s="17" t="inlineStr">
        <is>
          <t>6.0% of revenue (flat). FY25 accrued liabilities ÷ net revenue; comp/marketing accrual mix.</t>
        </is>
      </c>
      <c r="C29" s="18" t="inlineStr">
        <is>
          <t>LULU FY2025 10-K: Accrued liabilities and other</t>
        </is>
      </c>
      <c r="D29" s="19" t="inlineStr">
        <is>
          <t>Ctrl+F "Accrued liabilities and other"
→ 662,982 ($000)
Ctrl+F "Net revenue"
→ 11,102,600 ($000)
6.0% of revenue (flat). 662,982 ÷ 11,102,600.</t>
        </is>
      </c>
      <c r="E29" s="74" t="n">
        <v>662982</v>
      </c>
      <c r="F29" s="75">
        <f>Scenarios!G100</f>
        <v/>
      </c>
      <c r="G29" s="75">
        <f>Scenarios!G101</f>
        <v/>
      </c>
      <c r="H29" s="75">
        <f>Scenarios!G102</f>
        <v/>
      </c>
      <c r="I29" s="75">
        <f>Scenarios!G103</f>
        <v/>
      </c>
      <c r="J29" s="75">
        <f>Scenarios!G104</f>
        <v/>
      </c>
      <c r="K29" s="86">
        <f>IF(MAX(ABS(F29-Scenarios!$G$100),ABS(G29-Scenarios!$G$101),ABS(H29-Scenarios!$G$102),ABS(I29-Scenarios!$G$103),ABS(J29-Scenarios!$G$104))&lt;0.5,"OK","CHECK")</f>
        <v/>
      </c>
    </row>
    <row r="30" hidden="1" outlineLevel="1" ht="42" customHeight="1">
      <c r="A30" s="16" t="inlineStr">
        <is>
          <t>Current operating assets (AR + inv + prepaids)</t>
        </is>
      </c>
      <c r="B30" s="17" t="inlineStr">
        <is>
          <t>Not one %; sum ≈22.1% of FY25 sales (AR ~1.7% + inventory ~15.3% + prepaids 5.1%).</t>
        </is>
      </c>
      <c r="C30" s="18" t="inlineStr">
        <is>
          <t>Scenarios tab: AR + inventory + prepaids</t>
        </is>
      </c>
      <c r="D30" s="19" t="inlineStr">
        <is>
          <t>Not one % of revenue; sum of line items.
FY25: AR ~1.7% + inventory ~15.3% + prepaids 5.1% ≈ 22.1% of sales.</t>
        </is>
      </c>
      <c r="F30" s="75">
        <f>Scenarios!G105</f>
        <v/>
      </c>
      <c r="G30" s="75">
        <f>Scenarios!G106</f>
        <v/>
      </c>
      <c r="H30" s="75">
        <f>Scenarios!G107</f>
        <v/>
      </c>
      <c r="I30" s="75">
        <f>Scenarios!G108</f>
        <v/>
      </c>
      <c r="J30" s="75">
        <f>Scenarios!G109</f>
        <v/>
      </c>
      <c r="K30" s="86">
        <f>IF(MAX(ABS(F30-Scenarios!$G$105),ABS(G30-Scenarios!$G$106),ABS(H30-Scenarios!$G$107),ABS(I30-Scenarios!$G$108),ABS(J30-Scenarios!$G$109))&lt;0.5,"OK","CHECK")</f>
        <v/>
      </c>
    </row>
    <row r="31" hidden="1" outlineLevel="1" ht="42" customHeight="1">
      <c r="A31" s="16" t="inlineStr">
        <is>
          <t>Current operating liabilities (AP + accruals)</t>
        </is>
      </c>
      <c r="B31" s="17" t="inlineStr">
        <is>
          <t>Not one %; sum ≈9.0% of FY25 sales (AP ~3.0% + accrued liabilities 6.0%).</t>
        </is>
      </c>
      <c r="C31" s="18" t="inlineStr">
        <is>
          <t>Scenarios tab: AP + accrued liabilities</t>
        </is>
      </c>
      <c r="D31" s="19" t="inlineStr">
        <is>
          <t>Not one % of revenue; sum of line items.
FY25: AP ~3.0% + accrued liabilities 6.0% ≈ 9.0% of sales.</t>
        </is>
      </c>
      <c r="F31" s="75">
        <f>Scenarios!G110</f>
        <v/>
      </c>
      <c r="G31" s="75">
        <f>Scenarios!G111</f>
        <v/>
      </c>
      <c r="H31" s="75">
        <f>Scenarios!G112</f>
        <v/>
      </c>
      <c r="I31" s="75">
        <f>Scenarios!G113</f>
        <v/>
      </c>
      <c r="J31" s="75">
        <f>Scenarios!G114</f>
        <v/>
      </c>
      <c r="K31" s="86">
        <f>IF(MAX(ABS(F31-Scenarios!$G$110),ABS(G31-Scenarios!$G$111),ABS(H31-Scenarios!$G$112),ABS(I31-Scenarios!$G$113),ABS(J31-Scenarios!$G$114))&lt;0.5,"OK","CHECK")</f>
        <v/>
      </c>
    </row>
    <row r="32" hidden="1" outlineLevel="1" ht="42" customHeight="1">
      <c r="A32" s="23" t="inlineStr">
        <is>
          <t>Net working capital</t>
        </is>
      </c>
      <c r="B32" s="17" t="inlineStr">
        <is>
          <t>Not one %; net ≈13.2% of FY25 sales ($1,461,096k). COA minus COL; rolls forward each year.</t>
        </is>
      </c>
      <c r="C32" s="18" t="inlineStr">
        <is>
          <t>LULU FY2025 10-K: working-capital components</t>
        </is>
      </c>
      <c r="D32" s="19" t="inlineStr">
        <is>
          <t>Not one % of revenue; net balance.
FY25 NWC ≈ 13.2% of sales ($1,461,096k = COA − COL).</t>
        </is>
      </c>
      <c r="E32" s="76" t="n">
        <v>1461096</v>
      </c>
      <c r="F32" s="25">
        <f>Scenarios!G115</f>
        <v/>
      </c>
      <c r="G32" s="25">
        <f>Scenarios!G116</f>
        <v/>
      </c>
      <c r="H32" s="25">
        <f>Scenarios!G117</f>
        <v/>
      </c>
      <c r="I32" s="25">
        <f>Scenarios!G118</f>
        <v/>
      </c>
      <c r="J32" s="25">
        <f>Scenarios!G119</f>
        <v/>
      </c>
      <c r="K32" s="87">
        <f>IF(MAX(ABS(F32-Scenarios!$G$115),ABS(G32-Scenarios!$G$116),ABS(H32-Scenarios!$G$117),ABS(I32-Scenarios!$G$118),ABS(J32-Scenarios!$G$119))&lt;0.5,"OK","CHECK")</f>
        <v/>
      </c>
    </row>
    <row r="33" ht="56" customHeight="1">
      <c r="A33" s="23" t="inlineStr">
        <is>
          <t>ΔNWC (prior yr − current yr)</t>
        </is>
      </c>
      <c r="B33" s="17" t="inlineStr">
        <is>
          <t>Not % of revenue; $ change in NWC year-over-year. Prior-year NWC minus current-year NWC for the FCF bridge.</t>
        </is>
      </c>
      <c r="C33" s="18" t="inlineStr">
        <is>
          <t>Scenarios tab: NWC roll-forward (driver schedule)</t>
        </is>
      </c>
      <c r="D33" s="19" t="inlineStr">
        <is>
          <t>Not % of revenue; $ change year-over-year.
FY26: revenue −6.1% + DIO −1 day → NWC falls → ΔNWC positive (WC release).
FY27–30: revenue +2.3%/yr → AR &amp; inventory rebuild → ΔNWC negative (WC build).</t>
        </is>
      </c>
      <c r="F33" s="25">
        <f>Scenarios!G120</f>
        <v/>
      </c>
      <c r="G33" s="25">
        <f>Scenarios!G121</f>
        <v/>
      </c>
      <c r="H33" s="25">
        <f>Scenarios!G122</f>
        <v/>
      </c>
      <c r="I33" s="25">
        <f>Scenarios!G123</f>
        <v/>
      </c>
      <c r="J33" s="25">
        <f>Scenarios!G124</f>
        <v/>
      </c>
      <c r="K33" s="87">
        <f>IF(MAX(ABS(F33-Scenarios!$G$120),ABS(G33-Scenarios!$G$121),ABS(H33-Scenarios!$G$122),ABS(I33-Scenarios!$G$123),ABS(J33-Scenarios!$G$124))&lt;0.5,"OK","CHECK")</f>
        <v/>
      </c>
    </row>
    <row r="34">
      <c r="A34" s="26" t="inlineStr">
        <is>
          <t xml:space="preserve">  memo: driver-based NWC. ΔNWC = prior-year NWC − current-year NWC; added to UFCF (NWC build = cash outflow).</t>
        </is>
      </c>
    </row>
    <row r="35">
      <c r="A35" s="23" t="inlineStr">
        <is>
          <t>Unlevered free cash flow</t>
        </is>
      </c>
      <c r="F35" s="89">
        <f>Scenarios!G125</f>
        <v/>
      </c>
      <c r="G35" s="89">
        <f>Scenarios!G126</f>
        <v/>
      </c>
      <c r="H35" s="89">
        <f>Scenarios!G127</f>
        <v/>
      </c>
      <c r="I35" s="89">
        <f>Scenarios!G128</f>
        <v/>
      </c>
      <c r="J35" s="89">
        <f>Scenarios!G129</f>
        <v/>
      </c>
      <c r="K35" s="87">
        <f>IF(MAX(ABS(F35-Scenarios!$G$125),ABS(G35-Scenarios!$G$126),ABS(H35-Scenarios!$G$127),ABS(I35-Scenarios!$G$128),ABS(J35-Scenarios!$G$129))&lt;0.5,"OK","CHECK")</f>
        <v/>
      </c>
    </row>
    <row r="36">
      <c r="A36" s="16" t="inlineStr">
        <is>
          <t>Discount period (years)</t>
        </is>
      </c>
      <c r="F36" s="90" t="n">
        <v>1</v>
      </c>
      <c r="G36" s="90" t="n">
        <v>2</v>
      </c>
      <c r="H36" s="90" t="n">
        <v>3</v>
      </c>
      <c r="I36" s="90" t="n">
        <v>4</v>
      </c>
      <c r="J36" s="90" t="n">
        <v>5</v>
      </c>
    </row>
    <row r="37">
      <c r="A37" s="16" t="inlineStr">
        <is>
          <t>Discount factor @ WACC</t>
        </is>
      </c>
      <c r="F37" s="91">
        <f>1/(1+Scenarios!$G$9)^F36</f>
        <v/>
      </c>
      <c r="G37" s="91">
        <f>1/(1+Scenarios!$G$9)^G36</f>
        <v/>
      </c>
      <c r="H37" s="91">
        <f>1/(1+Scenarios!$G$9)^H36</f>
        <v/>
      </c>
      <c r="I37" s="91">
        <f>1/(1+Scenarios!$G$9)^I36</f>
        <v/>
      </c>
      <c r="J37" s="91">
        <f>1/(1+Scenarios!$G$9)^J36</f>
        <v/>
      </c>
    </row>
    <row r="38">
      <c r="A38" s="23" t="inlineStr">
        <is>
          <t>PV of unlevered FCF</t>
        </is>
      </c>
      <c r="F38" s="25">
        <f>F35*F37</f>
        <v/>
      </c>
      <c r="G38" s="25">
        <f>G35*G37</f>
        <v/>
      </c>
      <c r="H38" s="25">
        <f>H35*H37</f>
        <v/>
      </c>
      <c r="I38" s="25">
        <f>I35*I37</f>
        <v/>
      </c>
      <c r="J38" s="25">
        <f>J35*J37</f>
        <v/>
      </c>
    </row>
    <row r="40">
      <c r="A40" s="15" t="inlineStr">
        <is>
          <t>Scenarios linkage summary (column K should all read OK)</t>
        </is>
      </c>
      <c r="K40" s="92">
        <f>IF(COUNTIF(K5:K35,"CHECK")=0,"ALL OK","REVIEW")</f>
        <v/>
      </c>
    </row>
    <row r="41">
      <c r="A41" s="93" t="inlineStr">
        <is>
          <t>VALUATION — GORDON GROWTH (PERPETUITY) METHOD</t>
        </is>
      </c>
      <c r="B41" s="13" t="n"/>
      <c r="C41" s="13" t="n"/>
    </row>
    <row r="42">
      <c r="A42" s="23" t="inlineStr">
        <is>
          <t>Sum of PV of explicit FCF (FY26–FY30)</t>
        </is>
      </c>
      <c r="E42" s="70">
        <f>SUM(F38:J38)</f>
        <v/>
      </c>
    </row>
    <row r="43" ht="28" customHeight="1">
      <c r="A43" s="16" t="inlineStr">
        <is>
          <t>Terminal growth rate (g)</t>
        </is>
      </c>
      <c r="B43" s="17" t="inlineStr">
        <is>
          <t>2.25% terminal g sits next to FRED GDPC1 Q2/Q2 real GDP ≈ 2.1% (24,269.613 / 23,770.976 − 1).</t>
        </is>
      </c>
      <c r="C43" s="18" t="inlineStr">
        <is>
          <t>FRED: Real GDP (GDPC1)</t>
        </is>
      </c>
      <c r="D43" s="19" t="inlineStr">
        <is>
          <t>Ctrl+F "Q2 2026" → 24,269.613 and "Q2 2025" → 23,770.976. YoY = 2.1%. Model terminal g 2.25%.</t>
        </is>
      </c>
      <c r="E43" s="32">
        <f>Scenarios!$G$10</f>
        <v/>
      </c>
    </row>
    <row r="44">
      <c r="A44" s="23" t="inlineStr">
        <is>
          <t>Terminal EBITDA (FY2030E EBIT + D&amp;A)</t>
        </is>
      </c>
      <c r="E44" s="25">
        <f>J11+J16</f>
        <v/>
      </c>
    </row>
    <row r="45">
      <c r="A45" s="16" t="inlineStr">
        <is>
          <t>Terminal value = FCF₅×(1+g)/(WACC−g)</t>
        </is>
      </c>
      <c r="E45" s="75">
        <f>J35*(1+Scenarios!$G$10)/(Scenarios!$G$9-Scenarios!$G$10)</f>
        <v/>
      </c>
    </row>
    <row r="46">
      <c r="A46" s="16" t="inlineStr">
        <is>
          <t xml:space="preserve">  Implied exit EV/EBITDA = Gordon TV / FY30 EBITDA</t>
        </is>
      </c>
      <c r="E46" s="94">
        <f>E45/E44</f>
        <v/>
      </c>
    </row>
    <row r="47">
      <c r="A47" s="16" t="inlineStr">
        <is>
          <t xml:space="preserve">  memo: (UFCF₃₀ / EBITDA₃₀) × (1+g) / (WACC−g)</t>
        </is>
      </c>
      <c r="E47" s="94">
        <f>J35/E44*(1+Scenarios!$G$10)/(Scenarios!$G$9-Scenarios!$G$10)</f>
        <v/>
      </c>
    </row>
    <row r="48">
      <c r="A48" s="23" t="inlineStr">
        <is>
          <t>PV of terminal value</t>
        </is>
      </c>
      <c r="E48" s="70">
        <f>E45/(1+Scenarios!$G$9)^J36</f>
        <v/>
      </c>
    </row>
    <row r="49">
      <c r="A49" s="23" t="inlineStr">
        <is>
          <t>Enterprise value</t>
        </is>
      </c>
      <c r="E49" s="25">
        <f>E42+E48</f>
        <v/>
      </c>
    </row>
    <row r="50" ht="28" customHeight="1">
      <c r="A50" s="16" t="inlineStr">
        <is>
          <t>Plus: cash &amp; equivalents (FY2025)</t>
        </is>
      </c>
      <c r="C50" s="95" t="inlineStr">
        <is>
          <t>10-K</t>
        </is>
      </c>
      <c r="D50" s="19" t="inlineStr">
        <is>
          <t>Ctrl+F "Cash and cash equivalents" → 1,807,202 ($000) FY2025</t>
        </is>
      </c>
      <c r="E50" s="74" t="n">
        <v>1807202</v>
      </c>
    </row>
    <row r="51" ht="28" customHeight="1">
      <c r="A51" s="16" t="inlineStr">
        <is>
          <t>Less: total debt &amp; operating leases</t>
        </is>
      </c>
      <c r="B51" s="17" t="inlineStr">
        <is>
          <t>Subtract ASC 842 operating lease liabilities as debt equivalent. Funded term debt $0 per FY25 10-K; leases ≈ $1.80B.</t>
        </is>
      </c>
      <c r="C51" s="18" t="inlineStr">
        <is>
          <t>LULU FY2025 10-K: operating lease liabilities</t>
        </is>
      </c>
      <c r="D51" s="19" t="inlineStr">
        <is>
          <t>Ctrl+F "Current lease liabilities" → 298,724 | "Non-current lease liabilities" → 1,499,717 | sum 1,798,441 ($000). Funded debt: "no borrowings were outstanding"</t>
        </is>
      </c>
      <c r="E51" s="74" t="n">
        <v>-1798441</v>
      </c>
    </row>
    <row r="52">
      <c r="A52" s="26" t="inlineStr">
        <is>
          <t xml:space="preserve">  memo: funded term debt $0. Operating leases $298,724k current + $1,499,717k non-current = $1,798,441k (ASC 842 debt equivalent).</t>
        </is>
      </c>
    </row>
    <row r="53">
      <c r="A53" s="26" t="inlineStr">
        <is>
          <t xml:space="preserve">  memo: UFCF is pre-interest; rent stays in opex. We subtract lease liabilities in the bridge but do not add back implied lease interest to EBIT (simplified treatment).</t>
        </is>
      </c>
    </row>
    <row r="54">
      <c r="A54" s="23" t="inlineStr">
        <is>
          <t>Equity value</t>
        </is>
      </c>
      <c r="E54" s="25">
        <f>E49+E50+E51</f>
        <v/>
      </c>
    </row>
    <row r="55" ht="28" customHeight="1">
      <c r="A55" s="16" t="inlineStr">
        <is>
          <t>Shares outstanding (000)</t>
        </is>
      </c>
      <c r="C55" s="95" t="inlineStr">
        <is>
          <t>10-K</t>
        </is>
      </c>
      <c r="D55" s="19" t="inlineStr">
        <is>
          <t>Ctrl+F "111,380 and 116,166 issued and outstanding" → 111,380k class A (FY25 10-K cover)</t>
        </is>
      </c>
      <c r="E55" s="74" t="n">
        <v>111380</v>
      </c>
    </row>
    <row r="56">
      <c r="A56" s="23" t="inlineStr">
        <is>
          <t>Implied value per share</t>
        </is>
      </c>
      <c r="E56" s="96">
        <f>E54/E55</f>
        <v/>
      </c>
      <c r="K56" s="87">
        <f>IF(ABS(E56-Scenarios!$G$132)&lt;0.05,"OK","CHECK")</f>
        <v/>
      </c>
    </row>
    <row r="57" ht="28" customHeight="1">
      <c r="A57" s="16" t="inlineStr">
        <is>
          <t>Current share price</t>
        </is>
      </c>
      <c r="C57" s="95" t="inlineStr">
        <is>
          <t>NASDAQ</t>
        </is>
      </c>
      <c r="D57" s="19" t="inlineStr">
        <is>
          <t>Ctrl+F "closed at $100.61" → Last Sale on NASDAQ quote page</t>
        </is>
      </c>
      <c r="E57" s="97" t="n">
        <v>100</v>
      </c>
    </row>
    <row r="58">
      <c r="A58" s="23" t="inlineStr">
        <is>
          <t>Implied upside / (downside)</t>
        </is>
      </c>
      <c r="E58" s="98">
        <f>E56/E57-1</f>
        <v/>
      </c>
    </row>
    <row r="59">
      <c r="A59" s="16" t="inlineStr">
        <is>
          <t xml:space="preserve">  memo: % of EV from terminal value</t>
        </is>
      </c>
      <c r="E59" s="32">
        <f>E48/E49</f>
        <v/>
      </c>
    </row>
    <row r="62">
      <c r="A62" s="93" t="inlineStr">
        <is>
          <t>SHARE REPURCHASE &amp; EPS ACCRETION SCHEDULE</t>
        </is>
      </c>
      <c r="B62" s="13" t="n"/>
      <c r="C62" s="13" t="n"/>
      <c r="D62" s="13" t="n"/>
      <c r="E62" s="13" t="n"/>
    </row>
    <row r="63">
      <c r="A63" s="26" t="inlineStr">
        <is>
          <t>Guardrail: implied value per share above still divides equity value by Day-1 shares (E55 = 111,380k). This schedule does not change intrinsic DCF per share.</t>
        </is>
      </c>
    </row>
    <row r="65">
      <c r="A65" s="16" t="inlineStr">
        <is>
          <t>Annual repurchase budget ($000) — base case</t>
        </is>
      </c>
      <c r="E65" s="37" t="n">
        <v>500000</v>
      </c>
      <c r="F65" s="37">
        <f>$E$65</f>
        <v/>
      </c>
      <c r="G65" s="37">
        <f>$E$65</f>
        <v/>
      </c>
      <c r="H65" s="37">
        <f>$E$65</f>
        <v/>
      </c>
      <c r="I65" s="37">
        <f>$E$65</f>
        <v/>
      </c>
      <c r="J65" s="37">
        <f>$E$65</f>
        <v/>
      </c>
    </row>
    <row r="66">
      <c r="A66" s="16" t="inlineStr">
        <is>
          <t>Cost of equity — share-price growth rate</t>
        </is>
      </c>
      <c r="E66" s="20" t="n">
        <v>0.105</v>
      </c>
      <c r="F66" s="20">
        <f>$E$66</f>
        <v/>
      </c>
      <c r="G66" s="20">
        <f>$E$66</f>
        <v/>
      </c>
      <c r="H66" s="20">
        <f>$E$66</f>
        <v/>
      </c>
      <c r="I66" s="20">
        <f>$E$66</f>
        <v/>
      </c>
      <c r="J66" s="20">
        <f>$E$66</f>
        <v/>
      </c>
    </row>
    <row r="68">
      <c r="A68" s="16" t="inlineStr">
        <is>
          <t>Unlevered free cash flow (from DCF above)</t>
        </is>
      </c>
      <c r="F68" s="75">
        <f>F35</f>
        <v/>
      </c>
      <c r="G68" s="75">
        <f>G35</f>
        <v/>
      </c>
      <c r="H68" s="75">
        <f>H35</f>
        <v/>
      </c>
      <c r="I68" s="75">
        <f>I35</f>
        <v/>
      </c>
      <c r="J68" s="75">
        <f>J35</f>
        <v/>
      </c>
    </row>
    <row r="69">
      <c r="A69" s="16" t="inlineStr">
        <is>
          <t>Repurchase cash deployed (= fixed budget)</t>
        </is>
      </c>
      <c r="E69" s="75" t="n">
        <v>0</v>
      </c>
      <c r="F69" s="75">
        <f>F65</f>
        <v/>
      </c>
      <c r="G69" s="75">
        <f>G65</f>
        <v/>
      </c>
      <c r="H69" s="75">
        <f>H65</f>
        <v/>
      </c>
      <c r="I69" s="75">
        <f>I65</f>
        <v/>
      </c>
      <c r="J69" s="75">
        <f>J65</f>
        <v/>
      </c>
    </row>
    <row r="70">
      <c r="A70" s="16" t="inlineStr">
        <is>
          <t>Repurchase as % of UFCF (derived)</t>
        </is>
      </c>
      <c r="F70" s="32">
        <f>F69/F68</f>
        <v/>
      </c>
      <c r="G70" s="32">
        <f>G69/G68</f>
        <v/>
      </c>
      <c r="H70" s="32">
        <f>H69/H68</f>
        <v/>
      </c>
      <c r="I70" s="32">
        <f>I69/I68</f>
        <v/>
      </c>
      <c r="J70" s="32">
        <f>J69/J68</f>
        <v/>
      </c>
    </row>
    <row r="72">
      <c r="A72" s="16" t="inlineStr">
        <is>
          <t>Projected share price ($)</t>
        </is>
      </c>
      <c r="E72" s="99" t="n">
        <v>100</v>
      </c>
      <c r="F72" s="99">
        <f>E72*(1+$E$66)</f>
        <v/>
      </c>
      <c r="G72" s="99">
        <f>F72*(1+$E$66)</f>
        <v/>
      </c>
      <c r="H72" s="99">
        <f>G72*(1+$E$66)</f>
        <v/>
      </c>
      <c r="I72" s="99">
        <f>H72*(1+$E$66)</f>
        <v/>
      </c>
      <c r="J72" s="99">
        <f>I72*(1+$E$66)</f>
        <v/>
      </c>
    </row>
    <row r="73">
      <c r="A73" s="16" t="inlineStr">
        <is>
          <t>Shares retired (000)</t>
        </is>
      </c>
      <c r="E73" s="75" t="n">
        <v>0</v>
      </c>
      <c r="F73" s="75">
        <f>F69/F72</f>
        <v/>
      </c>
      <c r="G73" s="75">
        <f>G69/G72</f>
        <v/>
      </c>
      <c r="H73" s="75">
        <f>H69/H72</f>
        <v/>
      </c>
      <c r="I73" s="75">
        <f>I69/I72</f>
        <v/>
      </c>
      <c r="J73" s="75">
        <f>J69/J72</f>
        <v/>
      </c>
    </row>
    <row r="74">
      <c r="A74" s="16" t="inlineStr">
        <is>
          <t>Beginning shares (000)</t>
        </is>
      </c>
      <c r="E74" s="22" t="n">
        <v>111380</v>
      </c>
      <c r="F74" s="75">
        <f>$E$74</f>
        <v/>
      </c>
      <c r="G74" s="75">
        <f>F75</f>
        <v/>
      </c>
      <c r="H74" s="75">
        <f>G75</f>
        <v/>
      </c>
      <c r="I74" s="75">
        <f>H75</f>
        <v/>
      </c>
      <c r="J74" s="75">
        <f>I75</f>
        <v/>
      </c>
    </row>
    <row r="75">
      <c r="A75" s="23" t="inlineStr">
        <is>
          <t>Ending shares (000)</t>
        </is>
      </c>
      <c r="E75" s="100" t="n">
        <v>111380</v>
      </c>
      <c r="F75" s="25">
        <f>F74-F73</f>
        <v/>
      </c>
      <c r="G75" s="25">
        <f>G74-G73</f>
        <v/>
      </c>
      <c r="H75" s="25">
        <f>H74-H73</f>
        <v/>
      </c>
      <c r="I75" s="25">
        <f>I74-I73</f>
        <v/>
      </c>
      <c r="J75" s="25">
        <f>J74-J73</f>
        <v/>
      </c>
    </row>
    <row r="77">
      <c r="A77" s="16" t="inlineStr">
        <is>
          <t>Projected net income ($000)</t>
        </is>
      </c>
      <c r="E77" s="22" t="n">
        <v>1579183</v>
      </c>
      <c r="F77" s="75">
        <f>('NOPAT Bridge'!F36-'NOPAT Bridge'!F23)*(1-'NOPAT Bridge'!F$39)</f>
        <v/>
      </c>
      <c r="G77" s="75">
        <f>('NOPAT Bridge'!G36-'NOPAT Bridge'!G23)*(1-'NOPAT Bridge'!G$39)</f>
        <v/>
      </c>
      <c r="H77" s="75">
        <f>('NOPAT Bridge'!H36-'NOPAT Bridge'!H23)*(1-'NOPAT Bridge'!H$39)</f>
        <v/>
      </c>
      <c r="I77" s="75">
        <f>('NOPAT Bridge'!I36-'NOPAT Bridge'!I23)*(1-'NOPAT Bridge'!I$39)</f>
        <v/>
      </c>
      <c r="J77" s="75">
        <f>('NOPAT Bridge'!J36-'NOPAT Bridge'!J23)*(1-'NOPAT Bridge'!J$39)</f>
        <v/>
      </c>
    </row>
    <row r="78">
      <c r="A78" s="23" t="inlineStr">
        <is>
          <t>Accretive EPS ($/share) = Net income ÷ ending shares</t>
        </is>
      </c>
      <c r="E78" s="101" t="n">
        <v>14.1783354282636</v>
      </c>
      <c r="F78" s="101">
        <f>F77/F75</f>
        <v/>
      </c>
      <c r="G78" s="101">
        <f>G77/G75</f>
        <v/>
      </c>
      <c r="H78" s="101">
        <f>H77/H75</f>
        <v/>
      </c>
      <c r="I78" s="101">
        <f>I77/I75</f>
        <v/>
      </c>
      <c r="J78" s="101">
        <f>J77/J75</f>
        <v/>
      </c>
    </row>
    <row r="80">
      <c r="A80" s="93" t="inlineStr">
        <is>
          <t>CROSS-CHECK — EXIT MULTIPLE METHOD</t>
        </is>
      </c>
      <c r="B80" s="13" t="n"/>
      <c r="C80" s="13" t="n"/>
    </row>
    <row r="81">
      <c r="A81" s="15" t="inlineStr">
        <is>
          <t>Exit multiple is the Gordon identity — not a peer pick or an average</t>
        </is>
      </c>
    </row>
    <row r="82" ht="28" customHeight="1">
      <c r="A82" s="16" t="inlineStr">
        <is>
          <t>Selected exit EV/EBITDA (Gordon implied)</t>
        </is>
      </c>
      <c r="B82" s="17" t="inlineStr">
        <is>
          <t>Selected exit is Gordon TV / FY30 EBITDA. Identity: (UFCF/EBITDA)×(1+g)/(WACC−g). Not Deckers and not a peer average.</t>
        </is>
      </c>
      <c r="C82" s="18" t="inlineStr">
        <is>
          <t>DCF: Gordon implied exit (TV / FY30 EBITDA)</t>
        </is>
      </c>
      <c r="D82" s="19" t="inlineStr">
        <is>
          <t>No peer Ctrl+F. This cell = Gordon TV / FY30 EBITDA = (UFCF/EBITDA)×(1+g)/(WACC−g). WACC and g are sourced on those rows.</t>
        </is>
      </c>
      <c r="E82" s="94">
        <f>E46</f>
        <v/>
      </c>
      <c r="M82" s="95" t="inlineStr">
        <is>
          <t>Comps: Exit Multiple Build</t>
        </is>
      </c>
    </row>
    <row r="83">
      <c r="A83" s="16" t="inlineStr">
        <is>
          <t>Terminal value = Terminal EBITDA × exit multiple</t>
        </is>
      </c>
      <c r="E83" s="75">
        <f>E44*E82</f>
        <v/>
      </c>
    </row>
    <row r="84">
      <c r="A84" s="16" t="inlineStr">
        <is>
          <t>PV of terminal value</t>
        </is>
      </c>
      <c r="E84" s="75">
        <f>E83/(1+Scenarios!$G$9)^J36</f>
        <v/>
      </c>
    </row>
    <row r="85">
      <c r="A85" s="23" t="inlineStr">
        <is>
          <t>Enterprise value (exit method)</t>
        </is>
      </c>
      <c r="E85" s="25">
        <f>E42+E84</f>
        <v/>
      </c>
    </row>
    <row r="86">
      <c r="A86" s="23" t="inlineStr">
        <is>
          <t>Implied value per share (exit method)</t>
        </is>
      </c>
      <c r="E86" s="102">
        <f>(E85+E50+E51)/E55</f>
        <v/>
      </c>
    </row>
    <row r="88">
      <c r="A88" s="93" t="inlineStr">
        <is>
          <t>TERMINAL VALUE RECONCILIATION (GORDON vs EXIT MULTIPLE)</t>
        </is>
      </c>
      <c r="B88" s="13" t="n"/>
      <c r="C88" s="13" t="n"/>
      <c r="D88" s="13" t="n"/>
    </row>
    <row r="89">
      <c r="A89" s="103" t="inlineStr"/>
      <c r="B89" s="54" t="inlineStr">
        <is>
          <t>Gordon Growth</t>
        </is>
      </c>
      <c r="C89" s="54" t="inlineStr">
        <is>
          <t>Exit Multiple</t>
        </is>
      </c>
      <c r="D89" s="54" t="inlineStr">
        <is>
          <t>Variance</t>
        </is>
      </c>
    </row>
    <row r="90">
      <c r="A90" s="23" t="inlineStr">
        <is>
          <t>Terminal value ($)</t>
        </is>
      </c>
      <c r="B90" s="70">
        <f>E45</f>
        <v/>
      </c>
      <c r="C90" s="70">
        <f>E83</f>
        <v/>
      </c>
      <c r="D90" s="70">
        <f>B90-C90</f>
        <v/>
      </c>
    </row>
    <row r="91">
      <c r="A91" s="23" t="inlineStr">
        <is>
          <t>Exit EV/EBITDA (implied vs selected)</t>
        </is>
      </c>
      <c r="B91" s="104">
        <f>E46</f>
        <v/>
      </c>
      <c r="C91" s="104">
        <f>E82</f>
        <v/>
      </c>
      <c r="D91" s="104">
        <f>B91-C91</f>
        <v/>
      </c>
    </row>
    <row r="92">
      <c r="A92" s="16" t="inlineStr">
        <is>
          <t>Terminal value variance (%)</t>
        </is>
      </c>
      <c r="B92" s="32" t="inlineStr"/>
      <c r="C92" s="32" t="inlineStr"/>
      <c r="D92" s="32">
        <f>(B90-C90)/B90</f>
        <v/>
      </c>
    </row>
    <row r="93">
      <c r="A93" s="23" t="inlineStr">
        <is>
          <t>Implied share price</t>
        </is>
      </c>
      <c r="B93" s="105">
        <f>E56</f>
        <v/>
      </c>
      <c r="C93" s="105">
        <f>E86</f>
        <v/>
      </c>
      <c r="D93" s="105">
        <f>B93-C93</f>
        <v/>
      </c>
    </row>
    <row r="94">
      <c r="A94" s="68" t="inlineStr">
        <is>
          <t>Sanity check: multiples within ±1.5 turns?</t>
        </is>
      </c>
      <c r="B94" s="106">
        <f>IF(ABS(D91)&lt;=1.5,"PASS","REVIEW")</f>
        <v/>
      </c>
      <c r="C94" s="107">
        <f>TEXT(D91,"0.0")&amp;"x spread vs Gordon-implied exit"</f>
        <v/>
      </c>
      <c r="D94" s="26" t="inlineStr">
        <is>
          <t>Selected exit is the Gordon identity, so spread should be 0</t>
        </is>
      </c>
    </row>
    <row r="97">
      <c r="A97" s="93" t="inlineStr">
        <is>
          <t>SENSITIVITY — IMPLIED SHARE PRICE (WACC vs terminal growth)</t>
        </is>
      </c>
      <c r="B97" s="13" t="n"/>
      <c r="C97" s="13" t="n"/>
      <c r="D97" s="13" t="n"/>
      <c r="E97" s="13" t="n"/>
      <c r="F97" s="13" t="n"/>
      <c r="G97" s="13" t="n"/>
      <c r="H97" s="13" t="n"/>
    </row>
    <row r="98" ht="28" customHeight="1">
      <c r="A98" s="108" t="inlineStr">
        <is>
          <t>WACC \ g</t>
        </is>
      </c>
      <c r="B98" s="17" t="inlineStr">
        <is>
          <t>Terminal-g axis 1.5–3.0% brackets 2.25% base; bounded by long-run real GDP and inflation benchmarks.</t>
        </is>
      </c>
      <c r="C98" s="18" t="inlineStr">
        <is>
          <t>FRED: Real GDP (GDPC1)</t>
        </is>
      </c>
      <c r="D98" s="19" t="inlineStr">
        <is>
          <t>Ctrl+F "GDPC1" → bounds terminal-g sensitivity grid 1.5%–3.0%</t>
        </is>
      </c>
      <c r="F98" s="109" t="n">
        <v>0.015</v>
      </c>
      <c r="G98" s="109" t="n">
        <v>0.02</v>
      </c>
      <c r="H98" s="109" t="n">
        <v>0.0225</v>
      </c>
      <c r="I98" s="109" t="n">
        <v>0.025</v>
      </c>
      <c r="J98" s="109" t="n">
        <v>0.03</v>
      </c>
      <c r="L98" s="95" t="inlineStr">
        <is>
          <t>Scenarios: terminal g</t>
        </is>
      </c>
    </row>
    <row r="99" ht="28" customHeight="1">
      <c r="A99" s="109" t="n">
        <v>0.095</v>
      </c>
      <c r="C99" s="95" t="inlineStr">
        <is>
          <t>Damodaran: Historical Implied ERP</t>
        </is>
      </c>
      <c r="D99" s="19" t="inlineStr">
        <is>
          <t>WACC tab → green WACC cell ~9.0%. Sensitivity WACC axis brackets base ±100bps.</t>
        </is>
      </c>
      <c r="F99" s="110">
        <f>(NPV(0.095,F35:J35)+(J35*(1+0.015)/(0.095-0.015))/(1+0.095)^5+E50+E51)/E55</f>
        <v/>
      </c>
      <c r="G99" s="110">
        <f>(NPV(0.095,F35:J35)+(J35*(1+0.02)/(0.095-0.02))/(1+0.095)^5+E50+E51)/E55</f>
        <v/>
      </c>
      <c r="H99" s="110">
        <f>(NPV(0.095,F35:J35)+(J35*(1+0.0225)/(0.095-0.0225))/(1+0.095)^5+E50+E51)/E55</f>
        <v/>
      </c>
      <c r="I99" s="110">
        <f>(NPV(0.095,F35:J35)+(J35*(1+0.025)/(0.095-0.025))/(1+0.095)^5+E50+E51)/E55</f>
        <v/>
      </c>
      <c r="J99" s="110">
        <f>(NPV(0.095,F35:J35)+(J35*(1+0.03)/(0.095-0.03))/(1+0.095)^5+E50+E51)/E55</f>
        <v/>
      </c>
      <c r="L99" s="95" t="inlineStr">
        <is>
          <t>WACC tab</t>
        </is>
      </c>
    </row>
    <row r="100" ht="28" customHeight="1">
      <c r="A100" s="109" t="n">
        <v>0.1</v>
      </c>
      <c r="D100" s="19" t="inlineStr">
        <is>
          <t>WACC tab → green WACC cell ~9.0%. Sensitivity WACC axis brackets base ±100bps.</t>
        </is>
      </c>
      <c r="F100" s="110">
        <f>(NPV(0.1,F35:J35)+(J35*(1+0.015)/(0.1-0.015))/(1+0.1)^5+E50+E51)/E55</f>
        <v/>
      </c>
      <c r="G100" s="110">
        <f>(NPV(0.1,F35:J35)+(J35*(1+0.02)/(0.1-0.02))/(1+0.1)^5+E50+E51)/E55</f>
        <v/>
      </c>
      <c r="H100" s="110">
        <f>(NPV(0.1,F35:J35)+(J35*(1+0.0225)/(0.1-0.0225))/(1+0.1)^5+E50+E51)/E55</f>
        <v/>
      </c>
      <c r="I100" s="110">
        <f>(NPV(0.1,F35:J35)+(J35*(1+0.025)/(0.1-0.025))/(1+0.1)^5+E50+E51)/E55</f>
        <v/>
      </c>
      <c r="J100" s="110">
        <f>(NPV(0.1,F35:J35)+(J35*(1+0.03)/(0.1-0.03))/(1+0.1)^5+E50+E51)/E55</f>
        <v/>
      </c>
      <c r="L100" s="95" t="inlineStr">
        <is>
          <t>WACC tab</t>
        </is>
      </c>
    </row>
    <row r="101" ht="28" customHeight="1">
      <c r="A101" s="109" t="n">
        <v>0.105</v>
      </c>
      <c r="D101" s="19" t="inlineStr">
        <is>
          <t>WACC tab → green WACC cell ~9.0%. Sensitivity WACC axis brackets base ±100bps.</t>
        </is>
      </c>
      <c r="F101" s="110">
        <f>(NPV(0.105,F35:J35)+(J35*(1+0.015)/(0.105-0.015))/(1+0.105)^5+E50+E51)/E55</f>
        <v/>
      </c>
      <c r="G101" s="110">
        <f>(NPV(0.105,F35:J35)+(J35*(1+0.02)/(0.105-0.02))/(1+0.105)^5+E50+E51)/E55</f>
        <v/>
      </c>
      <c r="H101" s="111">
        <f>(NPV(0.105,F35:J35)+(J35*(1+0.0225)/(0.105-0.0225))/(1+0.105)^5+E50+E51)/E55</f>
        <v/>
      </c>
      <c r="I101" s="110">
        <f>(NPV(0.105,F35:J35)+(J35*(1+0.025)/(0.105-0.025))/(1+0.105)^5+E50+E51)/E55</f>
        <v/>
      </c>
      <c r="J101" s="110">
        <f>(NPV(0.105,F35:J35)+(J35*(1+0.03)/(0.105-0.03))/(1+0.105)^5+E50+E51)/E55</f>
        <v/>
      </c>
      <c r="L101" s="95" t="inlineStr">
        <is>
          <t>WACC tab</t>
        </is>
      </c>
    </row>
    <row r="102" ht="28" customHeight="1">
      <c r="A102" s="109" t="n">
        <v>0.11</v>
      </c>
      <c r="D102" s="19" t="inlineStr">
        <is>
          <t>WACC tab → green WACC cell ~9.0%. Sensitivity WACC axis brackets base ±100bps.</t>
        </is>
      </c>
      <c r="F102" s="110">
        <f>(NPV(0.11,F35:J35)+(J35*(1+0.015)/(0.11-0.015))/(1+0.11)^5+E50+E51)/E55</f>
        <v/>
      </c>
      <c r="G102" s="110">
        <f>(NPV(0.11,F35:J35)+(J35*(1+0.02)/(0.11-0.02))/(1+0.11)^5+E50+E51)/E55</f>
        <v/>
      </c>
      <c r="H102" s="110">
        <f>(NPV(0.11,F35:J35)+(J35*(1+0.0225)/(0.11-0.0225))/(1+0.11)^5+E50+E51)/E55</f>
        <v/>
      </c>
      <c r="I102" s="110">
        <f>(NPV(0.11,F35:J35)+(J35*(1+0.025)/(0.11-0.025))/(1+0.11)^5+E50+E51)/E55</f>
        <v/>
      </c>
      <c r="J102" s="110">
        <f>(NPV(0.11,F35:J35)+(J35*(1+0.03)/(0.11-0.03))/(1+0.11)^5+E50+E51)/E55</f>
        <v/>
      </c>
      <c r="L102" s="95" t="inlineStr">
        <is>
          <t>WACC tab</t>
        </is>
      </c>
    </row>
    <row r="103" ht="28" customHeight="1">
      <c r="A103" s="109" t="n">
        <v>0.115</v>
      </c>
      <c r="D103" s="19" t="inlineStr">
        <is>
          <t>WACC tab → green WACC cell ~9.0%. Sensitivity WACC axis brackets base ±100bps.</t>
        </is>
      </c>
      <c r="F103" s="110">
        <f>(NPV(0.115,F35:J35)+(J35*(1+0.015)/(0.115-0.015))/(1+0.115)^5+E50+E51)/E55</f>
        <v/>
      </c>
      <c r="G103" s="110">
        <f>(NPV(0.115,F35:J35)+(J35*(1+0.02)/(0.115-0.02))/(1+0.115)^5+E50+E51)/E55</f>
        <v/>
      </c>
      <c r="H103" s="110">
        <f>(NPV(0.115,F35:J35)+(J35*(1+0.0225)/(0.115-0.0225))/(1+0.115)^5+E50+E51)/E55</f>
        <v/>
      </c>
      <c r="I103" s="110">
        <f>(NPV(0.115,F35:J35)+(J35*(1+0.025)/(0.115-0.025))/(1+0.115)^5+E50+E51)/E55</f>
        <v/>
      </c>
      <c r="J103" s="110">
        <f>(NPV(0.115,F35:J35)+(J35*(1+0.03)/(0.115-0.03))/(1+0.115)^5+E50+E51)/E55</f>
        <v/>
      </c>
      <c r="L103" s="95" t="inlineStr">
        <is>
          <t>WACC tab</t>
        </is>
      </c>
    </row>
    <row r="104" ht="28" customHeight="1">
      <c r="B104" s="17" t="inlineStr">
        <is>
          <t>Red WACC and g grid values bracket base case ±100bps discount rate and ±75bps terminal growth for sensitivity.</t>
        </is>
      </c>
      <c r="C104" s="18" t="inlineStr">
        <is>
          <t>Scenarios: WACC &amp; terminal g</t>
        </is>
      </c>
      <c r="D104" s="19" t="inlineStr">
        <is>
          <t>Scenarios tab → Ctrl+F "WACC" and "Terminal growth" rows (base-case inputs)</t>
        </is>
      </c>
      <c r="L104" s="95" t="inlineStr">
        <is>
          <t>FRED: Real GDP (GDPC1)</t>
        </is>
      </c>
      <c r="M104" s="19" t="inlineStr">
        <is>
          <t>Ctrl+F "GDPC1" → bounds terminal-g sensitivity grid 1.5%–3.0%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A4" r:id="rId2"/>
    <hyperlink ref="C4" location="'NOPAT Bridge'!A1"/>
    <hyperlink ref="D4" location="'Revenue Drivers'!A1"/>
    <hyperlink xmlns:r="http://schemas.openxmlformats.org/officeDocument/2006/relationships" ref="E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E11" r:id="rId11"/>
    <hyperlink xmlns:r="http://schemas.openxmlformats.org/officeDocument/2006/relationships" ref="E12" r:id="rId12"/>
    <hyperlink xmlns:r="http://schemas.openxmlformats.org/officeDocument/2006/relationships" ref="C15" r:id="rId13"/>
    <hyperlink xmlns:r="http://schemas.openxmlformats.org/officeDocument/2006/relationships" ref="C17" r:id="rId14"/>
    <hyperlink xmlns:r="http://schemas.openxmlformats.org/officeDocument/2006/relationships" ref="C20" r:id="rId15"/>
    <hyperlink xmlns:r="http://schemas.openxmlformats.org/officeDocument/2006/relationships" ref="E20" r:id="rId16"/>
    <hyperlink xmlns:r="http://schemas.openxmlformats.org/officeDocument/2006/relationships" ref="C21" r:id="rId17"/>
    <hyperlink xmlns:r="http://schemas.openxmlformats.org/officeDocument/2006/relationships" ref="E21" r:id="rId18"/>
    <hyperlink xmlns:r="http://schemas.openxmlformats.org/officeDocument/2006/relationships" ref="C22" r:id="rId19"/>
    <hyperlink xmlns:r="http://schemas.openxmlformats.org/officeDocument/2006/relationships" ref="E22" r:id="rId20"/>
    <hyperlink xmlns:r="http://schemas.openxmlformats.org/officeDocument/2006/relationships" ref="C23" r:id="rId21"/>
    <hyperlink xmlns:r="http://schemas.openxmlformats.org/officeDocument/2006/relationships" ref="E23" r:id="rId22"/>
    <hyperlink xmlns:r="http://schemas.openxmlformats.org/officeDocument/2006/relationships" ref="C24" r:id="rId23"/>
    <hyperlink xmlns:r="http://schemas.openxmlformats.org/officeDocument/2006/relationships" ref="E24" r:id="rId24"/>
    <hyperlink xmlns:r="http://schemas.openxmlformats.org/officeDocument/2006/relationships" ref="C25" r:id="rId25"/>
    <hyperlink xmlns:r="http://schemas.openxmlformats.org/officeDocument/2006/relationships" ref="E25" r:id="rId26"/>
    <hyperlink xmlns:r="http://schemas.openxmlformats.org/officeDocument/2006/relationships" ref="C26" r:id="rId27"/>
    <hyperlink xmlns:r="http://schemas.openxmlformats.org/officeDocument/2006/relationships" ref="E26" r:id="rId28"/>
    <hyperlink xmlns:r="http://schemas.openxmlformats.org/officeDocument/2006/relationships" ref="C27" r:id="rId29"/>
    <hyperlink xmlns:r="http://schemas.openxmlformats.org/officeDocument/2006/relationships" ref="E27" r:id="rId30"/>
    <hyperlink xmlns:r="http://schemas.openxmlformats.org/officeDocument/2006/relationships" ref="C28" r:id="rId31"/>
    <hyperlink xmlns:r="http://schemas.openxmlformats.org/officeDocument/2006/relationships" ref="E28" r:id="rId32"/>
    <hyperlink xmlns:r="http://schemas.openxmlformats.org/officeDocument/2006/relationships" ref="C29" r:id="rId33"/>
    <hyperlink xmlns:r="http://schemas.openxmlformats.org/officeDocument/2006/relationships" ref="E29" r:id="rId34"/>
    <hyperlink ref="C30" location="'Scenarios'!A105"/>
    <hyperlink ref="C31" location="'Scenarios'!A110"/>
    <hyperlink xmlns:r="http://schemas.openxmlformats.org/officeDocument/2006/relationships" ref="C32" r:id="rId35"/>
    <hyperlink xmlns:r="http://schemas.openxmlformats.org/officeDocument/2006/relationships" ref="E32" r:id="rId36"/>
    <hyperlink ref="C33" location="'Scenarios'!A120"/>
    <hyperlink xmlns:r="http://schemas.openxmlformats.org/officeDocument/2006/relationships" ref="C43" r:id="rId37"/>
    <hyperlink xmlns:r="http://schemas.openxmlformats.org/officeDocument/2006/relationships" ref="C50" r:id="rId38"/>
    <hyperlink xmlns:r="http://schemas.openxmlformats.org/officeDocument/2006/relationships" ref="E50" r:id="rId39"/>
    <hyperlink xmlns:r="http://schemas.openxmlformats.org/officeDocument/2006/relationships" ref="C51" r:id="rId40"/>
    <hyperlink xmlns:r="http://schemas.openxmlformats.org/officeDocument/2006/relationships" ref="E51" r:id="rId41"/>
    <hyperlink xmlns:r="http://schemas.openxmlformats.org/officeDocument/2006/relationships" ref="C55" r:id="rId42"/>
    <hyperlink xmlns:r="http://schemas.openxmlformats.org/officeDocument/2006/relationships" ref="E55" r:id="rId43"/>
    <hyperlink xmlns:r="http://schemas.openxmlformats.org/officeDocument/2006/relationships" ref="C57" r:id="rId44"/>
    <hyperlink xmlns:r="http://schemas.openxmlformats.org/officeDocument/2006/relationships" ref="E57" r:id="rId45"/>
    <hyperlink ref="C82" location="'DCF'!E46"/>
    <hyperlink ref="M82" location="'Comps'!A45"/>
    <hyperlink xmlns:r="http://schemas.openxmlformats.org/officeDocument/2006/relationships" ref="C98" r:id="rId46"/>
    <hyperlink ref="L98" location="'Scenarios'!G10"/>
    <hyperlink xmlns:r="http://schemas.openxmlformats.org/officeDocument/2006/relationships" ref="C99" r:id="rId47"/>
    <hyperlink ref="L99" location="'WACC'!E41"/>
    <hyperlink ref="L100" location="'WACC'!E41"/>
    <hyperlink ref="L101" location="'WACC'!E41"/>
    <hyperlink ref="L102" location="'WACC'!E41"/>
    <hyperlink ref="L103" location="'WACC'!E41"/>
    <hyperlink ref="C104" location="'Scenarios'!G9"/>
    <hyperlink xmlns:r="http://schemas.openxmlformats.org/officeDocument/2006/relationships" ref="L104" r:id="rId4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1"/>
    <pageSetUpPr/>
  </sheetPr>
  <dimension ref="A1:J63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hidden="1" outlineLevel="1" width="28" customWidth="1" min="2" max="2"/>
    <col width="18" customWidth="1" min="3" max="3"/>
    <col hidden="1" outlineLevel="1" width="44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 ht="16" customHeight="1">
      <c r="A1" s="12" t="inlineStr">
        <is>
          <t>RELATIVE VALUATION — IMPLIED PRICE RANGES (FOOTBALL FIELD)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B2" s="15" t="inlineStr">
        <is>
          <t>Justification (~20 words)  [cols B–D: click + to expand]</t>
        </is>
      </c>
      <c r="C2" s="15" t="inlineStr">
        <is>
          <t>Source (click)</t>
        </is>
      </c>
      <c r="D2" s="15" t="inlineStr">
        <is>
          <t>Ctrl+F (prove number)</t>
        </is>
      </c>
    </row>
    <row r="3">
      <c r="A3" s="14" t="inlineStr">
        <is>
          <t>LULU operating metrics (FY2025A / FY2026E)</t>
        </is>
      </c>
    </row>
    <row r="4" ht="28" customHeight="1">
      <c r="A4" s="16" t="inlineStr">
        <is>
          <t>FY2025A revenue</t>
        </is>
      </c>
      <c r="C4" s="95" t="inlineStr">
        <is>
          <t>10-K</t>
        </is>
      </c>
      <c r="D4" s="19" t="inlineStr">
        <is>
          <t>Ctrl+F "Net revenue" → 11,102,600 ($000) in FY2025 column</t>
        </is>
      </c>
      <c r="E4" s="74" t="n">
        <v>11102600</v>
      </c>
    </row>
    <row r="5">
      <c r="A5" s="16" t="inlineStr">
        <is>
          <t>FY2025A EBITDA (EBIT + D&amp;A)</t>
        </is>
      </c>
      <c r="E5" s="75">
        <f>2210615+496228</f>
        <v/>
      </c>
    </row>
    <row r="6">
      <c r="A6" s="16" t="inlineStr">
        <is>
          <t>FY2030E terminal EBITDA (DCF EBIT + D&amp;A)</t>
        </is>
      </c>
      <c r="C6" s="95" t="inlineStr">
        <is>
          <t>↳ DCF base case</t>
        </is>
      </c>
      <c r="E6" s="75">
        <f>DCF!E44</f>
        <v/>
      </c>
    </row>
    <row r="7" ht="28" customHeight="1">
      <c r="A7" s="16" t="inlineStr">
        <is>
          <t>FY2026E diluted EPS (guidance midpoint)</t>
        </is>
      </c>
      <c r="C7" s="95" t="inlineStr">
        <is>
          <t>Release</t>
        </is>
      </c>
      <c r="D7" s="19" t="inlineStr">
        <is>
          <t>Ctrl+F "$9.48 to $9.73" → FY2026 diluted EPS guidance; model midpoint $9.61</t>
        </is>
      </c>
      <c r="E7" s="97" t="n">
        <v>9.609999999999999</v>
      </c>
    </row>
    <row r="8" ht="28" customHeight="1">
      <c r="A8" s="16" t="inlineStr">
        <is>
          <t>Cash &amp; equivalents</t>
        </is>
      </c>
      <c r="C8" s="95" t="inlineStr">
        <is>
          <t>10-K</t>
        </is>
      </c>
      <c r="D8" s="19" t="inlineStr">
        <is>
          <t>Ctrl+F "Cash and cash equivalents" → 1,807,202 ($000) FY2025</t>
        </is>
      </c>
      <c r="E8" s="74" t="n">
        <v>1807202</v>
      </c>
    </row>
    <row r="9" ht="28" customHeight="1">
      <c r="A9" s="16" t="inlineStr">
        <is>
          <t>Shares outstanding (000)</t>
        </is>
      </c>
      <c r="C9" s="95" t="inlineStr">
        <is>
          <t>10-K</t>
        </is>
      </c>
      <c r="D9" s="19" t="inlineStr">
        <is>
          <t>Ctrl+F "111,380 and 116,166 issued and outstanding" → 111,380k class A (FY25 10-K cover)</t>
        </is>
      </c>
      <c r="E9" s="74" t="n">
        <v>111380</v>
      </c>
    </row>
    <row r="10" ht="28" customHeight="1">
      <c r="A10" s="16" t="inlineStr">
        <is>
          <t>Current share price</t>
        </is>
      </c>
      <c r="C10" s="95" t="inlineStr">
        <is>
          <t>NASDAQ</t>
        </is>
      </c>
      <c r="D10" s="19" t="inlineStr">
        <is>
          <t>Ctrl+F "closed at $100.61" → Last Sale on NASDAQ quote page</t>
        </is>
      </c>
      <c r="E10" s="97" t="n">
        <v>100</v>
      </c>
    </row>
    <row r="11">
      <c r="A11" s="107" t="inlineStr">
        <is>
          <t xml:space="preserve">  memo: current EV / EBITDA</t>
        </is>
      </c>
      <c r="E11" s="112">
        <f>(E10*E9-E8)/E5</f>
        <v/>
      </c>
    </row>
    <row r="12">
      <c r="A12" s="107" t="inlineStr">
        <is>
          <t xml:space="preserve">  memo: current P / E (FY2026E)</t>
        </is>
      </c>
      <c r="E12" s="112">
        <f>E10/E7</f>
        <v/>
      </c>
    </row>
    <row r="14">
      <c r="A14" s="14" t="inlineStr">
        <is>
          <t>EXIT MULTIPLE BUILD — FY2030E TERMINAL YEAR</t>
        </is>
      </c>
    </row>
    <row r="15">
      <c r="A15" s="107" t="inlineStr">
        <is>
          <t>Peer / reference EV/EBITDA (forward / illustrative)</t>
        </is>
      </c>
    </row>
    <row r="16">
      <c r="A16" s="14" t="inlineStr">
        <is>
          <t>PITCHBOOK PUBCOMPS — daily EV / TTM EBITDA as of 04-Sep-2026 ($000)</t>
        </is>
      </c>
    </row>
    <row r="17">
      <c r="A17" s="26" t="inlineStr">
        <is>
          <t>EV/EBITDA is a black formula (I/J). UAA is shown but excluded from averages (negative TTM EBITDA).</t>
        </is>
      </c>
    </row>
    <row r="18">
      <c r="A18" s="113" t="inlineStr">
        <is>
          <t>Company</t>
        </is>
      </c>
      <c r="B18" s="113" t="inlineStr">
        <is>
          <t>Justification</t>
        </is>
      </c>
      <c r="C18" s="113" t="inlineStr">
        <is>
          <t>Source</t>
        </is>
      </c>
      <c r="D18" s="113" t="inlineStr">
        <is>
          <t>Ctrl+F / proof</t>
        </is>
      </c>
      <c r="E18" s="114" t="inlineStr">
        <is>
          <t>EV/EBITDA</t>
        </is>
      </c>
      <c r="I18" s="114" t="inlineStr">
        <is>
          <t>EV ($000)</t>
        </is>
      </c>
      <c r="J18" s="114" t="inlineStr">
        <is>
          <t>EBITDA ($000)</t>
        </is>
      </c>
    </row>
    <row r="19" ht="28" customHeight="1">
      <c r="A19" s="16" t="inlineStr">
        <is>
          <t>lululemon (LULU)</t>
        </is>
      </c>
      <c r="B19" s="17" t="inlineStr">
        <is>
          <t>PitchBook Comps Set 04-Sep-2026. Multiple = daily EV / TTM EBITDA. UAA excluded from the mean (negative EBITDA).</t>
        </is>
      </c>
      <c r="C19" s="24" t="inlineStr">
        <is>
          <t>PitchBook Comps Set 04-Sep-2026</t>
        </is>
      </c>
      <c r="D19" s="19" t="inlineStr">
        <is>
          <t>No public HTML. PitchBook Comps Set 04-Sep-2026. Prove daily EV and TTM EBITDA on that screen; E = I/J.</t>
        </is>
      </c>
      <c r="E19" s="115">
        <f>IF(J19&lt;=0,"n.m.",I19/J19)</f>
        <v/>
      </c>
      <c r="I19" s="116" t="n">
        <v>11890440</v>
      </c>
      <c r="J19" s="116" t="n">
        <v>2548084</v>
      </c>
    </row>
    <row r="20" ht="28" customHeight="1">
      <c r="A20" s="16" t="inlineStr">
        <is>
          <t>Under Armour (UAA)</t>
        </is>
      </c>
      <c r="B20" s="17" t="inlineStr">
        <is>
          <t>PitchBook Comps Set 04-Sep-2026. Multiple = daily EV / TTM EBITDA. UAA excluded from the mean (negative EBITDA).</t>
        </is>
      </c>
      <c r="C20" s="24" t="inlineStr">
        <is>
          <t>PitchBook Comps Set 04-Sep-2026</t>
        </is>
      </c>
      <c r="D20" s="19" t="inlineStr">
        <is>
          <t>No public HTML. PitchBook Comps Set 04-Sep-2026. Prove daily EV and TTM EBITDA on that screen; E = I/J.</t>
        </is>
      </c>
      <c r="E20" s="115">
        <f>IF(J20&lt;=0,"n.m.",I20/J20)</f>
        <v/>
      </c>
      <c r="I20" s="116" t="n">
        <v>3208397</v>
      </c>
      <c r="J20" s="116" t="n">
        <v>-23230</v>
      </c>
    </row>
    <row r="21" ht="28" customHeight="1">
      <c r="A21" s="16" t="inlineStr">
        <is>
          <t>adidas (ADS)</t>
        </is>
      </c>
      <c r="B21" s="17" t="inlineStr">
        <is>
          <t>PitchBook Comps Set 04-Sep-2026. Multiple = daily EV / TTM EBITDA. UAA excluded from the mean (negative EBITDA).</t>
        </is>
      </c>
      <c r="C21" s="24" t="inlineStr">
        <is>
          <t>PitchBook Comps Set 04-Sep-2026</t>
        </is>
      </c>
      <c r="D21" s="19" t="inlineStr">
        <is>
          <t>No public HTML. PitchBook Comps Set 04-Sep-2026. Prove daily EV and TTM EBITDA on that screen; E = I/J.</t>
        </is>
      </c>
      <c r="E21" s="115">
        <f>IF(J21&lt;=0,"n.m.",I21/J21)</f>
        <v/>
      </c>
      <c r="I21" s="116" t="n">
        <v>35661944</v>
      </c>
      <c r="J21" s="116" t="n">
        <v>3857684</v>
      </c>
    </row>
    <row r="22" ht="28" customHeight="1">
      <c r="A22" s="16" t="inlineStr">
        <is>
          <t>Nike (NKE)</t>
        </is>
      </c>
      <c r="B22" s="17" t="inlineStr">
        <is>
          <t>PitchBook Comps Set 04-Sep-2026. Multiple = daily EV / TTM EBITDA. UAA excluded from the mean (negative EBITDA).</t>
        </is>
      </c>
      <c r="C22" s="24" t="inlineStr">
        <is>
          <t>PitchBook Comps Set 04-Sep-2026</t>
        </is>
      </c>
      <c r="D22" s="19" t="inlineStr">
        <is>
          <t>No public HTML. PitchBook Comps Set 04-Sep-2026. Prove daily EV and TTM EBITDA on that screen; E = I/J.</t>
        </is>
      </c>
      <c r="E22" s="115">
        <f>IF(J22&lt;=0,"n.m.",I22/J22)</f>
        <v/>
      </c>
      <c r="I22" s="116" t="n">
        <v>58972350</v>
      </c>
      <c r="J22" s="116" t="n">
        <v>4647000</v>
      </c>
    </row>
    <row r="23" ht="28" customHeight="1">
      <c r="A23" s="16" t="inlineStr">
        <is>
          <t>Deckers (DECK)</t>
        </is>
      </c>
      <c r="B23" s="17" t="inlineStr">
        <is>
          <t>PitchBook Comps Set 04-Sep-2026. Multiple = daily EV / TTM EBITDA. UAA excluded from the mean (negative EBITDA).</t>
        </is>
      </c>
      <c r="C23" s="24" t="inlineStr">
        <is>
          <t>PitchBook Comps Set 04-Sep-2026</t>
        </is>
      </c>
      <c r="D23" s="19" t="inlineStr">
        <is>
          <t>No public HTML. PitchBook Comps Set 04-Sep-2026. Prove daily EV and TTM EBITDA on that screen; E = I/J.</t>
        </is>
      </c>
      <c r="E23" s="115">
        <f>IF(J23&lt;=0,"n.m.",I23/J23)</f>
        <v/>
      </c>
      <c r="I23" s="116" t="n">
        <v>10555510</v>
      </c>
      <c r="J23" s="116" t="n">
        <v>1329439</v>
      </c>
    </row>
    <row r="24" ht="28" customHeight="1">
      <c r="A24" s="16" t="inlineStr">
        <is>
          <t>Williams-Sonoma (WSM)</t>
        </is>
      </c>
      <c r="B24" s="17" t="inlineStr">
        <is>
          <t>PitchBook Comps Set 04-Sep-2026. Multiple = daily EV / TTM EBITDA. UAA excluded from the mean (negative EBITDA).</t>
        </is>
      </c>
      <c r="C24" s="24" t="inlineStr">
        <is>
          <t>PitchBook Comps Set 04-Sep-2026</t>
        </is>
      </c>
      <c r="D24" s="19" t="inlineStr">
        <is>
          <t>No public HTML. PitchBook Comps Set 04-Sep-2026. Prove daily EV and TTM EBITDA on that screen; E = I/J.</t>
        </is>
      </c>
      <c r="E24" s="115">
        <f>IF(J24&lt;=0,"n.m.",I24/J24)</f>
        <v/>
      </c>
      <c r="I24" s="116" t="n">
        <v>27284350</v>
      </c>
      <c r="J24" s="116" t="n">
        <v>1768400</v>
      </c>
    </row>
    <row r="25" ht="28" customHeight="1">
      <c r="A25" s="16" t="inlineStr">
        <is>
          <t>Crocs (CROX)</t>
        </is>
      </c>
      <c r="B25" s="17" t="inlineStr">
        <is>
          <t>PitchBook Comps Set 04-Sep-2026. Multiple = daily EV / TTM EBITDA. UAA excluded from the mean (negative EBITDA).</t>
        </is>
      </c>
      <c r="C25" s="24" t="inlineStr">
        <is>
          <t>PitchBook Comps Set 04-Sep-2026</t>
        </is>
      </c>
      <c r="D25" s="19" t="inlineStr">
        <is>
          <t>No public HTML. PitchBook Comps Set 04-Sep-2026. Prove daily EV and TTM EBITDA on that screen; E = I/J.</t>
        </is>
      </c>
      <c r="E25" s="115">
        <f>IF(J25&lt;=0,"n.m.",I25/J25)</f>
        <v/>
      </c>
      <c r="I25" s="116" t="n">
        <v>7153911</v>
      </c>
      <c r="J25" s="116" t="n">
        <v>922278</v>
      </c>
    </row>
    <row r="26" ht="28" customHeight="1">
      <c r="A26" s="16" t="inlineStr">
        <is>
          <t>Movado (MOV)</t>
        </is>
      </c>
      <c r="B26" s="17" t="inlineStr">
        <is>
          <t>PitchBook Comps Set 04-Sep-2026. Multiple = daily EV / TTM EBITDA. UAA excluded from the mean (negative EBITDA).</t>
        </is>
      </c>
      <c r="C26" s="24" t="inlineStr">
        <is>
          <t>PitchBook Comps Set 04-Sep-2026</t>
        </is>
      </c>
      <c r="D26" s="19" t="inlineStr">
        <is>
          <t>No public HTML. PitchBook Comps Set 04-Sep-2026. Prove daily EV and TTM EBITDA on that screen; E = I/J.</t>
        </is>
      </c>
      <c r="E26" s="115">
        <f>IF(J26&lt;=0,"n.m.",I26/J26)</f>
        <v/>
      </c>
      <c r="I26" s="116" t="n">
        <v>616045</v>
      </c>
      <c r="J26" s="116" t="n">
        <v>62010</v>
      </c>
    </row>
    <row r="27" ht="28" customHeight="1">
      <c r="A27" s="16" t="inlineStr">
        <is>
          <t>Levi Strauss (LEVI)</t>
        </is>
      </c>
      <c r="B27" s="17" t="inlineStr">
        <is>
          <t>PitchBook Comps Set 04-Sep-2026. Multiple = daily EV / TTM EBITDA. UAA excluded from the mean (negative EBITDA).</t>
        </is>
      </c>
      <c r="C27" s="24" t="inlineStr">
        <is>
          <t>PitchBook Comps Set 04-Sep-2026</t>
        </is>
      </c>
      <c r="D27" s="19" t="inlineStr">
        <is>
          <t>No public HTML. PitchBook Comps Set 04-Sep-2026. Prove daily EV and TTM EBITDA on that screen; E = I/J.</t>
        </is>
      </c>
      <c r="E27" s="115">
        <f>IF(J27&lt;=0,"n.m.",I27/J27)</f>
        <v/>
      </c>
      <c r="I27" s="116" t="n">
        <v>9422753</v>
      </c>
      <c r="J27" s="116" t="n">
        <v>976700</v>
      </c>
    </row>
    <row r="28" ht="28" customHeight="1">
      <c r="A28" s="16" t="inlineStr">
        <is>
          <t>La-Z-Boy (LZB)</t>
        </is>
      </c>
      <c r="B28" s="17" t="inlineStr">
        <is>
          <t>PitchBook Comps Set 04-Sep-2026. Multiple = daily EV / TTM EBITDA. UAA excluded from the mean (negative EBITDA).</t>
        </is>
      </c>
      <c r="C28" s="24" t="inlineStr">
        <is>
          <t>PitchBook Comps Set 04-Sep-2026</t>
        </is>
      </c>
      <c r="D28" s="19" t="inlineStr">
        <is>
          <t>No public HTML. PitchBook Comps Set 04-Sep-2026. Prove daily EV and TTM EBITDA on that screen; E = I/J.</t>
        </is>
      </c>
      <c r="E28" s="115">
        <f>IF(J28&lt;=0,"n.m.",I28/J28)</f>
        <v/>
      </c>
      <c r="I28" s="116" t="n">
        <v>1598873</v>
      </c>
      <c r="J28" s="116" t="n">
        <v>235723</v>
      </c>
    </row>
    <row r="29" ht="28" customHeight="1">
      <c r="A29" s="16" t="inlineStr">
        <is>
          <t>Kontoor (KTB)</t>
        </is>
      </c>
      <c r="B29" s="17" t="inlineStr">
        <is>
          <t>PitchBook Comps Set 04-Sep-2026. Multiple = daily EV / TTM EBITDA. UAA excluded from the mean (negative EBITDA).</t>
        </is>
      </c>
      <c r="C29" s="24" t="inlineStr">
        <is>
          <t>PitchBook Comps Set 04-Sep-2026</t>
        </is>
      </c>
      <c r="D29" s="19" t="inlineStr">
        <is>
          <t>No public HTML. PitchBook Comps Set 04-Sep-2026. Prove daily EV and TTM EBITDA on that screen; E = I/J.</t>
        </is>
      </c>
      <c r="E29" s="115">
        <f>IF(J29&lt;=0,"n.m.",I29/J29)</f>
        <v/>
      </c>
      <c r="I29" s="116" t="n">
        <v>5236269</v>
      </c>
      <c r="J29" s="116" t="n">
        <v>407521</v>
      </c>
    </row>
    <row r="31">
      <c r="A31" s="14" t="inlineStr">
        <is>
          <t>ALO YOGA BUILD — no source prints EV/EBITDA (Firecrawl: Reuters + Forbes)</t>
        </is>
      </c>
    </row>
    <row r="32">
      <c r="A32" s="26" t="inlineStr">
        <is>
          <t>Column E on the next two rows is $bn, not EV/EBITDA. The black formula is implied EV/Sales on an unclosed ask.</t>
        </is>
      </c>
    </row>
    <row r="33" ht="42" customHeight="1">
      <c r="A33" s="16" t="inlineStr">
        <is>
          <t>Alo / Color Image 2023 Moelis ask ($bn)</t>
        </is>
      </c>
      <c r="B33" s="19" t="inlineStr">
        <is>
          <t>Reuters: about $10 billion Moelis ask for Color Image. 2026 follow-up: no deal announced. Ask, not a print.
Also: Reuters June 2026: no deal was announced on the 2023 process. The $10bn is still an ask.</t>
        </is>
      </c>
      <c r="C33" s="38" t="inlineStr">
        <is>
          <t>Reuters: Alo parent $10bn Moelis ask
Also: Reuters: Alo 2023 process; no deal</t>
        </is>
      </c>
      <c r="D33" s="19" t="inlineStr">
        <is>
          <t>Ctrl+F "at about $10 billion" and "hired investment bank Moelis". That is the 2023 ask, not a closed EV.
Also: Ctrl+F "roughly $10 billion" and "No deal was announced". Still an ask.</t>
        </is>
      </c>
      <c r="E33" s="117" t="n">
        <v>10</v>
      </c>
    </row>
    <row r="34" ht="28" customHeight="1">
      <c r="A34" s="16" t="inlineStr">
        <is>
          <t>Color Image parent sales, Forbes est. ($bn)</t>
        </is>
      </c>
      <c r="B34" s="17" t="inlineStr">
        <is>
          <t>Forbes estimates Color Image parent sales nearly $2 billion. Mixed Alo + Bella+Canvas. Not Alo-only, not audited.</t>
        </is>
      </c>
      <c r="C34" s="18" t="inlineStr">
        <is>
          <t>Forbes: Color Image nearly $2bn sales</t>
        </is>
      </c>
      <c r="D34" s="19" t="inlineStr">
        <is>
          <t>Ctrl+F "nearly $2 billion". Forbes estimate for Color Image parent (Alo + Bella+Canvas), not Alo-only EBITDA.</t>
        </is>
      </c>
      <c r="E34" s="117" t="n">
        <v>2</v>
      </c>
    </row>
    <row r="35" ht="28" customHeight="1">
      <c r="A35" s="68" t="inlineStr">
        <is>
          <t>Alo implied EV/Sales (ask / parent sales)</t>
        </is>
      </c>
      <c r="B35" s="26" t="inlineStr">
        <is>
          <t>5.0x = 10 / 2. Implied EV/Sales on an unclosed ask and parent sales. Not EV/EBITDA. Not the TV.</t>
        </is>
      </c>
      <c r="C35" s="95" t="inlineStr">
        <is>
          <t>Comps: Alo ask / parent sales</t>
        </is>
      </c>
      <c r="D35" s="19" t="inlineStr">
        <is>
          <t>No Ctrl+F for EV/EBITDA — Firecrawl found none on Reuters or Forbes. This cell is E33 / E34 (ask ÷ parent sales). Not the TV.</t>
        </is>
      </c>
      <c r="E35" s="118">
        <f>E33/E34</f>
        <v/>
      </c>
    </row>
    <row r="36" ht="28" customHeight="1">
      <c r="A36" s="16" t="inlineStr">
        <is>
          <t>Alo EV/EBITDA</t>
        </is>
      </c>
      <c r="B36" s="26" t="inlineStr">
        <is>
          <t>No page prints Alo or Color Image EBITDA. PitchBook Alo column is blank. Cannot imply EV/EBITDA.</t>
        </is>
      </c>
      <c r="C36" s="26" t="inlineStr">
        <is>
          <t>None — no EBITDA source</t>
        </is>
      </c>
      <c r="D36" s="19" t="inlineStr">
        <is>
          <t>No Ctrl+F. Reuters, Forbes, and PitchBook do not print Alo EV/EBITDA.</t>
        </is>
      </c>
      <c r="E36" s="119" t="inlineStr">
        <is>
          <t>n.a.</t>
        </is>
      </c>
    </row>
    <row r="38">
      <c r="A38" s="14" t="inlineStr">
        <is>
          <t>Averages (live Excel AVERAGE — shown so TV is not a blended print)</t>
        </is>
      </c>
    </row>
    <row r="39">
      <c r="A39" s="16" t="inlineStr">
        <is>
          <t>Core athletic / apparel mean (LULU / NKE / ADS / DECK / CROX / LEVI / KTB)</t>
        </is>
      </c>
      <c r="B39" s="26" t="inlineStr">
        <is>
          <t>PitchBook core set, UAA out. Current tape — not a 2.25% g FY30 exit.</t>
        </is>
      </c>
      <c r="C39" s="26" t="inlineStr">
        <is>
          <t>Derived: Excel AVERAGE of the seven core prints</t>
        </is>
      </c>
      <c r="D39" s="26" t="inlineStr">
        <is>
          <t>Each E cell is I/J from the PitchBook extract. Do not use as FY30 exit.</t>
        </is>
      </c>
      <c r="E39" s="115">
        <f>AVERAGE(E19,E22,E21,E23,E25,E27,E29)</f>
        <v/>
      </c>
    </row>
    <row r="40">
      <c r="A40" s="16" t="inlineStr">
        <is>
          <t>All positive-EBITDA mean (ex-UAA; includes WSM / MOV / LZB)</t>
        </is>
      </c>
      <c r="B40" s="26" t="inlineStr">
        <is>
          <t>Wider PitchBook tape. WSM/MOV/LZB are adjacent retail, not athletic. Not the TV.</t>
        </is>
      </c>
      <c r="C40" s="26" t="inlineStr">
        <is>
          <t>Derived: Excel AVERAGE of every positive-EBITDA row</t>
        </is>
      </c>
      <c r="D40" s="26" t="inlineStr">
        <is>
          <t>UAA omitted because TTM EBITDA is negative. Not the selected FY30 exit.</t>
        </is>
      </c>
      <c r="E40" s="115">
        <f>AVERAGE(E19,E21,E22,E23,E24,E25,E26,E27,E28,E29)</f>
        <v/>
      </c>
    </row>
    <row r="41">
      <c r="A41" s="107" t="inlineStr">
        <is>
          <t>We do not average peers for terminal value, and we do not use Alo 5.0x EV/Sales as EV/EBITDA.</t>
        </is>
      </c>
    </row>
    <row r="43">
      <c r="A43" s="14" t="inlineStr">
        <is>
          <t>Terminal multiple selection (DCF exit method)</t>
        </is>
      </c>
    </row>
    <row r="44">
      <c r="A44" s="16" t="inlineStr">
        <is>
          <t>Gordon Growth implied exit EV/EBITDA</t>
        </is>
      </c>
      <c r="E44" s="94">
        <f>DCF!E46</f>
        <v/>
      </c>
    </row>
    <row r="45">
      <c r="A45" s="68" t="inlineStr">
        <is>
          <t>Selected exit multiple (base case)</t>
        </is>
      </c>
      <c r="E45" s="104">
        <f>DCF!E82</f>
        <v/>
      </c>
    </row>
    <row r="46">
      <c r="A46" s="16" t="inlineStr">
        <is>
          <t>Spread (selected − Gordon implied)</t>
        </is>
      </c>
      <c r="E46" s="94">
        <f>E45-E44</f>
        <v/>
      </c>
    </row>
    <row r="47">
      <c r="A47" s="68" t="inlineStr">
        <is>
          <t>Rationale for selected exit (Gordon identity, not a peer pick)</t>
        </is>
      </c>
    </row>
    <row r="48">
      <c r="A48" s="41" t="inlineStr">
        <is>
          <t>•  Selected exit = Gordon TV / FY30 EBITDA. Identity: (UFCF/EBITDA)×(1+g)/(WACC−g). Live formula, not a typed 8.0x</t>
        </is>
      </c>
    </row>
    <row r="49">
      <c r="A49" s="41" t="inlineStr">
        <is>
          <t>•  At base WACC ~9.0% and g 2.25% that identity is ~7.4x FY30 EBITDA — not a peer average</t>
        </is>
      </c>
    </row>
    <row r="50">
      <c r="A50" s="41" t="inlineStr">
        <is>
          <t>•  PitchBook pubcomps (04-Sep-2026) are the current tape: each multiple is daily EV / TTM EBITDA</t>
        </is>
      </c>
    </row>
    <row r="51">
      <c r="A51" s="41" t="inlineStr">
        <is>
          <t>•  That tape is a check, not the exit. A 2.25% g / 15.5% OM year is not today’s NKE/WSM multiple</t>
        </is>
      </c>
    </row>
    <row r="52">
      <c r="A52" s="41" t="inlineStr">
        <is>
          <t>•  Alo has no EV/EBITDA print. Implied 5.0x is EV/Sales (unclosed $10bn ask / ~$2bn parent sales) — not the FY30 exit</t>
        </is>
      </c>
    </row>
    <row r="53">
      <c r="A53" s="41" t="inlineStr">
        <is>
          <t>•  PitchBook LULU is ~4.7x TTM. Gordon ~7.4x is a partial recovery, not a re-rate to WSM ~15x</t>
        </is>
      </c>
    </row>
    <row r="55">
      <c r="A55" s="14" t="inlineStr">
        <is>
          <t>Methodology / multiple ranges (FY2030E terminal EBITDA — football field)</t>
        </is>
      </c>
    </row>
    <row r="56">
      <c r="A56" s="113" t="inlineStr">
        <is>
          <t>Method</t>
        </is>
      </c>
      <c r="B56" s="113" t="inlineStr">
        <is>
          <t>Justification</t>
        </is>
      </c>
      <c r="C56" s="113" t="inlineStr">
        <is>
          <t>Source</t>
        </is>
      </c>
      <c r="D56" s="113" t="inlineStr">
        <is>
          <t>Ctrl+F</t>
        </is>
      </c>
      <c r="E56" s="114" t="inlineStr">
        <is>
          <t>Low mult.</t>
        </is>
      </c>
      <c r="F56" s="114" t="inlineStr">
        <is>
          <t>High mult.</t>
        </is>
      </c>
      <c r="G56" s="114" t="inlineStr">
        <is>
          <t>Implied px (low)</t>
        </is>
      </c>
      <c r="H56" s="114" t="inlineStr">
        <is>
          <t>Implied px (high)</t>
        </is>
      </c>
    </row>
    <row r="57" ht="42" customHeight="1">
      <c r="A57" s="16" t="inlineStr">
        <is>
          <t>EV / EBITDA (FY2030E terminal)</t>
        </is>
      </c>
      <c r="B57" s="19" t="inlineStr">
        <is>
          <t>Lo: 5.0x on FY2030E EBITDA ≈ LULU current trough print. Floor of the range, not the selected exit.
Hi: 8.0x = Deckers print as the high end of the range only. Selected exit is Gordon implied, not this cap.</t>
        </is>
      </c>
      <c r="C57" s="85" t="inlineStr">
        <is>
          <t>Lo: StockAnalysis: LULU EV/EBITDA
Hi: StockAnalysis: DECK EV/EBITDA</t>
        </is>
      </c>
      <c r="D57" s="19" t="inlineStr">
        <is>
          <t>Lo: Ctrl+F "EV / EBITDA" → LULU trough ~5x; football-field floor 5.0x
Hi: Ctrl+F "EV / EBITDA" → 7.95. Football-field cap 8.0x (Deckers). Not the selected exit.</t>
        </is>
      </c>
      <c r="E57" s="120" t="n">
        <v>5</v>
      </c>
      <c r="F57" s="120" t="n">
        <v>8</v>
      </c>
      <c r="G57" s="121">
        <f>(E6*E57+E8)/E9</f>
        <v/>
      </c>
      <c r="H57" s="121">
        <f>(E6*F57+E8)/E9</f>
        <v/>
      </c>
    </row>
    <row r="58" ht="28" customHeight="1">
      <c r="A58" s="68" t="inlineStr">
        <is>
          <t>DCF exit method (Gordon-implied on FY2030E EBITDA)</t>
        </is>
      </c>
      <c r="B58" s="17" t="inlineStr">
        <is>
          <t>Selected exit is Gordon TV / FY30 EBITDA. Identity: (UFCF/EBITDA)×(1+g)/(WACC−g). Not Deckers and not a peer average.</t>
        </is>
      </c>
      <c r="C58" s="18" t="inlineStr">
        <is>
          <t>DCF: Gordon implied exit (TV / FY30 EBITDA)</t>
        </is>
      </c>
      <c r="D58" s="19" t="inlineStr">
        <is>
          <t>No peer Ctrl+F. This cell = Gordon TV / FY30 EBITDA = (UFCF/EBITDA)×(1+g)/(WACC−g). WACC and g are sourced on those rows.</t>
        </is>
      </c>
      <c r="E58" s="118">
        <f>DCF!E82</f>
        <v/>
      </c>
      <c r="G58" s="122">
        <f>(E6*E58+E8)/E9</f>
        <v/>
      </c>
    </row>
    <row r="59" ht="42" customHeight="1">
      <c r="A59" s="16" t="inlineStr">
        <is>
          <t>P / E (FY2026E EPS)</t>
        </is>
      </c>
      <c r="B59" s="19" t="inlineStr">
        <is>
          <t>Lo: 10x P/E low on FY2026E EPS; trough earnings multiple after guidance reset and sentiment de-rating.
Hi: 18x P/E high on FY2026E EPS; modest recovery case still below historical premium LULU multiples.</t>
        </is>
      </c>
      <c r="C59" s="85" t="inlineStr">
        <is>
          <t>Lo: StockAnalysis: LULU Forward P/E
Hi: StockAnalysis: NKE Forward P/E</t>
        </is>
      </c>
      <c r="D59" s="19" t="inlineStr">
        <is>
          <t>Lo: Ctrl+F "Forward PE" → LULU ~12.3x; low-case multiple assumption 10.0x
Hi: Ctrl+F "Forward PE" → NKE peer benchmark; high-case assumption 18.0x</t>
        </is>
      </c>
      <c r="E59" s="120" t="n">
        <v>10</v>
      </c>
      <c r="F59" s="120" t="n">
        <v>18</v>
      </c>
      <c r="G59" s="121">
        <f>E7*E59</f>
        <v/>
      </c>
      <c r="H59" s="121">
        <f>E7*F59</f>
        <v/>
      </c>
    </row>
    <row r="60">
      <c r="A60" s="16" t="inlineStr">
        <is>
          <t>DCF (bear – bull)</t>
        </is>
      </c>
      <c r="E60" s="123" t="inlineStr">
        <is>
          <t>—</t>
        </is>
      </c>
      <c r="F60" s="123" t="inlineStr">
        <is>
          <t>—</t>
        </is>
      </c>
      <c r="G60" s="121">
        <f>Scenarios!F132</f>
        <v/>
      </c>
      <c r="H60" s="121">
        <f>Scenarios!H132</f>
        <v/>
      </c>
    </row>
    <row r="62" ht="28" customHeight="1">
      <c r="A62" s="124" t="inlineStr">
        <is>
          <t>Current price</t>
        </is>
      </c>
      <c r="C62" s="95" t="inlineStr">
        <is>
          <t>NASDAQ</t>
        </is>
      </c>
      <c r="D62" s="19" t="inlineStr">
        <is>
          <t>Ctrl+F "closed at $100.61" → Last Sale on NASDAQ quote page</t>
        </is>
      </c>
      <c r="E62" s="125" t="n">
        <v>100</v>
      </c>
    </row>
    <row r="63">
      <c r="A63" s="26" t="inlineStr">
        <is>
          <t>Note: pubcomps are PitchBook 04-Sep-2026 (EV/EBITDA = daily EV / TTM EBITDA). UAA excluded from the mean. Selected TV is Gordon implied, not the PitchBook average. Alo EV/EBITDA is n.a.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E4" r:id="rId2"/>
    <hyperlink ref="C6" location="'DCF'!E44"/>
    <hyperlink xmlns:r="http://schemas.openxmlformats.org/officeDocument/2006/relationships" ref="C7" r:id="rId3"/>
    <hyperlink xmlns:r="http://schemas.openxmlformats.org/officeDocument/2006/relationships" ref="E7" r:id="rId4"/>
    <hyperlink xmlns:r="http://schemas.openxmlformats.org/officeDocument/2006/relationships" ref="C8" r:id="rId5"/>
    <hyperlink xmlns:r="http://schemas.openxmlformats.org/officeDocument/2006/relationships" ref="E8" r:id="rId6"/>
    <hyperlink xmlns:r="http://schemas.openxmlformats.org/officeDocument/2006/relationships" ref="C9" r:id="rId7"/>
    <hyperlink xmlns:r="http://schemas.openxmlformats.org/officeDocument/2006/relationships" ref="E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C33" r:id="rId11"/>
    <hyperlink xmlns:r="http://schemas.openxmlformats.org/officeDocument/2006/relationships" ref="E33" r:id="rId12"/>
    <hyperlink xmlns:r="http://schemas.openxmlformats.org/officeDocument/2006/relationships" ref="C34" r:id="rId13"/>
    <hyperlink xmlns:r="http://schemas.openxmlformats.org/officeDocument/2006/relationships" ref="E34" r:id="rId14"/>
    <hyperlink ref="C35" location="'Comps'!E33"/>
    <hyperlink xmlns:r="http://schemas.openxmlformats.org/officeDocument/2006/relationships" ref="C57" r:id="rId15"/>
    <hyperlink ref="C58" location="'DCF'!E82"/>
    <hyperlink xmlns:r="http://schemas.openxmlformats.org/officeDocument/2006/relationships" ref="C59" r:id="rId16"/>
    <hyperlink xmlns:r="http://schemas.openxmlformats.org/officeDocument/2006/relationships" ref="C62" r:id="rId17"/>
    <hyperlink xmlns:r="http://schemas.openxmlformats.org/officeDocument/2006/relationships" ref="E62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2026-09-09T15:52:21Z</dcterms:created>
  <dcterms:modified xsi:type="dcterms:W3CDTF">2026-09-10T16:35:57Z</dcterms:modified>
</cp:coreProperties>
</file>
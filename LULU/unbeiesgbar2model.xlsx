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>
      <c r="B12" s="8" t="inlineStr">
        <is>
          <t>Red font = analyst assumptions — cols B/C/D on every tab: Justification | Source | Proof</t>
        </is>
      </c>
    </row>
    <row r="13"/>
    <row r="14">
      <c r="B14" s="5" t="inlineStr">
        <is>
          <t>TABS</t>
        </is>
      </c>
    </row>
    <row r="15">
      <c r="B15" s="9" t="inlineStr">
        <is>
          <t>WACC • Revenue Drivers • NOPAT Bridge • Scenarios • DCF •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[cols B–D: click + to expand]</t>
        </is>
      </c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Hamada β: Yahoo βL 0.86; unlever at mkt D/E ~0.19 → βu ~0.76; relever at lease-adjusted D/E ~0.16 → β used ~0.84.
Observed levered βL
~60 monthly returns vs S&amp;P 500 (Yahoo label)
Paired inputs on same page (mrq = most recent quarter)
(1−T) = 0.70 at 30% tax on this tab
D/E ≈ 0.16. β used = 0.76 × 1.113 ≈ 0.84
Benchmark (not used): Damodaran Retail βu 0.95</t>
        </is>
      </c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[cols B–D: click + to expand]</t>
        </is>
      </c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(per FY25 10-K). Still well below the FY24 23.7% peak.</t>
        </is>
      </c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FY26 sales are $10.35–$10.50B (earnings). Use that $10.4B year as the 7% denominator, not FY25 $11.1B.</t>
        </is>
      </c>
      <c r="C13" s="38" t="inlineStr">
        <is>
          <t>LULU 10-K: 2026 capex guide $725–745M
Q2 FY2026 outlook: $10.350B–$10.500B sales</t>
        </is>
      </c>
      <c r="D13" s="19" t="inlineStr">
        <is>
          <t>FY25 actual (10-K)
680.8 / 11,102.6 = 6.1%
FY26 capex (10-K)
FY26 sales (earnings)
7.0% = $735M / $10.425B ($10B year, not FY25 $11.1B)
DCF blend
Fade 7.0 / 6.0 / 5.5 / 5.0 / 4.0
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→ 6,284,132 ($000)
→ 11,102,600 ($000)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DSO flat ~6.3 days — DTC/store cash sales dominate; AR is wholesale residual.</t>
        </is>
      </c>
      <c r="C15" s="18" t="inlineStr">
        <is>
          <t>LULU FY2025 10-K: Accounts receivable, net</t>
        </is>
      </c>
      <c r="D15" s="19" t="inlineStr">
        <is>
          <t>DSO flat ~6.3 days — DTC/store cash sales dominate; AR is wholesale residual.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DIO: FY25 anchor ~129 days; −1 day/yr through FY30 (inventory discipline).</t>
        </is>
      </c>
      <c r="C16" s="18" t="inlineStr">
        <is>
          <t>LULU FY2025 10-K: Inventories &amp; COGS</t>
        </is>
      </c>
      <c r="D16" s="19" t="inlineStr">
        <is>
          <t>DIO: FY25 anchor ~129 days; −1 day/yr through FY30 (inventory discipline).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DIO: FY25 anchor ~129 days; −1 day/yr through FY30 (inventory discipline).</t>
        </is>
      </c>
      <c r="C17" s="18" t="inlineStr">
        <is>
          <t>LULU FY2025 10-K: inventory &amp; markdown outlook</t>
        </is>
      </c>
      <c r="D17" s="19" t="inlineStr">
        <is>
          <t>DIO: FY25 anchor ~129 days; −1 day/yr through FY30 (inventory discipline).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DPO flat ~25 days; AP scales with COGS (~3% of sales).</t>
        </is>
      </c>
      <c r="C18" s="18" t="inlineStr">
        <is>
          <t>LULU FY2025 10-K: Accounts payable &amp; COGS</t>
        </is>
      </c>
      <c r="D18" s="19" t="inlineStr">
        <is>
          <t>→ 331,421 ($000)
→ 4,818,468 ($000)
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→ 211,620 ($000)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→ 662,982 ($000)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Pitch deck reads base/bull scenario columns.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FY25 10-K historical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[cols I–L: click + to expand]</t>
        </is>
      </c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</t>
        </is>
      </c>
      <c r="J6" s="17" t="inlineStr">
        <is>
          <t>Beginning stores = last year's ending count. Prior-year ending count carried forward.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</t>
        </is>
      </c>
      <c r="J10" s="17" t="inlineStr">
        <is>
          <t>Beginning stores = last year's ending count. Prior-year ending count carried forward.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</t>
        </is>
      </c>
      <c r="J14" s="17" t="inlineStr">
        <is>
          <t>Beginning stores = last year's ending count. Prior-year ending count carried forward.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[cols I–L: click + to expand]</t>
        </is>
      </c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n"/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n"/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[cols I–L: click + to expand]</t>
        </is>
      </c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[cols I–L: click + to expand]</t>
        </is>
      </c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n"/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[cols I–L: click + to expand]</t>
        </is>
      </c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[cols B–D: click + to expand]</t>
        </is>
      </c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summarizes the reconciliation workflow.</t>
        </is>
      </c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stays in EBIT (Convention A); DCF uses basic shares.</t>
        </is>
      </c>
      <c r="C7" s="18" t="inlineStr">
        <is>
          <t>LULU CF statement (10-K): stock-based compensation</t>
        </is>
      </c>
      <c r="D7" s="19" t="inlineStr">
        <is>
          <t>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
23.6% margin assumption.
EBIT_e-comm = Rev_e-comm × Margin_e-comm
FY25 check: 4,918,697 × 23.6% ≈ 1,160,812 ($000).
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
9.1% margin assumption.
EBIT_other = Rev_other × Margin_other
FY25 check: 1,134,159 × 9.1% ≈ 103,209 ($000).
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amortization period (years) if R&amp;D/software is capitalized.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stays in EBIT (Convention A); DCF uses basic shares.</t>
        </is>
      </c>
      <c r="C20" s="18" t="inlineStr">
        <is>
          <t>LULU CF statement (10-K): stock-based compensation</t>
        </is>
      </c>
      <c r="D20" s="19" t="inlineStr">
        <is>
          <t>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implied lease interest ($1,028k FY25).</t>
        </is>
      </c>
      <c r="C23" s="18" t="inlineStr">
        <is>
          <t>LULU FY2025 10-K: interest on lease liabilities (supplemental)</t>
        </is>
      </c>
      <c r="D23" s="19" t="inlineStr">
        <is>
          <t>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Scenarios consolidated EBIT margin).
EBIT_e-comm,t = Rev_e-comm,t × 23.6%
FY25: 4,918,697 × 23.6% ≈ 1,160,812 ($000).
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Scenarios consolidated EBIT margin).
EBIT_other,t = Rev_other,t × 9.1%
FY25: 1,134,159 × 9.1% ≈ 103,209 ($000).
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73" t="inlineStr">
        <is>
          <t>Phase 5 — Reconciliation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[cols B–D: click + to expand]</t>
        </is>
      </c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[cols L–M: click + to expand]</t>
        </is>
      </c>
      <c r="M2" s="78" t="inlineStr">
        <is>
          <t>Alt. source</t>
        </is>
      </c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</t>
        </is>
      </c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2.3% FY27–30 growth matches StockAnalysis Revenue Growth Forecast (3Y) of 2.26%; next-year consensus is +2.64%.</t>
        </is>
      </c>
      <c r="C6" s="38" t="inlineStr">
        <is>
          <t>LULU Q2 FY2026 earnings release
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→ 6,284,132 ($000)
→ 11,102,600 ($000)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FY30 15.5% is a partial recovery vs the FY25 10-K OM of 19.9% (per FY25 10-K). Still well below the FY24 23.7% peak.</t>
        </is>
      </c>
      <c r="C9" s="38" t="inlineStr">
        <is>
          <t>Q2 FY2026 release: 18.8% OM minus 560bps tariffs
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inlineStr">
        <is>
          <t>FY26 7.0% is $735M on $10.4B sales, not FY25 $11.1B. Since 7.0% steps toward FY25 6.1%, we assume a fade: DCF 5.5% = (7.0+6.0+5.5+5.0+4.0)/5.
FY26 sales are $10.35–$10.50B (earnings). Use that $10.4B year as the 7% denominator, not FY25 $11.1B.</t>
        </is>
      </c>
      <c r="C17" s="38" t="inlineStr">
        <is>
          <t>LULU 10-K: 2026 capex guide $725–745M
Q2 FY2026 outlook: $10.350B–$10.500B sales</t>
        </is>
      </c>
      <c r="D17" s="19" t="inlineStr">
        <is>
          <t>FY25 actual (10-K)
680.8 / 11,102.6 = 6.1%
FY26 capex (10-K)
FY26 sales (earnings)
7.0% = $735M / $10.425B ($10B year, not FY25 $11.1B)
DCF blend
Fade 7.0 / 6.0 / 5.5 / 5.0 / 4.0
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inlineStr">
        <is>
          <t>DSO flat ~6.3 days — DTC/store cash sales dominate; AR is wholesale residual.</t>
        </is>
      </c>
      <c r="C20" s="18" t="inlineStr">
        <is>
          <t>LULU FY2025 10-K: Accounts receivable, net</t>
        </is>
      </c>
      <c r="D20" s="19" t="inlineStr">
        <is>
          <t>DSO flat ~6.3 days — DTC/store cash sales dominate; AR is wholesale residual.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dominates; AR scales predictably with sales.
→ 190,657 ($000)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inlineStr">
        <is>
          <t>DIO: FY25 anchor ~129 days; −1 day/yr through FY30 (inventory discipline).</t>
        </is>
      </c>
      <c r="C22" s="38" t="inlineStr">
        <is>
          <t>LULU FY2025 10-K: Inventories &amp; COGS
LULU FY2025 10-K: inventory &amp; markdown outlook</t>
        </is>
      </c>
      <c r="D22" s="19" t="inlineStr">
        <is>
          <t>DIO: FY25 anchor ~129 days; −1 day/yr through FY30 (inventory discipline).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inlineStr">
        <is>
          <t>$ balance (not a direct % plug).</t>
        </is>
      </c>
      <c r="C23" s="18" t="inlineStr">
        <is>
          <t>LULU FY2025 10-K: Inventories</t>
        </is>
      </c>
      <c r="D23" s="19" t="inlineStr">
        <is>
          <t>DIO: FY25 anchor ~129 days; −1 day/yr through FY30 (inventory discipline).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inlineStr">
        <is>
          <t>DPO flat ~25 days; AP scales with COGS (~3% of sales).</t>
        </is>
      </c>
      <c r="C24" s="18" t="inlineStr">
        <is>
          <t>LULU FY2025 10-K: Accounts payable &amp; COGS</t>
        </is>
      </c>
      <c r="D24" s="19" t="inlineStr">
        <is>
          <t>→ 331,421 ($000)
→ 4,818,468 ($000)
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→ 331,421 ($000)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→ 211,620 ($000)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→ 211,620 ($000)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→ 662,982 ($000)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→ 662,982 ($000)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$ change in NWC year-over-year.</t>
        </is>
      </c>
      <c r="C33" s="18" t="inlineStr">
        <is>
          <t>Scenarios tab: NWC roll-forward (driver schedule)</t>
        </is>
      </c>
      <c r="D33" s="19" t="inlineStr">
        <is>
          <t>$ change year-over-year.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print.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WACC and terminal growth rows rows (base-case inputs)</t>
        </is>
      </c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[cols B–D: click + to expand]</t>
        </is>
      </c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inlineStr">
        <is>
          <t>ALO YOGA BUILD — no source prints EV/EBITDA (Reuters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</t>
        </is>
      </c>
      <c r="C33" s="38" t="inlineStr">
        <is>
          <t>Reuters: Alo parent $10bn Moelis ask
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Reuters, Forbes, and PitchBook do not print Alo EV/EBITDA.</t>
        </is>
      </c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Lo:.0x
Hi:.95.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print.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Lo:.3x; low-case multiple assumption 10.0x
Hi:.0x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2026-09-10T01:30:40Z</dcterms:modified>
</cp:coreProperties>
</file>
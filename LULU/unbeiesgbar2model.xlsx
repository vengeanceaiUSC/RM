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>
      <c r="B12" s="8" t="inlineStr">
        <is>
          <t>Red font = analyst assumptions — cols B/C/D on every tab: Justification | Source | Ctrl+F</t>
        </is>
      </c>
    </row>
    <row r="13"/>
    <row r="14">
      <c r="B14" s="5" t="inlineStr">
        <is>
          <t>TABS</t>
        </is>
      </c>
    </row>
    <row r="15">
      <c r="B15" s="9" t="inlineStr">
        <is>
          <t>WACC • Revenue Drivers • NOPAT Bridge • Scenarios • DCF •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$0;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500;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page;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D/E;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0.16;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used;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benchmark;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STATISTICS; βL + debt + equity on ONE page
(No vendor publishes the D/E embedded inside the regression.) Observed levered βL Ctrl+F "Beta (5Y Monthly)" → 0.86 ~60 monthly returns vs S&amp;P 500 (Yahoo label) Paired inputs on same page (mrq = most recent quarter) Ctrl+F "Total Debt (mrq)" → 2.14B Ctrl+F "Market Cap" → 11.14B Ctrl+F "Total Debt/Equity (mrq)" → 44.69% (book; reference only) STEP 1 — UNLEVER (market D/E from Yahoo page) D/E = Total Debt (mrq) ÷ Market Cap = 2.14 ÷ 11.14 ≈ 0.19 βu = 0.86 ÷ [1 + 0.70 × 0.19] = 0.86 ÷ 1.134 ≈ 0.76 (1−T) = 0.70 at 30% tax on this tab STEP 2 — RELEVER (WACC: FY25 10-K lease debt / our market cap) Ctrl+F "Current lease liabilities" → 298,724 Ctrl+F "Non-current lease liabilities" → 1,499,717 D/E ≈ 0.16. β used = 0.76 × 1.113 ≈ 0.84 Benchmark (not used): Damodaran Retail βu 0.95</t>
        </is>
      </c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~14%;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only;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 Ctrl+F "680,802" → capex $680.8M Ctrl+F "11,102,600" → sales $11.1B 680.8 / 11,102.6 = 6.1% FY26 capex (10-K) Ctrl+F "$725.0 million and $745.0 million" → mid $735M FY26 sales (earnings) Ctrl+F "$10.350 billion to $10.500 billion" → $10.35–$10.50B (mid $10.425B) 7.0% = $735M / $10.425B ($10B year, not FY25 $11.1B) DCF blend Fade 7.0 / 6.0 / 5.5 / 5.0 / 4.0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revenue; DSO (days), flat ~6.3. Mostly own stores/DTC (cash at register); AR is small wholesale residual; predictable ~6 days FY22–25.</t>
        </is>
      </c>
      <c r="C15" s="18" t="inlineStr">
        <is>
          <t>LULU FY2025 10-K: Accounts receivable, net</t>
        </is>
      </c>
      <c r="D15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revenue; DIO (days).
FY25 anchor: DIO = (Inventories ÷ COGS) × 365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revenue; DIO (days).
FY25 anchor formula: DIO = (Inventories ÷ COGS) × 365
Ctrl+F "Inventories"
→ 1,700,753 ($000) | FY24: 1,442,081
Ctrl+F "Cost of goods sold"
→ 4,818,468 ($000)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revenue;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revenue;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revenue;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revenue;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-ingested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inlineStr">
        <is>
          <t>Justification (~20 words)</t>
        </is>
      </c>
      <c r="K3" s="51" t="inlineStr">
        <is>
          <t>Source (click)</t>
        </is>
      </c>
      <c r="L3" s="51" t="inlineStr">
        <is>
          <t>Ctrl+F (prove number)</t>
        </is>
      </c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inlineStr">
        <is>
          <t>Justification [cols I–L: click + to expand]</t>
        </is>
      </c>
      <c r="K5" s="56" t="inlineStr">
        <is>
          <t>Source</t>
        </is>
      </c>
      <c r="L5" s="56" t="inlineStr">
        <is>
          <t>Ctrl+F</t>
        </is>
      </c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fleet; immaterial closures vs expansion; 2–3 per mature region.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fleet; immaterial closures vs expansion; 2–3 per mature region.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fleet; immaterial closures vs expansion; 2–3 per mature region.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inlineStr">
        <is>
          <t>Justification [cols I–L: click + to expand]</t>
        </is>
      </c>
      <c r="K23" s="56" t="inlineStr">
        <is>
          <t>Source</t>
        </is>
      </c>
      <c r="L23" s="56" t="inlineStr">
        <is>
          <t>Ctrl+F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inlineStr">
        <is>
          <t>Last year's total store-channel revenue;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inlineStr">
        <is>
          <t>Existing-store sales only;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inlineStr">
        <is>
          <t>Fleet traffic memo line;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inlineStr">
        <is>
          <t>In-store conversion memo;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inlineStr">
        <is>
          <t>Justification [cols I–L: click + to expand]</t>
        </is>
      </c>
      <c r="K37" s="56" t="inlineStr">
        <is>
          <t>Source</t>
        </is>
      </c>
      <c r="L37" s="56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inlineStr">
        <is>
          <t>Justification [cols I–L: click + to expand]</t>
        </is>
      </c>
      <c r="K44" s="56" t="inlineStr">
        <is>
          <t>Source</t>
        </is>
      </c>
      <c r="L44" s="56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 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 FY26E plugged: B47 × (C31+C41+C45) ÷ (B31+B41+B45)</t>
        </is>
      </c>
      <c r="J47" s="17" t="inlineStr">
        <is>
          <t>China 15.8% of FY25 revenue; fastest comp and store growth;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 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inlineStr">
        <is>
          <t>Justification [cols I–L: click + to expand]</t>
        </is>
      </c>
      <c r="K54" s="56" t="inlineStr">
        <is>
          <t>Source</t>
        </is>
      </c>
      <c r="L54" s="56" t="inlineStr">
        <is>
          <t>Ctrl+F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inlineStr">
        <is>
          <t>Pulls the Scenarios base-case revenue path;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inlineStr">
        <is>
          <t>Justification [cols B–D: click + to expand]</t>
        </is>
      </c>
      <c r="C2" s="51" t="inlineStr">
        <is>
          <t>Source (click)</t>
        </is>
      </c>
      <c r="D2" s="51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workflow summary below.</t>
        </is>
      </c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 FY25 reference. Flag = 0: SBC stays in EBIT (Convention A); DCF IV uses basic 111,380k shares.</t>
        </is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Not % of consolidated revenue;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9" s="18" t="inlineStr">
        <is>
          <t>FY2025 10-K: company-operated stores net revenue</t>
        </is>
      </c>
      <c r="D9" s="19" t="inlineStr">
        <is>
          <t>Not consolidated EBIT margin; EBIT ÷ store revenue only (cf. Scenarios 13.2%–15.5%).
Ctrl+F "Company-operated stores"
→ 5,049,744 ($000) net revenue
× 18.6% margin assumption → store EBIT ≈ 939,252 ($000)</t>
        </is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Not % of consolidated revenue; EBIT as % of e-commerce revenue only (not the Scenarios 13.2%–15.5% consolidated margin).
23.6% margin assumption.
EBIT_e-comm = Rev_e-comm × Margin_e-comm
FY25 check: 4,918,697 × 23.6% ≈ 1,160,812 ($000).
Higher than stores; no occupancy; fulfillment + digital marketing only.</t>
        </is>
      </c>
      <c r="C10" s="18" t="inlineStr">
        <is>
          <t>FY2025 10-K: e-commerce net revenue</t>
        </is>
      </c>
      <c r="D10" s="19" t="inlineStr">
        <is>
          <t>Not consolidated EBIT margin; EBIT ÷ e-commerce revenue only (cf. Scenarios 13.2%–15.5%).
Ctrl+F "E-commerce"
→ 4,918,697 ($000) net revenue
× 23.6% margin assumption → e-comm EBIT ≈ 1,160,812 ($000)</t>
        </is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Not % of consolidated revenue; EBIT as % of other-channel revenue only (not the Scenarios 13.2%–15.5% consolidated margin).
9.1% margin assumption.
EBIT_other = Rev_other × Margin_other
FY25 check: 1,134,159 × 9.1% ≈ 103,209 ($000).
Wholesale/license/outlets; lower-margin residual channel.</t>
        </is>
      </c>
      <c r="C11" s="18" t="inlineStr">
        <is>
          <t>FY2025 10-K: other channels (residual)</t>
        </is>
      </c>
      <c r="D11" s="19" t="inlineStr">
        <is>
          <t>Not consolidated EBIT margin; EBIT ÷ other-channel revenue only (cf. Scenarios 13.2%–15.5%).
Ctrl+F "Net revenue" → 11,102,600
Minus stores + e-comm → other channels ≈ 1,134,159 ($000)
× 9.1% margin assumption → other EBIT ≈ 103,209 ($000)</t>
        </is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30% statutory marginal rate. t_operating transitions here over the 5-year forecast.</t>
        </is>
      </c>
      <c r="C12" s="18" t="inlineStr">
        <is>
          <t>Q2 FY2026 outlook: tax rate ≈ 30%</t>
        </is>
      </c>
      <c r="D12" s="19" t="inlineStr">
        <is>
          <t>Ctrl+F "a tax rate of approximately 30%" → terminal marginal rate for t_operating glide path.</t>
        </is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Not % of revenue; amortization period (years) if R&amp;D/software is capitalized. LULU: no separate R&amp;D cap.</t>
        </is>
      </c>
      <c r="C13" s="24" t="inlineStr">
        <is>
          <t>NOPAT Bridge: capitalization convention</t>
        </is>
      </c>
      <c r="D13" s="19" t="inlineStr">
        <is>
          <t>Amortization period if R&amp;D capitalized (3–5 yr convention). LULU: no separate R&amp;D capitalization.</t>
        </is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FY25: reported operating income from 10-K. Forecast: Scenarios base-case EBIT (margin path).</t>
        </is>
      </c>
      <c r="C16" s="18" t="inlineStr">
        <is>
          <t>LULU FY2025 10-K: Income from operations</t>
        </is>
      </c>
      <c r="D16" s="19" t="inlineStr">
        <is>
          <t>Ctrl+F "Income from operations" → 2,210,615 ($000). Forecast links to Scenarios EBIT.</t>
        </is>
      </c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 back intangible amortization / impairments. FY25 = other operating expense amortization run-rate.</t>
        </is>
      </c>
      <c r="C17" s="18" t="inlineStr">
        <is>
          <t>LULU FY2025 10-K: amortization of intangible assets</t>
        </is>
      </c>
      <c r="D17" s="19" t="inlineStr">
        <is>
          <t>Ctrl+F "Amortization of intangible assets" → other operating expense run-rate (add-back).</t>
        </is>
      </c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Add back restructuring (severance, store closures). LULU FY25: none identified.</t>
        </is>
      </c>
      <c r="C18" s="18" t="inlineStr">
        <is>
          <t>LULU FY2025 10-K: restructuring charges</t>
        </is>
      </c>
      <c r="D18" s="19" t="inlineStr">
        <is>
          <t>Ctrl+F "restructuring" → none material in FY25 10-K.</t>
        </is>
      </c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Strip one-off legal / M&amp;A advisory fees. LULU FY25: none identified.</t>
        </is>
      </c>
      <c r="C19" s="18" t="inlineStr">
        <is>
          <t>LULU FY2025 10-K: SG&amp;A one-offs</t>
        </is>
      </c>
      <c r="D19" s="19" t="inlineStr">
        <is>
          <t>One-off legal/M&amp;A fees in SG&amp;A; none identified FY25.</t>
        </is>
      </c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Not % of revenue; SBC add-back flag. Set to 0 (Convention A).
SBC stays inside Scenarios EBIT/NOPAT as a real economic cost; DCF uses basic shares (111.4M).
FY25 reference: $62,203k (10-K). Flag = 1 would add back (Convention B + diluted shares); not used.</t>
        </is>
      </c>
      <c r="C20" s="18" t="inlineStr">
        <is>
          <t>LULU CF statement (10-K): stock-based compensation</t>
        </is>
      </c>
      <c r="D20" s="19" t="inlineStr">
        <is>
          <t>Ctrl+F "Stock-based compensation expense"
→ 62,203 ($000) FY25 reference. Flag = 0: SBC stays in EBIT (Convention A); DCF IV uses basic 111,380k shares.</t>
        </is>
      </c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add-backs. SBC add-back = 0 when flag = 0.</t>
        </is>
      </c>
      <c r="C21" s="24" t="inlineStr">
        <is>
          <t>NOPAT Bridge tab: Phase 1 subtotal</t>
        </is>
      </c>
      <c r="D21" s="19" t="inlineStr">
        <is>
          <t>Sum of reported EBIT + Phase 1 add-backs on this tab.</t>
        </is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Not % of revenue; implied lease interest ($1,028k FY25). Reclass from rent to unlevered EBIT; scales with revenue in forecast.</t>
        </is>
      </c>
      <c r="C23" s="18" t="inlineStr">
        <is>
          <t>LULU FY2025 10-K: interest on lease liabilities (supplemental)</t>
        </is>
      </c>
      <c r="D23" s="19" t="inlineStr">
        <is>
          <t>Ctrl+F "Interest paid on lease liabilities"
→ 1,028 ($000) supplemental cash-flow disclosure. Reclass to unlevered EBIT.</t>
        </is>
      </c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Capitalize multi-year software/R&amp;D. LULU: immaterial separate R&amp;D line; held at $0.</t>
        </is>
      </c>
      <c r="C24" s="18" t="inlineStr">
        <is>
          <t>LULU FY2025 10-K: R&amp;D / software expense</t>
        </is>
      </c>
      <c r="D24" s="19" t="inlineStr">
        <is>
          <t>R&amp;D / software capitalization; LULU immaterial; held at $0.</t>
        </is>
      </c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intangibles. LULU: flows through existing D&amp;A.</t>
        </is>
      </c>
      <c r="C25" s="18" t="inlineStr">
        <is>
          <t>LULU FY2025 10-K: intangible amortization</t>
        </is>
      </c>
      <c r="D25" s="19" t="inlineStr">
        <is>
          <t>Amortization of prior capitalized intangibles; netted in D&amp;A line.</t>
        </is>
      </c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amortization.</t>
        </is>
      </c>
      <c r="C26" s="24" t="inlineStr">
        <is>
          <t>NOPAT Bridge tab: Phase 2 subtotal</t>
        </is>
      </c>
      <c r="D26" s="19" t="inlineStr">
        <is>
          <t>Phase 1 + lease interest + R&amp;D cap − amortization.</t>
        </is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tab.</t>
        </is>
      </c>
      <c r="C28" s="18" t="inlineStr">
        <is>
          <t>Revenue Drivers tab: store-channel revenue</t>
        </is>
      </c>
      <c r="D28" s="19" t="inlineStr">
        <is>
          <t>Revenue Drivers tab → store-channel revenue row.</t>
        </is>
      </c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tab.</t>
        </is>
      </c>
      <c r="C29" s="18" t="inlineStr">
        <is>
          <t>Revenue Drivers tab: e-commerce revenue</t>
        </is>
      </c>
      <c r="D29" s="19" t="inlineStr">
        <is>
          <t>Revenue Drivers tab → e-commerce revenue row.</t>
        </is>
      </c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tab.</t>
        </is>
      </c>
      <c r="C30" s="18" t="inlineStr">
        <is>
          <t>Revenue Drivers tab: other channels revenue</t>
        </is>
      </c>
      <c r="D30" s="19" t="inlineStr">
        <is>
          <t>Revenue Drivers tab → other channels revenue row.</t>
        </is>
      </c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consolidated EBIT margin).
EBIT_store,t = Rev_store,t × 18.6%
FY25: 5,049,744 × 18.6% ≈ 939,252 ($000).
Margin from driver assumptions row above; ties to 10-K store revenue.</t>
        </is>
      </c>
      <c r="C31" s="18" t="inlineStr">
        <is>
          <t>FY2025 10-K: company-operated stores net revenue</t>
        </is>
      </c>
      <c r="D31" s="19" t="inlineStr">
        <is>
          <t>Not consolidated EBIT margin; store EBIT ÷ store revenue only.
Ctrl+F "Company-operated stores"
→ 5,049,744 ($000)
EBIT = Rev × 18.6% → ≈ 939,252 ($000)</t>
        </is>
      </c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Scenarios consolidated EBIT margin).
EBIT_e-comm,t = Rev_e-comm,t × 23.6%
FY25: 4,918,697 × 23.6% ≈ 1,160,812 ($000).
Higher than stores; no brick-and-mortar occupancy drag.</t>
        </is>
      </c>
      <c r="C32" s="18" t="inlineStr">
        <is>
          <t>FY2025 10-K: e-commerce net revenue</t>
        </is>
      </c>
      <c r="D32" s="19" t="inlineStr">
        <is>
          <t>Not consolidated EBIT margin; e-commerce EBIT ÷ e-commerce revenue only.
Ctrl+F "E-commerce"
→ 4,918,697 ($000)
EBIT = Rev × 23.6% → ≈ 1,160,812 ($000)</t>
        </is>
      </c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Scenarios consolidated EBIT margin).
EBIT_other,t = Rev_other,t × 9.1%
FY25: 1,134,159 × 9.1% ≈ 103,209 ($000).
Wholesale/license/outlets; lowest channel margin.</t>
        </is>
      </c>
      <c r="C33" s="18" t="inlineStr">
        <is>
          <t>FY2025 10-K: other channels (residual)</t>
        </is>
      </c>
      <c r="D33" s="19" t="inlineStr">
        <is>
          <t>Not consolidated EBIT margin; other-channel EBIT ÷ other revenue only.
Other rev = 11,102,600 − 5,049,744 − 4,918,697 ≈ 1,134,159 ($000)
EBIT = Rev × 9.1% → ≈ 103,209 ($000)</t>
        </is>
      </c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EBIT_i. FY26 adds Scenarios tariff refund.</t>
        </is>
      </c>
      <c r="C34" s="24" t="inlineStr">
        <is>
          <t>NOPAT Bridge tab: sector EBIT subtotal</t>
        </is>
      </c>
      <c r="D34" s="19" t="inlineStr">
        <is>
          <t>Sum of sector EBIT rows. FY26 adds Scenarios tariff refund cell.</t>
        </is>
      </c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3). Check row vs Scenarios shows channel vs margin-path gap.</t>
        </is>
      </c>
      <c r="C35" s="24" t="inlineStr">
        <is>
          <t>NOPAT Bridge tab: Phase 3 subtotal</t>
        </is>
      </c>
      <c r="D35" s="19" t="inlineStr">
        <is>
          <t>Channel EBIT subtotal (Phase 3). Compare Check row vs Scenarios.</t>
        </is>
      </c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0). Forecast: Scenarios base EBIT; tax base for NOPAT.</t>
        </is>
      </c>
      <c r="C36" s="24" t="inlineStr">
        <is>
          <t>Scenarios tab: base-case EBIT (forecast)</t>
        </is>
      </c>
      <c r="D36" s="19" t="inlineStr">
        <is>
          <t>FY25: Phase 1–2 formula. Forecast: Scenarios base EBIT (tax base).</t>
        </is>
      </c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interest). Transitions from FY25 t_operating toward 30% marginal over 5 years.</t>
        </is>
      </c>
      <c r="C39" s="18" t="inlineStr">
        <is>
          <t>LULU FY2025 10-K: income tax &amp; interest expense</t>
        </is>
      </c>
      <c r="D39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t_operating. Strips debt-interest tax shield from GAAP rate.</t>
        </is>
      </c>
      <c r="C40" s="24" t="inlineStr">
        <is>
          <t>NOPAT Bridge tab: unlevered tax expense</t>
        </is>
      </c>
      <c r="D40" s="19" t="inlineStr">
        <is>
          <t>Normalized EBIT × t_operating; unlevered tax (no debt shield).</t>
        </is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t_operating). Scenarios base case links here.</t>
        </is>
      </c>
      <c r="C41" s="24" t="inlineStr">
        <is>
          <t>NOPAT Bridge tab: normalized NOPAT</t>
        </is>
      </c>
      <c r="D41" s="19" t="inlineStr">
        <is>
          <t>EBIT_norm − unlevered tax. Scenarios base-case NOPAT links to this row.</t>
        </is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73" t="inlineStr">
        <is>
          <t>Phase 5 — workflow (execution steps)</t>
        </is>
      </c>
    </row>
    <row r="44">
      <c r="B44" s="78" t="inlineStr">
        <is>
          <t>Source</t>
        </is>
      </c>
      <c r="C44" s="78" t="inlineStr">
        <is>
          <t>Without applied (FY26 DCF)</t>
        </is>
      </c>
      <c r="D44" s="78" t="inlineStr">
        <is>
          <t>With applied (FY26 DCF)</t>
        </is>
      </c>
      <c r="F44" s="78" t="inlineStr">
        <is>
          <t>Output</t>
        </is>
      </c>
    </row>
    <row r="45">
      <c r="A45" s="61" t="inlineStr">
        <is>
          <t>1. Clean base</t>
        </is>
      </c>
      <c r="B45" s="79" t="inlineStr">
        <is>
          <t>SEC 10-K income statement</t>
        </is>
      </c>
      <c r="C45" s="79" t="inlineStr">
        <is>
          <t>EBIT = 13.2% × rev + tariff; SBC stays expensed (flag = 0).</t>
        </is>
      </c>
      <c r="D45" s="79" t="inlineStr">
        <is>
          <t>DCF unchanged.</t>
        </is>
      </c>
      <c r="F45" s="80" t="inlineStr">
        <is>
          <t>EBIT_adj (Phase 1)</t>
        </is>
      </c>
    </row>
    <row r="46">
      <c r="A46" s="61" t="inlineStr">
        <is>
          <t>2. Capitalize R&amp;D</t>
        </is>
      </c>
      <c r="B46" s="79" t="inlineStr">
        <is>
          <t>SG&amp;A footnotes</t>
        </is>
      </c>
      <c r="C46" s="79" t="inlineStr">
        <is>
          <t>R&amp;D/software expensed in full each year ($0 for LULU).</t>
        </is>
      </c>
      <c r="D46" s="79" t="inlineStr">
        <is>
          <t>DCF unchanged.</t>
        </is>
      </c>
      <c r="F46" s="80" t="inlineStr">
        <is>
          <t>EBIT_capitalized (Phase 2)</t>
        </is>
      </c>
    </row>
    <row r="47">
      <c r="A47" s="61" t="inlineStr">
        <is>
          <t>3. Lease shift</t>
        </is>
      </c>
      <c r="B47" s="79" t="inlineStr">
        <is>
          <t>ASC 842 lease footnote</t>
        </is>
      </c>
      <c r="C47" s="79" t="inlineStr">
        <is>
          <t>Rent in opex; no implied lease-interest add-back.</t>
        </is>
      </c>
      <c r="D47" s="79" t="inlineStr">
        <is>
          <t>DCF unchanged.</t>
        </is>
      </c>
      <c r="F47" s="80" t="inlineStr">
        <is>
          <t>EBIT_lease-adj (Phase 2)</t>
        </is>
      </c>
    </row>
    <row r="48">
      <c r="A48" s="61" t="inlineStr">
        <is>
          <t>4. Segment mix</t>
        </is>
      </c>
      <c r="B48" s="79" t="inlineStr">
        <is>
          <t>Revenue Drivers tab</t>
        </is>
      </c>
      <c r="C48" s="79" t="inlineStr">
        <is>
          <t>DCF uses consolidated 13.2% on total revenue (+ tariff).</t>
        </is>
      </c>
      <c r="D48" s="79" t="inlineStr">
        <is>
          <t>DCF unchanged.</t>
        </is>
      </c>
      <c r="F48" s="80" t="inlineStr">
        <is>
          <t>Forecast EBIT (Phase 3)</t>
        </is>
      </c>
    </row>
    <row r="49">
      <c r="A49" s="61" t="inlineStr">
        <is>
          <t>5. NOPAT bridge</t>
        </is>
      </c>
      <c r="B49" s="79" t="inlineStr">
        <is>
          <t>Normalized EBIT &amp; t_operating</t>
        </is>
      </c>
      <c r="C49" s="79" t="inlineStr">
        <is>
          <t>NOPAT = EBIT × (1 − 30%) flat sc_tax.</t>
        </is>
      </c>
      <c r="D49" s="79" t="inlineStr">
        <is>
          <t>NOPAT = EBIT × (1 − t_operating) — same EBIT, slightly higher NOPAT.</t>
        </is>
      </c>
      <c r="F49" s="80" t="inlineStr">
        <is>
          <t>Normalized NOPAT</t>
        </is>
      </c>
    </row>
    <row r="50">
      <c r="A50" s="61" t="inlineStr">
        <is>
          <t>6. Tariff refund (Scenarios)</t>
        </is>
      </c>
      <c r="B50" s="79" t="inlineStr">
        <is>
          <t>Q2 FY2026 earnings release</t>
        </is>
      </c>
      <c r="C50" s="79" t="inlineStr">
        <is>
          <t>EBIT = Rev × 13.2% only (no refund).</t>
        </is>
      </c>
      <c r="D50" s="79" t="inlineStr">
        <is>
          <t>+ $134,500k in FY26 — DCF uses this.</t>
        </is>
      </c>
      <c r="F50" s="80" t="inlineStr">
        <is>
          <t>Scenarios EBIT (FY26)</t>
        </is>
      </c>
    </row>
    <row r="51">
      <c r="A51" s="26" t="inlineStr">
        <is>
          <t>Steps 1–4: DCF unchanged on FY26. Step 5 changes NOPAT only (tax). Step 6 changes FY26 EBIT (+ tariff).</t>
        </is>
      </c>
    </row>
    <row r="52">
      <c r="A52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104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inlineStr">
        <is>
          <t>Justification (~20 words) [cols B–D: click + to expand]</t>
        </is>
      </c>
      <c r="C2" s="78" t="inlineStr">
        <is>
          <t>Source (click)</t>
        </is>
      </c>
      <c r="D2" s="78" t="inlineStr">
        <is>
          <t>Ctrl+F (prove number)</t>
        </is>
      </c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[cols L–M: click + to expand]</t>
        </is>
      </c>
      <c r="M2" s="78" t="inlineStr">
        <is>
          <t>Alt. Ctrl+F</t>
        </is>
      </c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only;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 Ctrl+F "680,802" → capex $680.8M Ctrl+F "11,102,600" → sales $11.1B 680.8 / 11,102.6 = 6.1% FY26 capex (10-K) Ctrl+F "$725.0 million and $745.0 million" → mid $735M FY26 sales (earnings) Ctrl+F "$10.350 billion to $10.500 billion" → $10.35–$10.50B (mid $10.425B) 7.0% = $735M / $10.425B ($10B year, not FY25 $11.1B) DCF blend Fade 7.0 / 6.0 / 5.5 / 5.0 / 4.0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inlineStr">
        <is>
          <t>Not % of revenue; DSO (days), flat ~6.3. Mostly own stores/DTC (cash at register); AR is small wholesale residual; predictable ~6 days FY22–25.</t>
        </is>
      </c>
      <c r="C20" s="18" t="inlineStr">
        <is>
          <t>LULU FY2025 10-K: Accounts receivable, net</t>
        </is>
      </c>
      <c r="D20" s="19" t="inlineStr">
        <is>
          <t>Not % of revenue; DSO (days), flat ~6.3.
Why flat: ~90%+ revenue is company-operated stores + e-commerce (cash/card at sale);
AR is a small, stable wholesale/license residual;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dominates; AR scales predictably with sales.
Ctrl+F "Accounts receivable, net"
→ 190,657 ($000)
Ctrl+F "Net revenue"
→ 11,102,600 ($000)</t>
        </is>
      </c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inlineStr">
        <is>
          <t>Not % of revenue; DIO (days).
FY25 anchor: DIO = (Inventories ÷ COGS) × 365 = (1,700,753 ÷ 4,818,468) × 365 ≈ 129 days (FY24 inv: 1,442,081).
Forecast path: DIO_t = FY25 DIO − (1 day × year t); flat across scenarios.
Also: Not % of revenue;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revenue; DIO (days).
FY25 anchor formula: DIO = (Inventories ÷ COGS) × 365
Ctrl+F "Inventories"
→ 1,700,753 ($000) | FY24: 1,442,081
Ctrl+F "Cost of goods sold"
→ 4,818,468 ($000) = (1,700,753 ÷ 4,818,468) × 365 ≈ 129 days
Forecast: DIO_t = FY25 DIO − (1 × year t)
Also: Not % of revenue; DIO −1 day/yr (−5 days FY26–30).
Feeds Inventories_t = (DIO_t ÷ 365) × COGS_t.
Ctrl+F "reduce the percentage of markdowns"
Ctrl+F "On a unit basis, we expect inventories to slightly decrease"</t>
        </is>
      </c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inlineStr">
        <is>
          <t>Not % of revenue;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revenue; Inventories_t = (DIO_t ÷ 365) × COGS_t.
COGS_t = Revenue_t × (1 − GM%).
Ctrl+F "Inventories"
→ 1,700,753 ($000)
Ctrl+F "Cost of goods sold"
→ 4,818,468 ($000)
FY25 proof: (129 ÷ 365) × 4,818,468 ≈ 1,700,753</t>
        </is>
      </c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inlineStr">
        <is>
          <t>Not % of revenue;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revenue; DPO ≈ 25.1 days. Implied AP ≈ 3.0% of sales / 6.9% of COGS.</t>
        </is>
      </c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%;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revenue; sum of line items.
FY25: AR ~1.7% + inventory ~15.3% + prepaids 5.1% ≈ 22.1% of sales.</t>
        </is>
      </c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%;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revenue; sum of line items.
FY25: AP ~3.0% + accrued liabilities 6.0% ≈ 9.0% of sales.</t>
        </is>
      </c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%;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revenue; net balance.
FY25 NWC ≈ 13.2% of sales ($1,461,096k = COA − COL).</t>
        </is>
      </c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revenue;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revenue; $ change year-over-year.
FY26: revenue −6.1% + DIO −1 day → NWC falls → ΔNWC positive (WC release).
FY27–30: revenue +2.3%/yr → AR &amp; inventory rebuild → ΔNWC negative (WC build).</t>
        </is>
      </c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inlineStr">
        <is>
          <t>Ctrl+F "Cash and cash equivalents" → 1,807,202 ($000) FY2025</t>
        </is>
      </c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inlineStr">
        <is>
          <t>Ctrl+F "closed at $100.61" → Last Sale on NASDAQ quote page</t>
        </is>
      </c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inlineStr">
        <is>
          <t>Selected exit is Gordon TV / FY30 EBITDA. Identity: (UFCF/EBITDA)×(1+g)/(WACC−g). Not Deckers and not a peer average.</t>
        </is>
      </c>
      <c r="C82" s="18" t="inlineStr">
        <is>
          <t>DCF: Gordon implied exit (TV / FY30 EBITDA)</t>
        </is>
      </c>
      <c r="D82" s="19" t="inlineStr">
        <is>
          <t>No peer Ctrl+F. This cell = Gordon TV / FY30 EBITDA = (UFCF/EBITDA)×(1+g)/(WACC−g). WACC and g are sourced on those rows.</t>
        </is>
      </c>
      <c r="E82" s="94">
        <f>E46</f>
        <v/>
      </c>
      <c r="M82" s="95" t="inlineStr">
        <is>
          <t>Comps: Exit Multiple Build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inlineStr">
        <is>
          <t>Gordon Growth</t>
        </is>
      </c>
      <c r="C89" s="54" t="inlineStr">
        <is>
          <t>Exit Multiple</t>
        </is>
      </c>
      <c r="D89" s="54" t="inlineStr">
        <is>
          <t>Variance</t>
        </is>
      </c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inlineStr">
        <is>
          <t>Selected exit is the Gordon identity, so spread should be 0</t>
        </is>
      </c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inlineStr">
        <is>
          <t>Terminal-g axis 1.5–3.0% brackets 2.25% base; bounded by long-run real GDP and inflation benchmarks.</t>
        </is>
      </c>
      <c r="C98" s="18" t="inlineStr">
        <is>
          <t>FRED: Real GDP (GDPC1)</t>
        </is>
      </c>
      <c r="D98" s="19" t="inlineStr">
        <is>
          <t>Ctrl+F "GDPC1" → bounds terminal-g sensitivity grid 1.5%–3.0%</t>
        </is>
      </c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inlineStr">
        <is>
          <t>WACC tab → green WACC cell ~9.0%. Sensitivity WACC axis brackets base ±100bps.</t>
        </is>
      </c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inlineStr">
        <is>
          <t>WACC tab → green WACC cell ~9.0%. Sensitivity WACC axis brackets base ±100bps.</t>
        </is>
      </c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inlineStr">
        <is>
          <t>WACC tab → green WACC cell ~9.0%. Sensitivity WACC axis brackets base ±100bps.</t>
        </is>
      </c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inlineStr">
        <is>
          <t>WACC tab → green WACC cell ~9.0%. Sensitivity WACC axis brackets base ±100bps.</t>
        </is>
      </c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inlineStr">
        <is>
          <t>WACC tab → green WACC cell ~9.0%. Sensitivity WACC axis brackets base ±100bps.</t>
        </is>
      </c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inlineStr">
        <is>
          <t>Red WACC and g grid values bracket base case ±100bps discount rate and ±75bps terminal growth for sensitivity.</t>
        </is>
      </c>
      <c r="C104" s="18" t="inlineStr">
        <is>
          <t>Scenarios: WACC &amp; terminal g</t>
        </is>
      </c>
      <c r="D104" s="19" t="inlineStr">
        <is>
          <t>Scenarios tab → Ctrl+F "WACC" and "Terminal growth" rows (base-case inputs)</t>
        </is>
      </c>
      <c r="L104" s="95" t="inlineStr">
        <is>
          <t>FRED: Real GDP (GDPC1)</t>
        </is>
      </c>
      <c r="M104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inlineStr">
        <is>
          <t>Ctrl+F "Net revenue" → 11,102,600 ($000) in FY2025 column</t>
        </is>
      </c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inlineStr">
        <is>
          <t>Ctrl+F "$9.48 to $9.73" → FY2026 diluted EPS guidance; model midpoint $9.61</t>
        </is>
      </c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inlineStr">
        <is>
          <t>Ctrl+F "Cash and cash equivalents" → 1,807,202 ($000) FY2025</t>
        </is>
      </c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inlineStr">
        <is>
          <t>Ctrl+F "closed at $100.61" → Last Sale on NASDAQ quote page</t>
        </is>
      </c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inlineStr">
        <is>
          <t>Justification</t>
        </is>
      </c>
      <c r="C18" s="113" t="inlineStr">
        <is>
          <t>Source</t>
        </is>
      </c>
      <c r="D18" s="113" t="inlineStr">
        <is>
          <t>Ctrl+F / proof</t>
        </is>
      </c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inlineStr">
        <is>
          <t>ALO YOGA BUILD — no source prints EV/EBITDA (: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process;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7" t="n">
        <v>2</v>
      </c>
    </row>
    <row r="35" ht="28" customHeight="1">
      <c r="A35" s="68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5" t="inlineStr">
        <is>
          <t>Comps: Alo ask / parent sales</t>
        </is>
      </c>
      <c r="D35" s="19" t="inlineStr">
        <is>
          <t>No Ctrl+F for EV/EBITDA — found none on Reuters or Forbes. This cell is E33 / E34 (ask ÷ parent sales). Not the TV.</t>
        </is>
      </c>
      <c r="E35" s="118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inlineStr">
        <is>
          <t>Justification</t>
        </is>
      </c>
      <c r="C56" s="113" t="inlineStr">
        <is>
          <t>Source</t>
        </is>
      </c>
      <c r="D56" s="113" t="inlineStr">
        <is>
          <t>Ctrl+F</t>
        </is>
      </c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5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5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inlineStr">
        <is>
          <t>Ctrl+F "closed at $100.61" → Last Sale on NASDAQ quote page</t>
        </is>
      </c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2026-09-10T01:23:21Z</dcterms:modified>
</cp:coreProperties>
</file>
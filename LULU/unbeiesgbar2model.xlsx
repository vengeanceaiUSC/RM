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WACC" sheetId="2" state="visible" r:id="rId2"/>
    <sheet name="Scenarios" sheetId="3" state="visible" r:id="rId3"/>
    <sheet name="Revenue Drivers" sheetId="4" state="visible" r:id="rId4"/>
    <sheet name="NOPAT Bridge" sheetId="5" state="visible" r:id="rId5"/>
    <sheet name="DCF" sheetId="6" state="visible" r:id="rId6"/>
    <sheet name="Comp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%"/>
    <numFmt numFmtId="165" formatCode="$#,##0.00"/>
    <numFmt numFmtId="166" formatCode="#,##0;(#,##0)"/>
    <numFmt numFmtId="167" formatCode="#,##0.0"/>
    <numFmt numFmtId="168" formatCode="0.000"/>
    <numFmt numFmtId="169" formatCode="0.0x"/>
  </numFmts>
  <fonts count="53">
    <font>
      <name val="Calibri"/>
      <family val="2"/>
      <color theme="1"/>
      <sz val="11"/>
      <scheme val="minor"/>
    </font>
    <font>
      <name val="Garamond"/>
      <b val="1"/>
      <color rgb="00FFFFFF"/>
      <sz val="13"/>
    </font>
    <font>
      <name val="Garamond"/>
      <b val="1"/>
      <color rgb="001F2A44"/>
      <sz val="20"/>
    </font>
    <font>
      <name val="Garamond"/>
      <b val="1"/>
      <color rgb="00C8102E"/>
      <sz val="13"/>
    </font>
    <font>
      <name val="Garamond"/>
      <b val="1"/>
      <color rgb="00006100"/>
      <sz val="14"/>
    </font>
    <font>
      <name val="Garamond"/>
      <b val="1"/>
      <color rgb="001F2A44"/>
      <sz val="12"/>
    </font>
    <font>
      <name val="Garamond"/>
      <b val="1"/>
      <color rgb="000000CC"/>
      <sz val="11"/>
    </font>
    <font>
      <name val="Garamond"/>
      <b val="1"/>
      <color rgb="00000000"/>
      <sz val="11"/>
    </font>
    <font>
      <name val="Garamond"/>
      <b val="1"/>
      <color rgb="00C00000"/>
      <sz val="11"/>
    </font>
    <font>
      <name val="Garamond"/>
      <color rgb="00000000"/>
      <sz val="10"/>
    </font>
    <font>
      <name val="Garamond"/>
      <color rgb="000000CC"/>
      <sz val="10"/>
    </font>
    <font>
      <name val="Garamond"/>
      <color rgb="000000CC"/>
      <sz val="10"/>
      <u val="single"/>
    </font>
    <font>
      <name val="Garamond"/>
      <i val="1"/>
      <color rgb="00000000"/>
      <sz val="9"/>
    </font>
    <font>
      <name val="Garamond"/>
      <b val="1"/>
      <color rgb="00FFFFFF"/>
      <sz val="12"/>
    </font>
    <font>
      <name val="Garamond"/>
      <b val="1"/>
      <color rgb="00C8102E"/>
      <sz val="9"/>
    </font>
    <font>
      <name val="Garamond"/>
      <b val="1"/>
      <color rgb="00C8102E"/>
      <sz val="10"/>
    </font>
    <font>
      <name val="Garamond"/>
      <color rgb="00C00000"/>
      <sz val="10"/>
    </font>
    <font>
      <name val="Garamond"/>
      <i val="1"/>
      <color rgb="00000000"/>
      <sz val="8"/>
    </font>
    <font>
      <name val="Garamond"/>
      <i val="1"/>
      <color rgb="000000CC"/>
      <sz val="9"/>
    </font>
    <font>
      <name val="Garamond"/>
      <i val="1"/>
      <color rgb="000000CC"/>
      <sz val="9"/>
      <u val="single"/>
    </font>
    <font>
      <name val="Garamond"/>
      <b val="1"/>
      <color rgb="001F2A44"/>
      <sz val="10"/>
    </font>
    <font>
      <name val="Garamond"/>
      <b val="1"/>
      <color rgb="00000000"/>
      <sz val="10"/>
    </font>
    <font>
      <name val="Garamond"/>
      <b val="1"/>
      <color rgb="00006100"/>
      <sz val="12"/>
    </font>
    <font>
      <name val="Garamond"/>
      <b val="1"/>
      <color rgb="00FFFFFF"/>
      <sz val="11"/>
    </font>
    <font>
      <name val="Garamond"/>
      <color rgb="00000000"/>
      <sz val="9"/>
    </font>
    <font>
      <name val="Garamond"/>
      <b val="1"/>
      <color rgb="001F2A44"/>
      <sz val="11"/>
    </font>
    <font>
      <name val="Garamond"/>
      <b val="1"/>
      <color rgb="00000000"/>
      <sz val="12"/>
    </font>
    <font>
      <name val="Garamond"/>
      <b val="1"/>
      <color rgb="00FFFFFF"/>
      <sz val="9"/>
    </font>
    <font>
      <name val="Garamond"/>
      <color rgb="000000CC"/>
      <sz val="9"/>
    </font>
    <font>
      <name val="Garamond"/>
      <color rgb="00C00000"/>
      <sz val="9"/>
    </font>
    <font>
      <name val="Garamond"/>
      <b val="1"/>
      <color rgb="00000000"/>
      <sz val="9"/>
    </font>
    <font>
      <name val="Garamond"/>
      <b val="1"/>
      <color rgb="000000CC"/>
      <sz val="9"/>
    </font>
    <font>
      <name val="Garamond"/>
      <b val="1"/>
      <color rgb="000000CC"/>
      <sz val="9"/>
      <u val="single"/>
    </font>
    <font>
      <name val="Garamond"/>
      <color rgb="000000CC"/>
      <sz val="9"/>
      <u val="single"/>
    </font>
    <font>
      <name val="Garamond"/>
      <b val="1"/>
      <color rgb="000000CC"/>
      <sz val="10"/>
    </font>
    <font>
      <name val="Garamond"/>
      <b val="1"/>
      <color rgb="000000CC"/>
      <sz val="10"/>
      <u val="single"/>
    </font>
    <font>
      <name val="Garamond"/>
      <b val="1"/>
      <color rgb="00FFFFFF"/>
      <sz val="10"/>
    </font>
    <font>
      <name val="Garamond"/>
      <b val="1"/>
      <color rgb="001F2A44"/>
      <sz val="9"/>
    </font>
    <font>
      <name val="Garamond"/>
      <b val="1"/>
      <color rgb="00C8102E"/>
      <sz val="8"/>
    </font>
    <font>
      <name val="Garamond"/>
      <color rgb="00000000"/>
      <sz val="8"/>
    </font>
    <font>
      <name val="Garamond"/>
      <color rgb="00C8102E"/>
      <sz val="8"/>
    </font>
    <font>
      <name val="Garamond"/>
      <i val="1"/>
      <color rgb="000000CC"/>
      <sz val="8"/>
    </font>
    <font>
      <name val="Garamond"/>
      <i val="1"/>
      <color rgb="000000CC"/>
      <sz val="8"/>
      <u val="single"/>
    </font>
    <font>
      <name val="Garamond"/>
      <i val="1"/>
      <color rgb="00F2F2F2"/>
      <sz val="9"/>
    </font>
    <font>
      <name val="Garamond"/>
      <i val="1"/>
      <color rgb="00F2F2F2"/>
      <sz val="7"/>
    </font>
    <font>
      <name val="Garamond"/>
      <b val="1"/>
      <color rgb="00000000"/>
      <sz val="8"/>
    </font>
    <font>
      <name val="Garamond"/>
      <b val="1"/>
      <color rgb="00006100"/>
      <sz val="9"/>
    </font>
    <font>
      <name val="Garamond"/>
      <b val="1"/>
      <color rgb="00006100"/>
      <sz val="13"/>
    </font>
    <font>
      <name val="Garamond"/>
      <b val="1"/>
      <color rgb="00006100"/>
      <sz val="11"/>
    </font>
    <font>
      <name val="Garamond"/>
      <b val="1"/>
      <color rgb="00C00000"/>
      <sz val="9"/>
    </font>
    <font>
      <name val="Garamond"/>
      <color rgb="00006100"/>
      <sz val="9"/>
    </font>
    <font>
      <name val="Garamond"/>
      <i val="1"/>
      <color rgb="00000000"/>
      <sz val="10"/>
    </font>
    <font>
      <name val="Garamond"/>
      <b val="1"/>
      <color rgb="000000CC"/>
      <sz val="11"/>
      <u val="single"/>
    </font>
  </fonts>
  <fills count="7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2F2F2"/>
      </patternFill>
    </fill>
    <fill>
      <patternFill patternType="solid">
        <fgColor rgb="00C8102E"/>
      </patternFill>
    </fill>
    <fill>
      <patternFill patternType="solid">
        <fgColor rgb="00006100"/>
      </patternFill>
    </fill>
    <fill>
      <patternFill patternType="solid">
        <fgColor rgb="00D9E1F2"/>
      </patternFill>
    </fill>
  </fills>
  <borders count="3">
    <border>
      <left/>
      <right/>
      <top/>
      <bottom/>
      <diagonal/>
    </border>
    <border>
      <top style="thin">
        <color rgb="00BFBFBF"/>
      </top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2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1" fillId="0" borderId="0" applyAlignment="1" pivotButton="0" quotePrefix="0" xfId="0">
      <alignment horizontal="left" vertical="top" wrapText="1"/>
    </xf>
    <xf numFmtId="0" fontId="12" fillId="0" borderId="0" pivotButton="0" quotePrefix="0" xfId="0"/>
    <xf numFmtId="0" fontId="13" fillId="2" borderId="0" pivotButton="0" quotePrefix="0" xfId="0"/>
    <xf numFmtId="0" fontId="0" fillId="2" borderId="0" pivotButton="0" quotePrefix="0" xfId="0"/>
    <xf numFmtId="0" fontId="15" fillId="0" borderId="0" pivotButton="0" quotePrefix="0" xfId="0"/>
    <xf numFmtId="0" fontId="14" fillId="0" borderId="0" applyAlignment="1" pivotButton="0" quotePrefix="0" xfId="0">
      <alignment horizontal="left" vertical="center" indent="1"/>
    </xf>
    <xf numFmtId="0" fontId="9" fillId="0" borderId="0" applyAlignment="1" pivotButton="0" quotePrefix="0" xfId="0">
      <alignment horizontal="left" vertical="center" indent="1"/>
    </xf>
    <xf numFmtId="0" fontId="17" fillId="0" borderId="0" applyAlignment="1" pivotButton="0" quotePrefix="0" xfId="0">
      <alignment horizontal="left" vertical="center" wrapText="1"/>
    </xf>
    <xf numFmtId="0" fontId="19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top" wrapText="1"/>
    </xf>
    <xf numFmtId="164" fontId="16" fillId="0" borderId="0" applyAlignment="1" pivotButton="0" quotePrefix="0" xfId="0">
      <alignment horizontal="right" vertical="center"/>
    </xf>
    <xf numFmtId="165" fontId="10" fillId="0" borderId="0" applyAlignment="1" pivotButton="0" quotePrefix="0" xfId="0">
      <alignment horizontal="right" vertical="center"/>
    </xf>
    <xf numFmtId="166" fontId="10" fillId="0" borderId="0" applyAlignment="1" pivotButton="0" quotePrefix="0" xfId="0">
      <alignment horizontal="right" vertical="center"/>
    </xf>
    <xf numFmtId="0" fontId="20" fillId="0" borderId="0" applyAlignment="1" pivotButton="0" quotePrefix="0" xfId="0">
      <alignment horizontal="left" vertical="center" indent="1"/>
    </xf>
    <xf numFmtId="0" fontId="17" fillId="0" borderId="0" applyAlignment="1" pivotButton="0" quotePrefix="0" xfId="0">
      <alignment horizontal="left" vertical="center"/>
    </xf>
    <xf numFmtId="166" fontId="21" fillId="0" borderId="1" applyAlignment="1" pivotButton="0" quotePrefix="0" xfId="0">
      <alignment horizontal="right" vertical="center"/>
    </xf>
    <xf numFmtId="0" fontId="17" fillId="0" borderId="0" applyAlignment="1" pivotButton="0" quotePrefix="0" xfId="0">
      <alignment horizontal="left" vertical="center" indent="1"/>
    </xf>
    <xf numFmtId="2" fontId="10" fillId="0" borderId="0" applyAlignment="1" pivotButton="0" quotePrefix="0" xfId="0">
      <alignment horizontal="right" vertical="center"/>
    </xf>
    <xf numFmtId="2" fontId="9" fillId="0" borderId="0" applyAlignment="1" pivotButton="0" quotePrefix="0" xfId="0">
      <alignment horizontal="right" vertical="center"/>
    </xf>
    <xf numFmtId="2" fontId="21" fillId="0" borderId="1" applyAlignment="1" pivotButton="0" quotePrefix="0" xfId="0">
      <alignment horizontal="right" vertical="center"/>
    </xf>
    <xf numFmtId="164" fontId="21" fillId="0" borderId="1" applyAlignment="1" pivotButton="0" quotePrefix="0" xfId="0">
      <alignment horizontal="right" vertical="center"/>
    </xf>
    <xf numFmtId="164" fontId="9" fillId="0" borderId="1" applyAlignment="1" pivotButton="0" quotePrefix="0" xfId="0">
      <alignment horizontal="right" vertical="center"/>
    </xf>
    <xf numFmtId="164" fontId="9" fillId="0" borderId="0" applyAlignment="1" pivotButton="0" quotePrefix="0" xfId="0">
      <alignment horizontal="right" vertical="center"/>
    </xf>
    <xf numFmtId="164" fontId="22" fillId="3" borderId="1" applyAlignment="1" pivotButton="0" quotePrefix="0" xfId="0">
      <alignment horizontal="right" vertical="center"/>
    </xf>
    <xf numFmtId="0" fontId="23" fillId="4" borderId="0" applyAlignment="1" pivotButton="0" quotePrefix="0" xfId="0">
      <alignment horizontal="center" vertical="center" wrapText="1"/>
    </xf>
    <xf numFmtId="0" fontId="23" fillId="5" borderId="0" applyAlignment="1" pivotButton="0" quotePrefix="0" xfId="0">
      <alignment horizontal="center" vertical="center" wrapText="1"/>
    </xf>
    <xf numFmtId="0" fontId="23" fillId="2" borderId="0" applyAlignment="1" pivotButton="0" quotePrefix="0" xfId="0">
      <alignment horizontal="center" vertical="center" wrapText="1"/>
    </xf>
    <xf numFmtId="166" fontId="16" fillId="0" borderId="0" applyAlignment="1" pivotButton="0" quotePrefix="0" xfId="0">
      <alignment horizontal="right" vertical="center"/>
    </xf>
    <xf numFmtId="0" fontId="19" fillId="0" borderId="0" applyAlignment="1" pivotButton="0" quotePrefix="0" xfId="0">
      <alignment horizontal="left" vertical="top" wrapText="1"/>
    </xf>
    <xf numFmtId="2" fontId="16" fillId="0" borderId="0" applyAlignment="1" pivotButton="0" quotePrefix="0" xfId="0">
      <alignment horizontal="right" vertical="center"/>
    </xf>
    <xf numFmtId="1" fontId="16" fillId="0" borderId="0" applyAlignment="1" pivotButton="0" quotePrefix="0" xfId="0">
      <alignment horizontal="right" vertical="center"/>
    </xf>
    <xf numFmtId="0" fontId="24" fillId="0" borderId="0" applyAlignment="1" pivotButton="0" quotePrefix="0" xfId="0">
      <alignment horizontal="left" vertical="center" indent="1"/>
    </xf>
    <xf numFmtId="166" fontId="24" fillId="0" borderId="0" applyAlignment="1" pivotButton="0" quotePrefix="0" xfId="0">
      <alignment horizontal="right" vertical="center"/>
    </xf>
    <xf numFmtId="164" fontId="24" fillId="0" borderId="0" applyAlignment="1" pivotButton="0" quotePrefix="0" xfId="0">
      <alignment horizontal="right" vertical="center"/>
    </xf>
    <xf numFmtId="2" fontId="24" fillId="0" borderId="0" applyAlignment="1" pivotButton="0" quotePrefix="0" xfId="0">
      <alignment horizontal="right" vertical="center"/>
    </xf>
    <xf numFmtId="0" fontId="25" fillId="0" borderId="0" applyAlignment="1" pivotButton="0" quotePrefix="0" xfId="0">
      <alignment horizontal="left" vertical="center" indent="1"/>
    </xf>
    <xf numFmtId="165" fontId="26" fillId="3" borderId="2" applyAlignment="1" pivotButton="0" quotePrefix="0" xfId="0">
      <alignment horizontal="right" vertical="center"/>
    </xf>
    <xf numFmtId="165" fontId="22" fillId="3" borderId="2" applyAlignment="1" pivotButton="0" quotePrefix="0" xfId="0">
      <alignment horizontal="right" vertical="center"/>
    </xf>
    <xf numFmtId="164" fontId="21" fillId="0" borderId="0" applyAlignment="1" pivotButton="0" quotePrefix="0" xfId="0">
      <alignment horizontal="right" vertical="center"/>
    </xf>
    <xf numFmtId="165" fontId="24" fillId="0" borderId="0" applyAlignment="1" pivotButton="0" quotePrefix="0" xfId="0">
      <alignment horizontal="right" vertical="center"/>
    </xf>
    <xf numFmtId="0" fontId="23" fillId="2" borderId="0" applyAlignment="1" pivotButton="0" quotePrefix="0" xfId="0">
      <alignment horizontal="left" vertical="center" indent="1"/>
    </xf>
    <xf numFmtId="0" fontId="14" fillId="0" borderId="0" pivotButton="0" quotePrefix="0" xfId="0"/>
    <xf numFmtId="0" fontId="15" fillId="0" borderId="0" applyAlignment="1" pivotButton="0" quotePrefix="0" xfId="0">
      <alignment horizontal="left" vertical="center" indent="1"/>
    </xf>
    <xf numFmtId="0" fontId="27" fillId="2" borderId="0" applyAlignment="1" pivotButton="0" quotePrefix="0" xfId="0">
      <alignment horizontal="left" vertical="center" indent="1"/>
    </xf>
    <xf numFmtId="0" fontId="27" fillId="2" borderId="0" applyAlignment="1" pivotButton="0" quotePrefix="0" xfId="0">
      <alignment horizontal="center" vertical="center" wrapText="1"/>
    </xf>
    <xf numFmtId="0" fontId="27" fillId="4" borderId="0" applyAlignment="1" pivotButton="0" quotePrefix="0" xfId="0">
      <alignment horizontal="center" vertical="center" wrapText="1"/>
    </xf>
    <xf numFmtId="0" fontId="27" fillId="2" borderId="0" pivotButton="0" quotePrefix="0" xfId="0"/>
    <xf numFmtId="166" fontId="28" fillId="0" borderId="0" applyAlignment="1" pivotButton="0" quotePrefix="0" xfId="0">
      <alignment horizontal="right" vertical="center"/>
    </xf>
    <xf numFmtId="0" fontId="17" fillId="0" borderId="0" applyAlignment="1" pivotButton="0" quotePrefix="0" xfId="0">
      <alignment horizontal="center" vertical="center" wrapText="1"/>
    </xf>
    <xf numFmtId="0" fontId="17" fillId="3" borderId="0" applyAlignment="1" pivotButton="0" quotePrefix="0" xfId="0">
      <alignment horizontal="left" vertical="top" wrapText="1"/>
    </xf>
    <xf numFmtId="166" fontId="29" fillId="0" borderId="0" applyAlignment="1" pivotButton="0" quotePrefix="0" xfId="0">
      <alignment horizontal="right" vertical="center"/>
    </xf>
    <xf numFmtId="0" fontId="30" fillId="0" borderId="0" applyAlignment="1" pivotButton="0" quotePrefix="0" xfId="0">
      <alignment horizontal="left" vertical="center" indent="1"/>
    </xf>
    <xf numFmtId="166" fontId="30" fillId="0" borderId="0" applyAlignment="1" pivotButton="0" quotePrefix="0" xfId="0">
      <alignment horizontal="right" vertical="center"/>
    </xf>
    <xf numFmtId="166" fontId="32" fillId="0" borderId="0" applyAlignment="1" pivotButton="0" quotePrefix="0" xfId="0">
      <alignment horizontal="right" vertical="center"/>
    </xf>
    <xf numFmtId="164" fontId="29" fillId="0" borderId="0" applyAlignment="1" pivotButton="0" quotePrefix="0" xfId="0">
      <alignment horizontal="right" vertical="center"/>
    </xf>
    <xf numFmtId="166" fontId="33" fillId="0" borderId="0" applyAlignment="1" pivotButton="0" quotePrefix="0" xfId="0">
      <alignment horizontal="right" vertical="center"/>
    </xf>
    <xf numFmtId="167" fontId="29" fillId="0" borderId="0" applyAlignment="1" pivotButton="0" quotePrefix="0" xfId="0">
      <alignment horizontal="right" vertical="center"/>
    </xf>
    <xf numFmtId="165" fontId="29" fillId="0" borderId="0" applyAlignment="1" pivotButton="0" quotePrefix="0" xfId="0">
      <alignment horizontal="right" vertical="center"/>
    </xf>
    <xf numFmtId="0" fontId="21" fillId="0" borderId="0" applyAlignment="1" pivotButton="0" quotePrefix="0" xfId="0">
      <alignment horizontal="left" vertical="center" indent="1"/>
    </xf>
    <xf numFmtId="166" fontId="35" fillId="0" borderId="0" applyAlignment="1" pivotButton="0" quotePrefix="0" xfId="0">
      <alignment horizontal="right" vertical="center"/>
    </xf>
    <xf numFmtId="166" fontId="21" fillId="0" borderId="0" applyAlignment="1" pivotButton="0" quotePrefix="0" xfId="0">
      <alignment horizontal="right" vertical="center"/>
    </xf>
    <xf numFmtId="0" fontId="34" fillId="0" borderId="0" applyAlignment="1" pivotButton="0" quotePrefix="0" xfId="0">
      <alignment horizontal="center" vertical="center" wrapText="1"/>
    </xf>
    <xf numFmtId="0" fontId="36" fillId="4" borderId="0" applyAlignment="1" pivotButton="0" quotePrefix="0" xfId="0">
      <alignment horizontal="center" vertical="center" wrapText="1"/>
    </xf>
    <xf numFmtId="0" fontId="37" fillId="0" borderId="0" applyAlignment="1" pivotButton="0" quotePrefix="0" xfId="0">
      <alignment horizontal="left" vertical="center" indent="1"/>
    </xf>
    <xf numFmtId="166" fontId="11" fillId="0" borderId="0" applyAlignment="1" pivotButton="0" quotePrefix="0" xfId="0">
      <alignment horizontal="right" vertical="center"/>
    </xf>
    <xf numFmtId="166" fontId="9" fillId="0" borderId="0" applyAlignment="1" pivotButton="0" quotePrefix="0" xfId="0">
      <alignment horizontal="right" vertical="center"/>
    </xf>
    <xf numFmtId="166" fontId="35" fillId="0" borderId="1" applyAlignment="1" pivotButton="0" quotePrefix="0" xfId="0">
      <alignment horizontal="right" vertical="center"/>
    </xf>
    <xf numFmtId="164" fontId="11" fillId="0" borderId="0" applyAlignment="1" pivotButton="0" quotePrefix="0" xfId="0">
      <alignment horizontal="right" vertical="center"/>
    </xf>
    <xf numFmtId="0" fontId="38" fillId="0" borderId="0" applyAlignment="1" pivotButton="0" quotePrefix="0" xfId="0">
      <alignment horizontal="left" vertical="center" indent="1"/>
    </xf>
    <xf numFmtId="0" fontId="39" fillId="0" borderId="0" applyAlignment="1" pivotButton="0" quotePrefix="0" xfId="0">
      <alignment horizontal="left" vertical="top" wrapText="1"/>
    </xf>
    <xf numFmtId="0" fontId="40" fillId="0" borderId="0" applyAlignment="1" pivotButton="0" quotePrefix="0" xfId="0">
      <alignment horizontal="left" vertical="center" indent="1"/>
    </xf>
    <xf numFmtId="0" fontId="38" fillId="0" borderId="0" applyAlignment="1" pivotButton="0" quotePrefix="0" xfId="0">
      <alignment horizontal="center" vertical="center" wrapText="1"/>
    </xf>
    <xf numFmtId="0" fontId="43" fillId="0" borderId="0" applyAlignment="1" pivotButton="0" quotePrefix="0" xfId="0">
      <alignment horizontal="left" vertical="center" indent="1"/>
    </xf>
    <xf numFmtId="0" fontId="42" fillId="0" borderId="0" applyAlignment="1" pivotButton="0" quotePrefix="0" xfId="0">
      <alignment horizontal="center" vertical="center" wrapText="1"/>
    </xf>
    <xf numFmtId="0" fontId="44" fillId="0" borderId="0" applyAlignment="1" pivotButton="0" quotePrefix="0" xfId="0">
      <alignment horizontal="center" vertical="center" wrapText="1"/>
    </xf>
    <xf numFmtId="0" fontId="42" fillId="0" borderId="0" applyAlignment="1" pivotButton="0" quotePrefix="0" xfId="0">
      <alignment horizontal="left" vertical="top" wrapText="1"/>
    </xf>
    <xf numFmtId="0" fontId="39" fillId="0" borderId="0" applyAlignment="1" pivotButton="0" quotePrefix="0" xfId="0">
      <alignment horizontal="center" vertical="center" wrapText="1"/>
    </xf>
    <xf numFmtId="0" fontId="45" fillId="0" borderId="0" applyAlignment="1" pivotButton="0" quotePrefix="0" xfId="0">
      <alignment horizontal="center" vertical="center" wrapText="1"/>
    </xf>
    <xf numFmtId="2" fontId="11" fillId="0" borderId="0" applyAlignment="1" pivotButton="0" quotePrefix="0" xfId="0">
      <alignment horizontal="right" vertical="center"/>
    </xf>
    <xf numFmtId="166" fontId="21" fillId="0" borderId="2" applyAlignment="1" pivotButton="0" quotePrefix="0" xfId="0">
      <alignment horizontal="right" vertical="center"/>
    </xf>
    <xf numFmtId="1" fontId="9" fillId="0" borderId="0" applyAlignment="1" pivotButton="0" quotePrefix="0" xfId="0">
      <alignment horizontal="right" vertical="center"/>
    </xf>
    <xf numFmtId="168" fontId="9" fillId="0" borderId="0" applyAlignment="1" pivotButton="0" quotePrefix="0" xfId="0">
      <alignment horizontal="right" vertical="center"/>
    </xf>
    <xf numFmtId="0" fontId="46" fillId="0" borderId="0" applyAlignment="1" pivotButton="0" quotePrefix="0" xfId="0">
      <alignment horizontal="center" vertical="center" wrapText="1"/>
    </xf>
    <xf numFmtId="0" fontId="36" fillId="2" borderId="0" pivotButton="0" quotePrefix="0" xfId="0"/>
    <xf numFmtId="169" fontId="9" fillId="0" borderId="0" applyAlignment="1" pivotButton="0" quotePrefix="0" xfId="0">
      <alignment horizontal="right" vertical="center"/>
    </xf>
    <xf numFmtId="0" fontId="42" fillId="0" borderId="0" applyAlignment="1" pivotButton="0" quotePrefix="0" xfId="0">
      <alignment horizontal="left" vertical="center"/>
    </xf>
    <xf numFmtId="165" fontId="47" fillId="3" borderId="2" applyAlignment="1" pivotButton="0" quotePrefix="0" xfId="0">
      <alignment horizontal="right" vertical="center"/>
    </xf>
    <xf numFmtId="165" fontId="11" fillId="0" borderId="0" applyAlignment="1" pivotButton="0" quotePrefix="0" xfId="0">
      <alignment horizontal="right" vertical="center"/>
    </xf>
    <xf numFmtId="164" fontId="48" fillId="0" borderId="0" applyAlignment="1" pivotButton="0" quotePrefix="0" xfId="0">
      <alignment horizontal="right" vertical="center"/>
    </xf>
    <xf numFmtId="165" fontId="9" fillId="0" borderId="0" applyAlignment="1" pivotButton="0" quotePrefix="0" xfId="0">
      <alignment horizontal="right" vertical="center"/>
    </xf>
    <xf numFmtId="166" fontId="34" fillId="0" borderId="1" applyAlignment="1" pivotButton="0" quotePrefix="0" xfId="0">
      <alignment horizontal="right" vertical="center"/>
    </xf>
    <xf numFmtId="165" fontId="21" fillId="0" borderId="1" applyAlignment="1" pivotButton="0" quotePrefix="0" xfId="0">
      <alignment horizontal="right" vertical="center"/>
    </xf>
    <xf numFmtId="165" fontId="48" fillId="0" borderId="0" applyAlignment="1" pivotButton="0" quotePrefix="0" xfId="0">
      <alignment horizontal="right" vertical="center"/>
    </xf>
    <xf numFmtId="0" fontId="24" fillId="0" borderId="0" pivotButton="0" quotePrefix="0" xfId="0"/>
    <xf numFmtId="169" fontId="21" fillId="0" borderId="0" applyAlignment="1" pivotButton="0" quotePrefix="0" xfId="0">
      <alignment horizontal="right" vertical="center"/>
    </xf>
    <xf numFmtId="165" fontId="21" fillId="0" borderId="0" applyAlignment="1" pivotButton="0" quotePrefix="0" xfId="0">
      <alignment horizontal="right" vertical="center"/>
    </xf>
    <xf numFmtId="0" fontId="48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left" vertical="center" indent="1"/>
    </xf>
    <xf numFmtId="0" fontId="37" fillId="6" borderId="0" applyAlignment="1" pivotButton="0" quotePrefix="0" xfId="0">
      <alignment horizontal="center" vertical="center" wrapText="1"/>
    </xf>
    <xf numFmtId="164" fontId="49" fillId="6" borderId="0" applyAlignment="1" pivotButton="0" quotePrefix="0" xfId="0">
      <alignment horizontal="center" vertical="center" wrapText="1"/>
    </xf>
    <xf numFmtId="165" fontId="24" fillId="0" borderId="0" applyAlignment="1" pivotButton="0" quotePrefix="0" xfId="0">
      <alignment horizontal="center" vertical="center" wrapText="1"/>
    </xf>
    <xf numFmtId="165" fontId="50" fillId="0" borderId="0" applyAlignment="1" pivotButton="0" quotePrefix="0" xfId="0">
      <alignment horizontal="center" vertical="center" wrapText="1"/>
    </xf>
    <xf numFmtId="169" fontId="12" fillId="0" borderId="0" applyAlignment="1" pivotButton="0" quotePrefix="0" xfId="0">
      <alignment horizontal="right" vertical="center"/>
    </xf>
    <xf numFmtId="0" fontId="36" fillId="2" borderId="0" applyAlignment="1" pivotButton="0" quotePrefix="0" xfId="0">
      <alignment horizontal="left" vertical="center" indent="1"/>
    </xf>
    <xf numFmtId="0" fontId="36" fillId="2" borderId="0" applyAlignment="1" pivotButton="0" quotePrefix="0" xfId="0">
      <alignment horizontal="center" vertical="center" wrapText="1"/>
    </xf>
    <xf numFmtId="169" fontId="9" fillId="0" borderId="0" applyAlignment="1" pivotButton="0" quotePrefix="0" xfId="0">
      <alignment horizontal="center" vertical="center" wrapText="1"/>
    </xf>
    <xf numFmtId="166" fontId="24" fillId="0" borderId="0" applyAlignment="1" pivotButton="0" quotePrefix="0" xfId="0">
      <alignment horizontal="center" vertical="center" wrapText="1"/>
    </xf>
    <xf numFmtId="167" fontId="11" fillId="0" borderId="0" applyAlignment="1" pivotButton="0" quotePrefix="0" xfId="0">
      <alignment horizontal="center" vertical="center" wrapText="1"/>
    </xf>
    <xf numFmtId="169" fontId="21" fillId="0" borderId="0" applyAlignment="1" pivotButton="0" quotePrefix="0" xfId="0">
      <alignment horizontal="center" vertical="center" wrapText="1"/>
    </xf>
    <xf numFmtId="0" fontId="51" fillId="0" borderId="0" applyAlignment="1" pivotButton="0" quotePrefix="0" xfId="0">
      <alignment horizontal="center" vertical="center" wrapText="1"/>
    </xf>
    <xf numFmtId="169" fontId="16" fillId="0" borderId="0" applyAlignment="1" pivotButton="0" quotePrefix="0" xfId="0">
      <alignment horizontal="center" vertical="center" wrapText="1"/>
    </xf>
    <xf numFmtId="165" fontId="9" fillId="0" borderId="0" applyAlignment="1" pivotButton="0" quotePrefix="0" xfId="0">
      <alignment horizontal="center" vertical="center" wrapText="1"/>
    </xf>
    <xf numFmtId="165" fontId="21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indent="1"/>
    </xf>
    <xf numFmtId="165" fontId="52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LULU_Assumptions_Memo.pdf" TargetMode="External" Id="rId1" /><Relationship Type="http://schemas.openxmlformats.org/officeDocument/2006/relationships/hyperlink" Target="https://www.sec.gov/edgar/browse/?CIK=1397187&amp;owner=exclude" TargetMode="External" Id="rId2" /><Relationship Type="http://schemas.openxmlformats.org/officeDocument/2006/relationships/hyperlink" Target="https://www.sec.gov/Archives/edgar/data/1397187/000139718726000020/lulu-20260201.htm" TargetMode="External" Id="rId3" /><Relationship Type="http://schemas.openxmlformats.org/officeDocument/2006/relationships/hyperlink" Target="https://corporate.lululemon.com/newsroom/press-releases/2026/09-03-2026-210528733" TargetMode="External" Id="rId4" /><Relationship Type="http://schemas.openxmlformats.org/officeDocument/2006/relationships/hyperlink" Target="https://www.nasdaq.com/market-activity/stocks/lulu" TargetMode="External" Id="rId5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sec.gov/Archives/edgar/data/1397187/000139718726000020/lulu-20260201.htm" TargetMode="External" Id="rId1" /><Relationship Type="http://schemas.openxmlformats.org/officeDocument/2006/relationships/hyperlink" Target="https://www.sec.gov/Archives/edgar/data/1397187/000139718726000020/lulu-20260201.htm" TargetMode="External" Id="rId2" /><Relationship Type="http://schemas.openxmlformats.org/officeDocument/2006/relationships/hyperlink" Target="https://www.sec.gov/Archives/edgar/data/1397187/000139718726000020/lulu-20260201.htm" TargetMode="External" Id="rId3" /><Relationship Type="http://schemas.openxmlformats.org/officeDocument/2006/relationships/hyperlink" Target="https://www.sec.gov/Archives/edgar/data/1397187/000139718726000020/lulu-20260201.htm" TargetMode="External" Id="rId4" /><Relationship Type="http://schemas.openxmlformats.org/officeDocument/2006/relationships/hyperlink" Target="https://www.sec.gov/Archives/edgar/data/1397187/000139718726000020/lulu-20260201.htm" TargetMode="External" Id="rId5" /><Relationship Type="http://schemas.openxmlformats.org/officeDocument/2006/relationships/hyperlink" Target="https://www.sec.gov/Archives/edgar/data/1397187/000139718726000020/lulu-20260201.htm" TargetMode="External" Id="rId6" /><Relationship Type="http://schemas.openxmlformats.org/officeDocument/2006/relationships/hyperlink" Target="https://www.sec.gov/Archives/edgar/data/1397187/000139718726000020/lulu-20260201.htm" TargetMode="External" Id="rId7" /><Relationship Type="http://schemas.openxmlformats.org/officeDocument/2006/relationships/hyperlink" Target="https://www.sec.gov/Archives/edgar/data/1397187/000139718726000020/lulu-20260201.htm" TargetMode="External" Id="rId8" /><Relationship Type="http://schemas.openxmlformats.org/officeDocument/2006/relationships/hyperlink" Target="https://www.sec.gov/Archives/edgar/data/1397187/000139718726000020/lulu-20260201.htm" TargetMode="External" Id="rId9" /><Relationship Type="http://schemas.openxmlformats.org/officeDocument/2006/relationships/hyperlink" Target="https://www.sec.gov/Archives/edgar/data/1397187/000139718726000020/lulu-20260201.htm" TargetMode="External" Id="rId10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sec.gov/Archives/edgar/data/1397187/000139718726000020/lulu-20260201.htm" TargetMode="External" Id="rId1" /><Relationship Type="http://schemas.openxmlformats.org/officeDocument/2006/relationships/hyperlink" Target="https://www.sec.gov/Archives/edgar/data/1397187/000139718726000020/lulu-20260201.htm" TargetMode="External" Id="rId2" /><Relationship Type="http://schemas.openxmlformats.org/officeDocument/2006/relationships/hyperlink" Target="https://www.sec.gov/Archives/edgar/data/1397187/000139718726000020/lulu-20260201.htm" TargetMode="External" Id="rId3" /><Relationship Type="http://schemas.openxmlformats.org/officeDocument/2006/relationships/hyperlink" Target="https://www.sec.gov/Archives/edgar/data/1397187/000139718726000020/lulu-20260201.htm" TargetMode="External" Id="rId4" /><Relationship Type="http://schemas.openxmlformats.org/officeDocument/2006/relationships/hyperlink" Target="https://www.sec.gov/Archives/edgar/data/1397187/000139718726000020/lulu-20260201.htm" TargetMode="External" Id="rId5" /><Relationship Type="http://schemas.openxmlformats.org/officeDocument/2006/relationships/hyperlink" Target="https://www.sec.gov/Archives/edgar/data/1397187/000139718726000020/lulu-20260201.htm" TargetMode="External" Id="rId6" /><Relationship Type="http://schemas.openxmlformats.org/officeDocument/2006/relationships/hyperlink" Target="https://www.sec.gov/Archives/edgar/data/1397187/000139718726000020/lulu-20260201.htm" TargetMode="External" Id="rId7" /><Relationship Type="http://schemas.openxmlformats.org/officeDocument/2006/relationships/hyperlink" Target="https://www.sec.gov/Archives/edgar/data/1397187/000139718726000020/lulu-20260201.htm" TargetMode="External" Id="rId8" /><Relationship Type="http://schemas.openxmlformats.org/officeDocument/2006/relationships/hyperlink" Target="https://www.sec.gov/Archives/edgar/data/1397187/000139718726000020/lulu-20260201.htm" TargetMode="External" Id="rId9" /><Relationship Type="http://schemas.openxmlformats.org/officeDocument/2006/relationships/hyperlink" Target="https://www.sec.gov/Archives/edgar/data/1397187/000139718726000020/lulu-20260201.htm" TargetMode="External" Id="rId10" /><Relationship Type="http://schemas.openxmlformats.org/officeDocument/2006/relationships/hyperlink" Target="https://www.sec.gov/Archives/edgar/data/1397187/000139718726000020/lulu-20260201.htm" TargetMode="External" Id="rId11" /><Relationship Type="http://schemas.openxmlformats.org/officeDocument/2006/relationships/hyperlink" Target="https://www.sec.gov/Archives/edgar/data/1397187/000139718726000020/lulu-20260201.htm" TargetMode="External" Id="rId12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ec.gov/Archives/edgar/data/1397187/000139718726000020/lulu-20260201.htm" TargetMode="External" Id="rId1" /><Relationship Type="http://schemas.openxmlformats.org/officeDocument/2006/relationships/hyperlink" Target="LULU_Assumptions_Memo.pdf" TargetMode="External" Id="rId2" /><Relationship Type="http://schemas.openxmlformats.org/officeDocument/2006/relationships/hyperlink" Target="https://www.sec.gov/Archives/edgar/data/1397187/000139718726000020/lulu-20260201.htm" TargetMode="External" Id="rId3" /><Relationship Type="http://schemas.openxmlformats.org/officeDocument/2006/relationships/hyperlink" Target="https://www.sec.gov/Archives/edgar/data/1397187/000139718726000020/lulu-20260201.htm" TargetMode="External" Id="rId4" /><Relationship Type="http://schemas.openxmlformats.org/officeDocument/2006/relationships/hyperlink" Target="https://www.sec.gov/Archives/edgar/data/1397187/000139718726000020/lulu-20260201.htm" TargetMode="External" Id="rId5" /><Relationship Type="http://schemas.openxmlformats.org/officeDocument/2006/relationships/hyperlink" Target="https://www.sec.gov/Archives/edgar/data/1397187/000139718726000020/lulu-20260201.htm" TargetMode="External" Id="rId6" /><Relationship Type="http://schemas.openxmlformats.org/officeDocument/2006/relationships/hyperlink" Target="https://www.sec.gov/Archives/edgar/data/1397187/000139718726000020/lulu-20260201.htm" TargetMode="External" Id="rId7" /><Relationship Type="http://schemas.openxmlformats.org/officeDocument/2006/relationships/hyperlink" Target="https://www.sec.gov/Archives/edgar/data/1397187/000139718726000020/lulu-20260201.htm" TargetMode="External" Id="rId8" /><Relationship Type="http://schemas.openxmlformats.org/officeDocument/2006/relationships/hyperlink" Target="https://www.sec.gov/Archives/edgar/data/1397187/000139718726000020/lulu-20260201.htm" TargetMode="External" Id="rId9" /><Relationship Type="http://schemas.openxmlformats.org/officeDocument/2006/relationships/hyperlink" Target="https://www.sec.gov/Archives/edgar/data/1397187/000139718726000020/lulu-20260201.htm" TargetMode="External" Id="rId10" /><Relationship Type="http://schemas.openxmlformats.org/officeDocument/2006/relationships/hyperlink" Target="https://www.sec.gov/Archives/edgar/data/1397187/000139718726000020/lulu-20260201.htm" TargetMode="External" Id="rId11" /><Relationship Type="http://schemas.openxmlformats.org/officeDocument/2006/relationships/hyperlink" Target="https://www.sec.gov/Archives/edgar/data/1397187/000139718726000020/lulu-20260201.htm" TargetMode="External" Id="rId12" /><Relationship Type="http://schemas.openxmlformats.org/officeDocument/2006/relationships/hyperlink" Target="https://www.sec.gov/Archives/edgar/data/1397187/000139718726000020/lulu-20260201.htm" TargetMode="External" Id="rId13" /><Relationship Type="http://schemas.openxmlformats.org/officeDocument/2006/relationships/hyperlink" Target="https://www.sec.gov/Archives/edgar/data/1397187/000139718726000020/lulu-20260201.htm" TargetMode="External" Id="rId14" /><Relationship Type="http://schemas.openxmlformats.org/officeDocument/2006/relationships/hyperlink" Target="https://www.sec.gov/Archives/edgar/data/1397187/000139718726000020/lulu-20260201.htm" TargetMode="External" Id="rId15" /><Relationship Type="http://schemas.openxmlformats.org/officeDocument/2006/relationships/hyperlink" Target="https://www.sec.gov/Archives/edgar/data/1397187/000139718726000020/lulu-20260201.htm" TargetMode="External" Id="rId16" /><Relationship Type="http://schemas.openxmlformats.org/officeDocument/2006/relationships/hyperlink" Target="https://www.sec.gov/Archives/edgar/data/1397187/000139718726000020/lulu-20260201.htm" TargetMode="External" Id="rId17" /><Relationship Type="http://schemas.openxmlformats.org/officeDocument/2006/relationships/hyperlink" Target="https://www.sec.gov/Archives/edgar/data/1397187/000139718726000020/lulu-20260201.htm" TargetMode="External" Id="rId18" /><Relationship Type="http://schemas.openxmlformats.org/officeDocument/2006/relationships/hyperlink" Target="https://www.sec.gov/Archives/edgar/data/1397187/000139718726000020/lulu-20260201.htm" TargetMode="External" Id="rId19" /><Relationship Type="http://schemas.openxmlformats.org/officeDocument/2006/relationships/hyperlink" Target="https://www.sec.gov/Archives/edgar/data/1397187/000139718726000020/lulu-20260201.htm" TargetMode="External" Id="rId20" /><Relationship Type="http://schemas.openxmlformats.org/officeDocument/2006/relationships/hyperlink" Target="https://www.sec.gov/Archives/edgar/data/1397187/000139718726000020/lulu-20260201.htm" TargetMode="External" Id="rId21" /><Relationship Type="http://schemas.openxmlformats.org/officeDocument/2006/relationships/hyperlink" Target="https://www.sec.gov/Archives/edgar/data/1397187/000139718726000020/lulu-20260201.htm" TargetMode="External" Id="rId22" /><Relationship Type="http://schemas.openxmlformats.org/officeDocument/2006/relationships/hyperlink" Target="https://www.nasdaq.com/market-activity/stocks/lulu" TargetMode="External" Id="rId23" /></Relationships>
</file>

<file path=xl/worksheets/_rels/sheet7.xml.rels><Relationships xmlns="http://schemas.openxmlformats.org/package/2006/relationships"><Relationship Type="http://schemas.openxmlformats.org/officeDocument/2006/relationships/hyperlink" Target="https://www.sec.gov/Archives/edgar/data/1397187/000139718726000020/lulu-20260201.htm" TargetMode="External" Id="rId1" /><Relationship Type="http://schemas.openxmlformats.org/officeDocument/2006/relationships/hyperlink" Target="https://corporate.lululemon.com/newsroom/press-releases/2026/09-03-2026-210528733" TargetMode="External" Id="rId2" /><Relationship Type="http://schemas.openxmlformats.org/officeDocument/2006/relationships/hyperlink" Target="https://www.sec.gov/Archives/edgar/data/1397187/000139718726000020/lulu-20260201.htm" TargetMode="External" Id="rId3" /><Relationship Type="http://schemas.openxmlformats.org/officeDocument/2006/relationships/hyperlink" Target="https://www.sec.gov/Archives/edgar/data/1397187/000139718726000020/lulu-20260201.htm" TargetMode="External" Id="rId4" /><Relationship Type="http://schemas.openxmlformats.org/officeDocument/2006/relationships/hyperlink" Target="https://www.nasdaq.com/market-activity/stocks/lulu" TargetMode="External" Id="rId5" /><Relationship Type="http://schemas.openxmlformats.org/officeDocument/2006/relationships/hyperlink" Target="https://www.reuters.com/markets/deals/alo-yoga-parent-seeks-investment-10-bln-valuation-sources-2023-10-30/" TargetMode="External" Id="rId6" /><Relationship Type="http://schemas.openxmlformats.org/officeDocument/2006/relationships/hyperlink" Target="https://www.forbes.com/sites/jemimamcevoy/2025/04/01/the-founders-of-this-lululemon-rival-are-worth-nearly-5-billion-each/" TargetMode="External" Id="rId7" /><Relationship Type="http://schemas.openxmlformats.org/officeDocument/2006/relationships/hyperlink" Target="https://www.nasdaq.com/market-activity/stocks/lulu" TargetMode="External" Id="rId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showGridLines="0" showOutlineSymbols="1"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1"/>
    <row r="2" ht="26" customHeight="1">
      <c r="B2" s="1" t="inlineStr">
        <is>
          <t>lululemon athletica inc. (NASDAQ: LULU)</t>
        </is>
      </c>
    </row>
    <row r="3"/>
    <row r="4">
      <c r="B4" s="2" t="inlineStr">
        <is>
          <t>Unlevered DCF Valuation Model</t>
        </is>
      </c>
    </row>
    <row r="5">
      <c r="B5" s="3" t="inlineStr">
        <is>
          <t>FY2025A – FY2030E | US$ thousands</t>
        </is>
      </c>
    </row>
    <row r="6"/>
    <row r="7">
      <c r="B7" s="4" t="inlineStr">
        <is>
          <t>Recommendation: LONG / OVERWEIGHT</t>
        </is>
      </c>
    </row>
    <row r="8"/>
    <row r="9">
      <c r="B9" s="5" t="inlineStr">
        <is>
          <t>Tabs: WACC · Scenarios · Revenue Drivers · NOPAT Bridge · DCF · Comps</t>
        </is>
      </c>
    </row>
    <row r="10">
      <c r="B10" s="6" t="n"/>
    </row>
    <row r="11">
      <c r="B11" s="7" t="n"/>
    </row>
    <row r="12">
      <c r="B12" s="8" t="n"/>
    </row>
    <row r="13"/>
    <row r="14">
      <c r="B14" s="5" t="n"/>
    </row>
    <row r="15">
      <c r="B15" s="9" t="n"/>
    </row>
    <row r="16">
      <c r="B16" s="5" t="n"/>
    </row>
    <row r="17" ht="36" customHeight="1">
      <c r="B17" s="10" t="n"/>
    </row>
    <row r="18"/>
    <row r="19">
      <c r="B19" s="5" t="inlineStr">
        <is>
          <t>SOURCES</t>
        </is>
      </c>
    </row>
    <row r="20" ht="36" customHeight="1">
      <c r="B20" s="10" t="inlineStr">
        <is>
          <t>SEC EDGAR filings, CIK 0001397187 (Form 10-K, FY2025)</t>
        </is>
      </c>
    </row>
    <row r="21" ht="36" customHeight="1">
      <c r="B21" s="10" t="inlineStr">
        <is>
          <t>FY2025 Form 10-K (ended Feb 1, 2026)</t>
        </is>
      </c>
    </row>
    <row r="22" ht="36" customHeight="1">
      <c r="B22" s="10" t="inlineStr">
        <is>
          <t>Market data &amp; Q2 FY2026 results (Sep 3, 2026 earnings release)</t>
        </is>
      </c>
    </row>
    <row r="23" ht="36" customHeight="1">
      <c r="B23" s="10" t="inlineStr">
        <is>
          <t>Current share price (NASDAQ: LULU)</t>
        </is>
      </c>
    </row>
    <row r="24"/>
    <row r="25">
      <c r="B25" s="11" t="n"/>
    </row>
  </sheetData>
  <hyperlinks>
    <hyperlink xmlns:r="http://schemas.openxmlformats.org/officeDocument/2006/relationships" ref="B17" r:id="rId1"/>
    <hyperlink xmlns:r="http://schemas.openxmlformats.org/officeDocument/2006/relationships" ref="B20" r:id="rId2"/>
    <hyperlink xmlns:r="http://schemas.openxmlformats.org/officeDocument/2006/relationships" ref="B21" r:id="rId3"/>
    <hyperlink xmlns:r="http://schemas.openxmlformats.org/officeDocument/2006/relationships" ref="B22" r:id="rId4"/>
    <hyperlink xmlns:r="http://schemas.openxmlformats.org/officeDocument/2006/relationships" ref="B23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applyStyles="1" summaryBelow="1" summaryRight="1"/>
    <pageSetUpPr/>
  </sheetPr>
  <dimension ref="A1:B36"/>
  <sheetViews>
    <sheetView showGridLines="0" showOutlineSymbols="1" workbookViewId="0">
      <selection pane="topRight" activeCell="B3" sqref="B3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outlineLevel="1" width="28" customWidth="1" min="2" max="2"/>
    <col outlineLevel="1" width="18" customWidth="1" min="3" max="3"/>
    <col outlineLevel="1" width="40" customWidth="1" min="4" max="4"/>
    <col width="12" customWidth="1" min="5" max="5"/>
  </cols>
  <sheetData>
    <row r="1" ht="16" customHeight="1">
      <c r="A1" s="12" t="inlineStr">
        <is>
          <t>WEIGHTED AVERAGE COST OF CAPITAL</t>
        </is>
      </c>
      <c r="B1" s="13" t="n"/>
    </row>
    <row r="2">
      <c r="A2" s="14" t="inlineStr">
        <is>
          <t>Cost of equity (CAPM)</t>
        </is>
      </c>
    </row>
    <row r="3" ht="28" customHeight="1">
      <c r="A3" s="16" t="inlineStr">
        <is>
          <t>Risk-free rate (10-yr UST)</t>
        </is>
      </c>
      <c r="B3" s="20" t="n">
        <v>0.048</v>
      </c>
    </row>
    <row r="4" ht="28" customHeight="1">
      <c r="A4" s="16" t="inlineStr">
        <is>
          <t>Equity risk premium</t>
        </is>
      </c>
      <c r="B4" s="20" t="n">
        <v>0.06</v>
      </c>
    </row>
    <row r="5" ht="28" customHeight="1">
      <c r="A5" s="16" t="inlineStr">
        <is>
          <t>Tax rate</t>
        </is>
      </c>
      <c r="B5" s="20" t="n">
        <v>0.3</v>
      </c>
    </row>
    <row r="6"/>
    <row r="7">
      <c r="A7" s="14" t="inlineStr">
        <is>
          <t>Capital structure (market values)</t>
        </is>
      </c>
    </row>
    <row r="8" ht="28" customHeight="1">
      <c r="A8" s="16" t="inlineStr">
        <is>
          <t>Share price ($)</t>
        </is>
      </c>
      <c r="B8" s="21" t="n">
        <v>100</v>
      </c>
    </row>
    <row r="9" ht="28" customHeight="1">
      <c r="A9" s="16" t="inlineStr">
        <is>
          <t>Shares outstanding (000)</t>
        </is>
      </c>
      <c r="B9" s="22" t="n">
        <v>111380</v>
      </c>
    </row>
    <row r="10" ht="28" customHeight="1">
      <c r="A10" s="23" t="inlineStr">
        <is>
          <t>Market value of equity</t>
        </is>
      </c>
      <c r="B10" s="25">
        <f>B8*B9</f>
        <v/>
      </c>
    </row>
    <row r="11" ht="28" customHeight="1">
      <c r="A11" s="16" t="inlineStr">
        <is>
          <t>Operating lease liabilities (ASC 842 debt equiv.)</t>
        </is>
      </c>
      <c r="B11" s="22" t="n">
        <v>1798441</v>
      </c>
    </row>
    <row r="12">
      <c r="A12" s="16" t="inlineStr">
        <is>
          <t>Funded debt (term loans / bonds)</t>
        </is>
      </c>
      <c r="B12" s="22" t="n">
        <v>0</v>
      </c>
    </row>
    <row r="13" ht="28" customHeight="1">
      <c r="A13" s="23" t="inlineStr">
        <is>
          <t>Total debt equivalents</t>
        </is>
      </c>
      <c r="B13" s="25">
        <f>B11+B12</f>
        <v/>
      </c>
    </row>
    <row r="14"/>
    <row r="15">
      <c r="A15" s="14" t="inlineStr">
        <is>
          <t>Beta (unlever → relever)</t>
        </is>
      </c>
    </row>
    <row r="16">
      <c r="A16" s="16" t="inlineStr">
        <is>
          <t>Observed Beta (5Y Monthly) — levered βL</t>
        </is>
      </c>
      <c r="B16" s="27" t="n">
        <v>0.86</v>
      </c>
    </row>
    <row r="17" ht="28" customHeight="1">
      <c r="A17" s="16" t="inlineStr">
        <is>
          <t>Yahoo Total Debt (mrq)</t>
        </is>
      </c>
      <c r="B17" s="22" t="n">
        <v>2140000</v>
      </c>
    </row>
    <row r="18" ht="28" customHeight="1">
      <c r="A18" s="16" t="inlineStr">
        <is>
          <t>Yahoo Market Cap (same page as βL)</t>
        </is>
      </c>
      <c r="B18" s="22" t="n">
        <v>11140000</v>
      </c>
    </row>
    <row r="19" ht="28" customHeight="1">
      <c r="A19" s="16" t="inlineStr">
        <is>
          <t>D/E for unlever (Yahoo debt mrq ÷ Yahoo market cap)</t>
        </is>
      </c>
      <c r="B19" s="28">
        <f>B17/B18</f>
        <v/>
      </c>
    </row>
    <row r="20" ht="28" customHeight="1">
      <c r="A20" s="16" t="inlineStr">
        <is>
          <t>Yahoo book D/E (mrq) — reference only</t>
        </is>
      </c>
      <c r="B20" s="27" t="n">
        <v>0.4469</v>
      </c>
    </row>
    <row r="21" ht="28" customHeight="1">
      <c r="A21" s="16" t="inlineStr">
        <is>
          <t>Unlevered βu</t>
        </is>
      </c>
      <c r="B21" s="28">
        <f>B16/(1+(1-B5)*B19)</f>
        <v/>
      </c>
    </row>
    <row r="22" ht="28" customHeight="1">
      <c r="A22" s="16" t="inlineStr">
        <is>
          <t>D/E for relever (WACC: FY25 lease debt / market equity)</t>
        </is>
      </c>
      <c r="B22" s="28">
        <f>B13/B10</f>
        <v/>
      </c>
    </row>
    <row r="23" ht="28" customHeight="1">
      <c r="A23" s="16" t="inlineStr">
        <is>
          <t>Sector βu benchmark (Damodaran Special Lines) — not used</t>
        </is>
      </c>
      <c r="B23" s="27" t="n">
        <v>0.95</v>
      </c>
    </row>
    <row r="24" ht="28" customHeight="1">
      <c r="A24" s="23" t="inlineStr">
        <is>
          <t>Beta used (relevered for WACC capital structure)</t>
        </is>
      </c>
      <c r="B24" s="29">
        <f>B21*(1+(1-B5)*B22)</f>
        <v/>
      </c>
    </row>
    <row r="25" ht="150" customHeight="1">
      <c r="A25" s="26" t="n"/>
    </row>
    <row r="26">
      <c r="A26" s="14" t="inlineStr">
        <is>
          <t>Cost of equity (CAPM)</t>
        </is>
      </c>
    </row>
    <row r="27">
      <c r="A27" s="23" t="inlineStr">
        <is>
          <t>Cost of equity = rf + β × ERP</t>
        </is>
      </c>
      <c r="B27" s="30">
        <f>B3+B24*B4</f>
        <v/>
      </c>
    </row>
    <row r="28"/>
    <row r="29">
      <c r="A29" s="14" t="inlineStr">
        <is>
          <t>Cost of debt (lease-equivalent)</t>
        </is>
      </c>
    </row>
    <row r="30">
      <c r="A30" s="16" t="inlineStr">
        <is>
          <t>Pre-tax cost of debt (lease-equivalent)</t>
        </is>
      </c>
      <c r="B30" s="20" t="n">
        <v>0.05</v>
      </c>
    </row>
    <row r="31">
      <c r="A31" s="16" t="inlineStr">
        <is>
          <t>After-tax cost of debt</t>
        </is>
      </c>
      <c r="B31" s="31">
        <f>B30*(1-B5)</f>
        <v/>
      </c>
    </row>
    <row r="32"/>
    <row r="33">
      <c r="A33" s="14" t="inlineStr">
        <is>
          <t>WACC weights</t>
        </is>
      </c>
    </row>
    <row r="34">
      <c r="A34" s="16" t="inlineStr">
        <is>
          <t>Equity weight</t>
        </is>
      </c>
      <c r="B34" s="32">
        <f>B10/(B10+B13)</f>
        <v/>
      </c>
    </row>
    <row r="35" ht="28" customHeight="1">
      <c r="A35" s="16" t="inlineStr">
        <is>
          <t>Debt weight (leases + funded)</t>
        </is>
      </c>
      <c r="B35" s="32">
        <f>B13/(B10+B13)</f>
        <v/>
      </c>
    </row>
    <row r="36">
      <c r="A36" s="23" t="inlineStr">
        <is>
          <t>WACC</t>
        </is>
      </c>
      <c r="B36" s="33">
        <f>B34*B27+B35*B31</f>
        <v/>
      </c>
    </row>
    <row r="39" ht="28" customHeight="1"/>
    <row r="40" ht="28" customHeight="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applyStyles="1" summaryBelow="1" summaryRight="1"/>
    <pageSetUpPr/>
  </sheetPr>
  <dimension ref="A1:E193"/>
  <sheetViews>
    <sheetView showGridLines="0" showOutlineSymbols="1" workbookViewId="0">
      <selection pane="topRight" activeCell="B3" sqref="B3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outlineLevel="1" width="26" customWidth="1" min="2" max="2"/>
    <col outlineLevel="1" width="16" customWidth="1" min="3" max="3"/>
    <col outlineLevel="1" width="38" customWidth="1" min="4" max="4"/>
    <col width="11" customWidth="1" min="6" max="6"/>
    <col width="11" customWidth="1" min="7" max="7"/>
    <col width="11" customWidth="1" min="8" max="8"/>
  </cols>
  <sheetData>
    <row r="1" ht="16" customHeight="1">
      <c r="A1" s="12" t="inlineStr">
        <is>
          <t>SCENARIO ANALYSIS</t>
        </is>
      </c>
      <c r="B1" s="13" t="n"/>
      <c r="C1" s="13" t="n"/>
      <c r="D1" s="13" t="n"/>
      <c r="E1" s="13" t="n"/>
    </row>
    <row r="2">
      <c r="C2" s="34" t="inlineStr">
        <is>
          <t>Bear</t>
        </is>
      </c>
      <c r="D2" s="35" t="inlineStr">
        <is>
          <t>Base</t>
        </is>
      </c>
      <c r="E2" s="36" t="inlineStr">
        <is>
          <t>Bull</t>
        </is>
      </c>
    </row>
    <row r="3">
      <c r="A3" s="14" t="inlineStr">
        <is>
          <t>Key assumptions (5-yr forecast)</t>
        </is>
      </c>
    </row>
    <row r="4" ht="28" customHeight="1">
      <c r="A4" s="16" t="inlineStr">
        <is>
          <t>FY2026E revenue growth</t>
        </is>
      </c>
      <c r="C4" s="20" t="n">
        <v>-0.09</v>
      </c>
      <c r="D4" s="20" t="n">
        <v>-0.061</v>
      </c>
      <c r="E4" s="20" t="n">
        <v>-0.04</v>
      </c>
    </row>
    <row r="5" ht="28" customHeight="1">
      <c r="A5" s="16" t="inlineStr">
        <is>
          <t>FY2027–FY2030E revenue growth (avg)</t>
        </is>
      </c>
      <c r="C5" s="20" t="n">
        <v>-0.01</v>
      </c>
      <c r="D5" s="20" t="n">
        <v>0.023</v>
      </c>
      <c r="E5" s="20" t="n">
        <v>0.06</v>
      </c>
    </row>
    <row r="6" ht="28" customHeight="1">
      <c r="A6" s="16" t="inlineStr">
        <is>
          <t>Run-rate EBIT margin (clean, ex-refunds)</t>
        </is>
      </c>
      <c r="C6" s="20" t="n">
        <v>0.12</v>
      </c>
      <c r="D6" s="20" t="n">
        <v>0.132</v>
      </c>
      <c r="E6" s="20" t="n">
        <v>0.145</v>
      </c>
    </row>
    <row r="7" ht="28" customHeight="1">
      <c r="A7" s="16" t="inlineStr">
        <is>
          <t>FY26 IEEPA tariff refunds ($k, already in guide)</t>
        </is>
      </c>
      <c r="C7" s="37" t="n">
        <v>134500</v>
      </c>
      <c r="D7" s="37" t="n">
        <v>134500</v>
      </c>
      <c r="E7" s="37" t="n">
        <v>134500</v>
      </c>
    </row>
    <row r="8" ht="28" customHeight="1">
      <c r="A8" s="16" t="inlineStr">
        <is>
          <t>Terminal (FY2030E) EBIT margin</t>
        </is>
      </c>
      <c r="C8" s="20" t="n">
        <v>0.12</v>
      </c>
      <c r="D8" s="20" t="n">
        <v>0.155</v>
      </c>
      <c r="E8" s="20" t="n">
        <v>0.19</v>
      </c>
    </row>
    <row r="9" ht="28" customHeight="1">
      <c r="A9" s="16" t="inlineStr">
        <is>
          <t>WACC</t>
        </is>
      </c>
      <c r="C9" s="20" t="n">
        <v>0.11</v>
      </c>
      <c r="D9" s="32">
        <f>WACC!B36</f>
        <v/>
      </c>
      <c r="E9" s="20" t="n">
        <v>0.095</v>
      </c>
    </row>
    <row r="10" ht="28" customHeight="1">
      <c r="A10" s="16" t="inlineStr">
        <is>
          <t>Terminal growth</t>
        </is>
      </c>
      <c r="C10" s="20" t="n">
        <v>0.015</v>
      </c>
      <c r="D10" s="20" t="n">
        <v>0.0225</v>
      </c>
      <c r="E10" s="20" t="n">
        <v>0.03</v>
      </c>
    </row>
    <row r="11" ht="28" customHeight="1">
      <c r="A11" s="16" t="inlineStr">
        <is>
          <t>Cash tax rate</t>
        </is>
      </c>
      <c r="C11" s="20" t="n">
        <v>0.32</v>
      </c>
      <c r="D11" s="20" t="n">
        <v>0.3</v>
      </c>
      <c r="E11" s="20" t="n">
        <v>0.28</v>
      </c>
    </row>
    <row r="12" ht="28" customHeight="1">
      <c r="A12" s="16" t="inlineStr">
        <is>
          <t>D&amp;A % of revenue</t>
        </is>
      </c>
      <c r="C12" s="20" t="n">
        <v>0.045</v>
      </c>
      <c r="D12" s="20" t="n">
        <v>0.045</v>
      </c>
      <c r="E12" s="20" t="n">
        <v>0.045</v>
      </c>
    </row>
    <row r="13" ht="150" customHeight="1">
      <c r="A13" s="16" t="inlineStr">
        <is>
          <t>Capex % of revenue</t>
        </is>
      </c>
      <c r="C13" s="20" t="n">
        <v>0.07000000000000001</v>
      </c>
      <c r="D13" s="20" t="n">
        <v>0.055</v>
      </c>
      <c r="E13" s="20" t="n">
        <v>0.045</v>
      </c>
    </row>
    <row r="14" ht="112" customHeight="1">
      <c r="A14" s="16" t="inlineStr">
        <is>
          <t>Gross margin %</t>
        </is>
      </c>
      <c r="C14" s="20" t="n">
        <v>0.5600000000000001</v>
      </c>
      <c r="D14" s="20" t="n">
        <v>0.5659999999999999</v>
      </c>
      <c r="E14" s="20" t="n">
        <v>0.575</v>
      </c>
    </row>
    <row r="15" ht="150" customHeight="1">
      <c r="A15" s="16" t="inlineStr">
        <is>
          <t>DSO (days) — flat vs FY25</t>
        </is>
      </c>
      <c r="C15" s="39" t="n">
        <v>6.267883648875038</v>
      </c>
      <c r="D15" s="39" t="n">
        <v>6.267883648875038</v>
      </c>
      <c r="E15" s="39" t="n">
        <v>6.267883648875038</v>
      </c>
    </row>
    <row r="16" ht="140" customHeight="1">
      <c r="A16" s="16" t="inlineStr">
        <is>
          <t>FY25 DIO anchor (days)</t>
        </is>
      </c>
      <c r="C16" s="39" t="n">
        <v>128.8324100108167</v>
      </c>
      <c r="D16" s="39" t="n">
        <v>128.8324100108167</v>
      </c>
      <c r="E16" s="39" t="n">
        <v>128.8324100108167</v>
      </c>
    </row>
    <row r="17" ht="70" customHeight="1">
      <c r="A17" s="16" t="inlineStr">
        <is>
          <t>DIO decline (days / forecast yr)</t>
        </is>
      </c>
      <c r="C17" s="40" t="n">
        <v>1</v>
      </c>
      <c r="D17" s="40" t="n">
        <v>1</v>
      </c>
      <c r="E17" s="40" t="n">
        <v>1</v>
      </c>
    </row>
    <row r="18" ht="84" customHeight="1">
      <c r="A18" s="16" t="inlineStr">
        <is>
          <t>DPO (days) — flat vs FY25</t>
        </is>
      </c>
      <c r="C18" s="39" t="n">
        <v>25.10521290169407</v>
      </c>
      <c r="D18" s="39" t="n">
        <v>25.10521290169407</v>
      </c>
      <c r="E18" s="39" t="n">
        <v>25.10521290169407</v>
      </c>
    </row>
    <row r="19" ht="84" customHeight="1">
      <c r="A19" s="16" t="inlineStr">
        <is>
          <t>Prepaid expenses (% of revenue)</t>
        </is>
      </c>
      <c r="C19" s="20" t="n">
        <v>0.05080692810692991</v>
      </c>
      <c r="D19" s="20" t="n">
        <v>0.05080692810692991</v>
      </c>
      <c r="E19" s="20" t="n">
        <v>0.05080692810692991</v>
      </c>
    </row>
    <row r="20" ht="84" customHeight="1">
      <c r="A20" s="16" t="inlineStr">
        <is>
          <t>Accrued liabilities (% of revenue)</t>
        </is>
      </c>
      <c r="C20" s="20" t="n">
        <v>0.05971412101669879</v>
      </c>
      <c r="D20" s="20" t="n">
        <v>0.05971412101669879</v>
      </c>
      <c r="E20" s="20" t="n">
        <v>0.05971412101669879</v>
      </c>
    </row>
    <row r="21">
      <c r="A21" s="16" t="inlineStr">
        <is>
          <t>Pitch CFF: fixed buyback ($k/yr) bear/base</t>
        </is>
      </c>
      <c r="C21" s="37" t="n">
        <v>500000</v>
      </c>
      <c r="D21" s="37" t="n">
        <v>500000</v>
      </c>
      <c r="E21" s="37" t="n">
        <v>0</v>
      </c>
    </row>
    <row r="22">
      <c r="A22" s="16" t="inlineStr">
        <is>
          <t>Pitch CFF: % of FCF to buybacks (bull)</t>
        </is>
      </c>
      <c r="C22" s="20" t="n">
        <v>0</v>
      </c>
      <c r="D22" s="20" t="n">
        <v>0</v>
      </c>
      <c r="E22" s="20" t="n">
        <v>0.75</v>
      </c>
    </row>
    <row r="23"/>
    <row r="24">
      <c r="A24" s="14" t="inlineStr">
        <is>
          <t>5-year forecast paths (by scenario)</t>
        </is>
      </c>
    </row>
    <row r="25">
      <c r="A25" s="41" t="inlineStr">
        <is>
          <t>Revenue – year 1</t>
        </is>
      </c>
      <c r="C25" s="42">
        <f>11102600*(1+C4)</f>
        <v/>
      </c>
      <c r="D25" s="42">
        <f>11102600*(1+D4)</f>
        <v/>
      </c>
      <c r="E25" s="42">
        <f>11102600*(1+E4)</f>
        <v/>
      </c>
    </row>
    <row r="26">
      <c r="A26" s="41" t="inlineStr">
        <is>
          <t>Revenue – year 2</t>
        </is>
      </c>
      <c r="C26" s="42">
        <f>C25*(1+C5)</f>
        <v/>
      </c>
      <c r="D26" s="42">
        <f>D25*(1+D5)</f>
        <v/>
      </c>
      <c r="E26" s="42">
        <f>E25*(1+E5)</f>
        <v/>
      </c>
    </row>
    <row r="27">
      <c r="A27" s="41" t="inlineStr">
        <is>
          <t>Revenue – year 3</t>
        </is>
      </c>
      <c r="C27" s="42">
        <f>C26*(1+C5)</f>
        <v/>
      </c>
      <c r="D27" s="42">
        <f>D26*(1+D5)</f>
        <v/>
      </c>
      <c r="E27" s="42">
        <f>E26*(1+E5)</f>
        <v/>
      </c>
    </row>
    <row r="28">
      <c r="A28" s="41" t="inlineStr">
        <is>
          <t>Revenue – year 4</t>
        </is>
      </c>
      <c r="C28" s="42">
        <f>C27*(1+C5)</f>
        <v/>
      </c>
      <c r="D28" s="42">
        <f>D27*(1+D5)</f>
        <v/>
      </c>
      <c r="E28" s="42">
        <f>E27*(1+E5)</f>
        <v/>
      </c>
    </row>
    <row r="29">
      <c r="A29" s="41" t="inlineStr">
        <is>
          <t>Revenue – year 5</t>
        </is>
      </c>
      <c r="C29" s="42">
        <f>C28*(1+C5)</f>
        <v/>
      </c>
      <c r="D29" s="42">
        <f>D28*(1+D5)</f>
        <v/>
      </c>
      <c r="E29" s="42">
        <f>E28*(1+E5)</f>
        <v/>
      </c>
    </row>
    <row r="30">
      <c r="A30" s="41" t="inlineStr">
        <is>
          <t>Gross margin % – year 1</t>
        </is>
      </c>
      <c r="C30" s="43">
        <f>C14</f>
        <v/>
      </c>
      <c r="D30" s="43">
        <f>D14</f>
        <v/>
      </c>
      <c r="E30" s="43">
        <f>E14</f>
        <v/>
      </c>
    </row>
    <row r="31">
      <c r="A31" s="41" t="inlineStr">
        <is>
          <t>Gross margin % – year 2</t>
        </is>
      </c>
      <c r="C31" s="43">
        <f>C14</f>
        <v/>
      </c>
      <c r="D31" s="43">
        <f>D14</f>
        <v/>
      </c>
      <c r="E31" s="43">
        <f>E14</f>
        <v/>
      </c>
    </row>
    <row r="32">
      <c r="A32" s="41" t="inlineStr">
        <is>
          <t>Gross margin % – year 3</t>
        </is>
      </c>
      <c r="C32" s="43">
        <f>C14</f>
        <v/>
      </c>
      <c r="D32" s="43">
        <f>D14</f>
        <v/>
      </c>
      <c r="E32" s="43">
        <f>E14</f>
        <v/>
      </c>
    </row>
    <row r="33">
      <c r="A33" s="41" t="inlineStr">
        <is>
          <t>Gross margin % – year 4</t>
        </is>
      </c>
      <c r="C33" s="43">
        <f>C14</f>
        <v/>
      </c>
      <c r="D33" s="43">
        <f>D14</f>
        <v/>
      </c>
      <c r="E33" s="43">
        <f>E14</f>
        <v/>
      </c>
    </row>
    <row r="34">
      <c r="A34" s="41" t="inlineStr">
        <is>
          <t>Gross margin % – year 5</t>
        </is>
      </c>
      <c r="C34" s="43">
        <f>C14</f>
        <v/>
      </c>
      <c r="D34" s="43">
        <f>D14</f>
        <v/>
      </c>
      <c r="E34" s="43">
        <f>E14</f>
        <v/>
      </c>
    </row>
    <row r="35">
      <c r="A35" s="41" t="inlineStr">
        <is>
          <t>Cost of goods sold (COGS) – year 1</t>
        </is>
      </c>
      <c r="C35" s="42">
        <f>C25*(1-C30)</f>
        <v/>
      </c>
      <c r="D35" s="42">
        <f>D25*(1-D30)</f>
        <v/>
      </c>
      <c r="E35" s="42">
        <f>E25*(1-E30)</f>
        <v/>
      </c>
    </row>
    <row r="36">
      <c r="A36" s="41" t="inlineStr">
        <is>
          <t>Cost of goods sold (COGS) – year 2</t>
        </is>
      </c>
      <c r="C36" s="42">
        <f>C26*(1-C31)</f>
        <v/>
      </c>
      <c r="D36" s="42">
        <f>D26*(1-D31)</f>
        <v/>
      </c>
      <c r="E36" s="42">
        <f>E26*(1-E31)</f>
        <v/>
      </c>
    </row>
    <row r="37">
      <c r="A37" s="41" t="inlineStr">
        <is>
          <t>Cost of goods sold (COGS) – year 3</t>
        </is>
      </c>
      <c r="C37" s="42">
        <f>C27*(1-C32)</f>
        <v/>
      </c>
      <c r="D37" s="42">
        <f>D27*(1-D32)</f>
        <v/>
      </c>
      <c r="E37" s="42">
        <f>E27*(1-E32)</f>
        <v/>
      </c>
    </row>
    <row r="38">
      <c r="A38" s="41" t="inlineStr">
        <is>
          <t>Cost of goods sold (COGS) – year 4</t>
        </is>
      </c>
      <c r="C38" s="42">
        <f>C28*(1-C33)</f>
        <v/>
      </c>
      <c r="D38" s="42">
        <f>D28*(1-D33)</f>
        <v/>
      </c>
      <c r="E38" s="42">
        <f>E28*(1-E33)</f>
        <v/>
      </c>
    </row>
    <row r="39">
      <c r="A39" s="41" t="inlineStr">
        <is>
          <t>Cost of goods sold (COGS) – year 5</t>
        </is>
      </c>
      <c r="C39" s="42">
        <f>C29*(1-C34)</f>
        <v/>
      </c>
      <c r="D39" s="42">
        <f>D29*(1-D34)</f>
        <v/>
      </c>
      <c r="E39" s="42">
        <f>E29*(1-E34)</f>
        <v/>
      </c>
    </row>
    <row r="40">
      <c r="A40" s="41" t="inlineStr">
        <is>
          <t>Clean EBIT margin – year 1</t>
        </is>
      </c>
      <c r="C40" s="43">
        <f>C6+(C8-C6)*0/4</f>
        <v/>
      </c>
      <c r="D40" s="43">
        <f>D6+(D8-D6)*0/4</f>
        <v/>
      </c>
      <c r="E40" s="43">
        <f>E6+(E8-E6)*0/4</f>
        <v/>
      </c>
    </row>
    <row r="41">
      <c r="A41" s="41" t="inlineStr">
        <is>
          <t>Clean EBIT margin – year 2</t>
        </is>
      </c>
      <c r="C41" s="43">
        <f>C6+(C8-C6)*1/4</f>
        <v/>
      </c>
      <c r="D41" s="43">
        <f>D6+(D8-D6)*1/4</f>
        <v/>
      </c>
      <c r="E41" s="43">
        <f>E6+(E8-E6)*1/4</f>
        <v/>
      </c>
    </row>
    <row r="42">
      <c r="A42" s="41" t="inlineStr">
        <is>
          <t>Clean EBIT margin – year 3</t>
        </is>
      </c>
      <c r="C42" s="43">
        <f>C6+(C8-C6)*2/4</f>
        <v/>
      </c>
      <c r="D42" s="43">
        <f>D6+(D8-D6)*2/4</f>
        <v/>
      </c>
      <c r="E42" s="43">
        <f>E6+(E8-E6)*2/4</f>
        <v/>
      </c>
    </row>
    <row r="43">
      <c r="A43" s="41" t="inlineStr">
        <is>
          <t>Clean EBIT margin – year 4</t>
        </is>
      </c>
      <c r="C43" s="43">
        <f>C6+(C8-C6)*3/4</f>
        <v/>
      </c>
      <c r="D43" s="43">
        <f>D6+(D8-D6)*3/4</f>
        <v/>
      </c>
      <c r="E43" s="43">
        <f>E6+(E8-E6)*3/4</f>
        <v/>
      </c>
    </row>
    <row r="44">
      <c r="A44" s="41" t="inlineStr">
        <is>
          <t>Clean EBIT margin – year 5</t>
        </is>
      </c>
      <c r="C44" s="43">
        <f>C6+(C8-C6)*4/4</f>
        <v/>
      </c>
      <c r="D44" s="43">
        <f>D6+(D8-D6)*4/4</f>
        <v/>
      </c>
      <c r="E44" s="43">
        <f>E6+(E8-E6)*4/4</f>
        <v/>
      </c>
    </row>
    <row r="45">
      <c r="A45" s="41" t="inlineStr">
        <is>
          <t>EBIT – year 1</t>
        </is>
      </c>
      <c r="C45" s="42">
        <f>C25*C40+C7</f>
        <v/>
      </c>
      <c r="D45" s="42">
        <f>D25*D40+D7</f>
        <v/>
      </c>
      <c r="E45" s="42">
        <f>E25*E40+E7</f>
        <v/>
      </c>
    </row>
    <row r="46">
      <c r="A46" s="41" t="inlineStr">
        <is>
          <t>EBIT – year 2</t>
        </is>
      </c>
      <c r="C46" s="42">
        <f>C26*C41</f>
        <v/>
      </c>
      <c r="D46" s="42">
        <f>D26*D41</f>
        <v/>
      </c>
      <c r="E46" s="42">
        <f>E26*E41</f>
        <v/>
      </c>
    </row>
    <row r="47">
      <c r="A47" s="41" t="inlineStr">
        <is>
          <t>EBIT – year 3</t>
        </is>
      </c>
      <c r="C47" s="42">
        <f>C27*C42</f>
        <v/>
      </c>
      <c r="D47" s="42">
        <f>D27*D42</f>
        <v/>
      </c>
      <c r="E47" s="42">
        <f>E27*E42</f>
        <v/>
      </c>
    </row>
    <row r="48">
      <c r="A48" s="41" t="inlineStr">
        <is>
          <t>EBIT – year 4</t>
        </is>
      </c>
      <c r="C48" s="42">
        <f>C28*C43</f>
        <v/>
      </c>
      <c r="D48" s="42">
        <f>D28*D43</f>
        <v/>
      </c>
      <c r="E48" s="42">
        <f>E28*E43</f>
        <v/>
      </c>
    </row>
    <row r="49">
      <c r="A49" s="41" t="inlineStr">
        <is>
          <t>EBIT – year 5</t>
        </is>
      </c>
      <c r="C49" s="42">
        <f>C29*C44</f>
        <v/>
      </c>
      <c r="D49" s="42">
        <f>D29*D44</f>
        <v/>
      </c>
      <c r="E49" s="42">
        <f>E29*E44</f>
        <v/>
      </c>
    </row>
    <row r="50">
      <c r="A50" s="41" t="inlineStr">
        <is>
          <t>NOPAT – year 1</t>
        </is>
      </c>
      <c r="C50" s="42">
        <f>C45*(1-'NOPAT Bridge'!C$39)</f>
        <v/>
      </c>
      <c r="D50" s="42">
        <f>'NOPAT Bridge'!C41</f>
        <v/>
      </c>
      <c r="E50" s="42">
        <f>E45*(1-'NOPAT Bridge'!C$39)</f>
        <v/>
      </c>
    </row>
    <row r="51">
      <c r="A51" s="41" t="inlineStr">
        <is>
          <t>NOPAT – year 2</t>
        </is>
      </c>
      <c r="C51" s="42">
        <f>C46*(1-'NOPAT Bridge'!D$39)</f>
        <v/>
      </c>
      <c r="D51" s="42">
        <f>'NOPAT Bridge'!D41</f>
        <v/>
      </c>
      <c r="E51" s="42">
        <f>E46*(1-'NOPAT Bridge'!D$39)</f>
        <v/>
      </c>
    </row>
    <row r="52">
      <c r="A52" s="41" t="inlineStr">
        <is>
          <t>NOPAT – year 3</t>
        </is>
      </c>
      <c r="C52" s="42">
        <f>C47*(1-'NOPAT Bridge'!E$39)</f>
        <v/>
      </c>
      <c r="D52" s="42">
        <f>'NOPAT Bridge'!E41</f>
        <v/>
      </c>
      <c r="E52" s="42">
        <f>E47*(1-'NOPAT Bridge'!E$39)</f>
        <v/>
      </c>
    </row>
    <row r="53">
      <c r="A53" s="41" t="inlineStr">
        <is>
          <t>NOPAT – year 4</t>
        </is>
      </c>
      <c r="C53" s="42">
        <f>C48*(1-'NOPAT Bridge'!F$39)</f>
        <v/>
      </c>
      <c r="D53" s="42">
        <f>'NOPAT Bridge'!F41</f>
        <v/>
      </c>
      <c r="E53" s="42">
        <f>E48*(1-'NOPAT Bridge'!F$39)</f>
        <v/>
      </c>
    </row>
    <row r="54">
      <c r="A54" s="41" t="inlineStr">
        <is>
          <t>NOPAT – year 5</t>
        </is>
      </c>
      <c r="C54" s="42">
        <f>C49*(1-'NOPAT Bridge'!G$39)</f>
        <v/>
      </c>
      <c r="D54" s="42">
        <f>'NOPAT Bridge'!G41</f>
        <v/>
      </c>
      <c r="E54" s="42">
        <f>E49*(1-'NOPAT Bridge'!G$39)</f>
        <v/>
      </c>
    </row>
    <row r="55">
      <c r="A55" s="41" t="inlineStr">
        <is>
          <t>D&amp;A – year 1</t>
        </is>
      </c>
      <c r="C55" s="42">
        <f>C25*C12</f>
        <v/>
      </c>
      <c r="D55" s="42">
        <f>D25*D12</f>
        <v/>
      </c>
      <c r="E55" s="42">
        <f>E25*E12</f>
        <v/>
      </c>
    </row>
    <row r="56">
      <c r="A56" s="41" t="inlineStr">
        <is>
          <t>D&amp;A – year 2</t>
        </is>
      </c>
      <c r="C56" s="42">
        <f>C26*C12</f>
        <v/>
      </c>
      <c r="D56" s="42">
        <f>D26*D12</f>
        <v/>
      </c>
      <c r="E56" s="42">
        <f>E26*E12</f>
        <v/>
      </c>
    </row>
    <row r="57">
      <c r="A57" s="41" t="inlineStr">
        <is>
          <t>D&amp;A – year 3</t>
        </is>
      </c>
      <c r="C57" s="42">
        <f>C27*C12</f>
        <v/>
      </c>
      <c r="D57" s="42">
        <f>D27*D12</f>
        <v/>
      </c>
      <c r="E57" s="42">
        <f>E27*E12</f>
        <v/>
      </c>
    </row>
    <row r="58">
      <c r="A58" s="41" t="inlineStr">
        <is>
          <t>D&amp;A – year 4</t>
        </is>
      </c>
      <c r="C58" s="42">
        <f>C28*C12</f>
        <v/>
      </c>
      <c r="D58" s="42">
        <f>D28*D12</f>
        <v/>
      </c>
      <c r="E58" s="42">
        <f>E28*E12</f>
        <v/>
      </c>
    </row>
    <row r="59">
      <c r="A59" s="41" t="inlineStr">
        <is>
          <t>D&amp;A – year 5</t>
        </is>
      </c>
      <c r="C59" s="42">
        <f>C29*C12</f>
        <v/>
      </c>
      <c r="D59" s="42">
        <f>D29*D12</f>
        <v/>
      </c>
      <c r="E59" s="42">
        <f>E29*E12</f>
        <v/>
      </c>
    </row>
    <row r="60">
      <c r="A60" s="41" t="inlineStr">
        <is>
          <t>Capex – year 1</t>
        </is>
      </c>
      <c r="C60" s="42">
        <f>C25*C13</f>
        <v/>
      </c>
      <c r="D60" s="42">
        <f>D25*D13</f>
        <v/>
      </c>
      <c r="E60" s="42">
        <f>E25*E13</f>
        <v/>
      </c>
    </row>
    <row r="61">
      <c r="A61" s="41" t="inlineStr">
        <is>
          <t>Capex – year 2</t>
        </is>
      </c>
      <c r="C61" s="42">
        <f>C26*C13</f>
        <v/>
      </c>
      <c r="D61" s="42">
        <f>D26*D13</f>
        <v/>
      </c>
      <c r="E61" s="42">
        <f>E26*E13</f>
        <v/>
      </c>
    </row>
    <row r="62">
      <c r="A62" s="41" t="inlineStr">
        <is>
          <t>Capex – year 3</t>
        </is>
      </c>
      <c r="C62" s="42">
        <f>C27*C13</f>
        <v/>
      </c>
      <c r="D62" s="42">
        <f>D27*D13</f>
        <v/>
      </c>
      <c r="E62" s="42">
        <f>E27*E13</f>
        <v/>
      </c>
    </row>
    <row r="63">
      <c r="A63" s="41" t="inlineStr">
        <is>
          <t>Capex – year 4</t>
        </is>
      </c>
      <c r="C63" s="42">
        <f>C28*C13</f>
        <v/>
      </c>
      <c r="D63" s="42">
        <f>D28*D13</f>
        <v/>
      </c>
      <c r="E63" s="42">
        <f>E28*E13</f>
        <v/>
      </c>
    </row>
    <row r="64">
      <c r="A64" s="41" t="inlineStr">
        <is>
          <t>Capex – year 5</t>
        </is>
      </c>
      <c r="C64" s="42">
        <f>C29*C13</f>
        <v/>
      </c>
      <c r="D64" s="42">
        <f>D29*D13</f>
        <v/>
      </c>
      <c r="E64" s="42">
        <f>E29*E13</f>
        <v/>
      </c>
    </row>
    <row r="65">
      <c r="A65" s="41" t="inlineStr">
        <is>
          <t>DSO (days) – year 1</t>
        </is>
      </c>
      <c r="C65" s="44">
        <f>C15</f>
        <v/>
      </c>
      <c r="D65" s="44">
        <f>D15</f>
        <v/>
      </c>
      <c r="E65" s="44">
        <f>E15</f>
        <v/>
      </c>
    </row>
    <row r="66">
      <c r="A66" s="41" t="inlineStr">
        <is>
          <t>DSO (days) – year 2</t>
        </is>
      </c>
      <c r="C66" s="44">
        <f>C15</f>
        <v/>
      </c>
      <c r="D66" s="44">
        <f>D15</f>
        <v/>
      </c>
      <c r="E66" s="44">
        <f>E15</f>
        <v/>
      </c>
    </row>
    <row r="67">
      <c r="A67" s="41" t="inlineStr">
        <is>
          <t>DSO (days) – year 3</t>
        </is>
      </c>
      <c r="C67" s="44">
        <f>C15</f>
        <v/>
      </c>
      <c r="D67" s="44">
        <f>D15</f>
        <v/>
      </c>
      <c r="E67" s="44">
        <f>E15</f>
        <v/>
      </c>
    </row>
    <row r="68">
      <c r="A68" s="41" t="inlineStr">
        <is>
          <t>DSO (days) – year 4</t>
        </is>
      </c>
      <c r="C68" s="44">
        <f>C15</f>
        <v/>
      </c>
      <c r="D68" s="44">
        <f>D15</f>
        <v/>
      </c>
      <c r="E68" s="44">
        <f>E15</f>
        <v/>
      </c>
    </row>
    <row r="69">
      <c r="A69" s="41" t="inlineStr">
        <is>
          <t>DSO (days) – year 5</t>
        </is>
      </c>
      <c r="C69" s="44">
        <f>C15</f>
        <v/>
      </c>
      <c r="D69" s="44">
        <f>D15</f>
        <v/>
      </c>
      <c r="E69" s="44">
        <f>E15</f>
        <v/>
      </c>
    </row>
    <row r="70">
      <c r="A70" s="41" t="inlineStr">
        <is>
          <t>Accounts receivable – year 1</t>
        </is>
      </c>
      <c r="C70" s="42">
        <f>(C65/365)*C25</f>
        <v/>
      </c>
      <c r="D70" s="42">
        <f>(D65/365)*D25</f>
        <v/>
      </c>
      <c r="E70" s="42">
        <f>(E65/365)*E25</f>
        <v/>
      </c>
    </row>
    <row r="71">
      <c r="A71" s="41" t="inlineStr">
        <is>
          <t>Accounts receivable – year 2</t>
        </is>
      </c>
      <c r="C71" s="42">
        <f>(C66/365)*C26</f>
        <v/>
      </c>
      <c r="D71" s="42">
        <f>(D66/365)*D26</f>
        <v/>
      </c>
      <c r="E71" s="42">
        <f>(E66/365)*E26</f>
        <v/>
      </c>
    </row>
    <row r="72">
      <c r="A72" s="41" t="inlineStr">
        <is>
          <t>Accounts receivable – year 3</t>
        </is>
      </c>
      <c r="C72" s="42">
        <f>(C67/365)*C27</f>
        <v/>
      </c>
      <c r="D72" s="42">
        <f>(D67/365)*D27</f>
        <v/>
      </c>
      <c r="E72" s="42">
        <f>(E67/365)*E27</f>
        <v/>
      </c>
    </row>
    <row r="73">
      <c r="A73" s="41" t="inlineStr">
        <is>
          <t>Accounts receivable – year 4</t>
        </is>
      </c>
      <c r="C73" s="42">
        <f>(C68/365)*C28</f>
        <v/>
      </c>
      <c r="D73" s="42">
        <f>(D68/365)*D28</f>
        <v/>
      </c>
      <c r="E73" s="42">
        <f>(E68/365)*E28</f>
        <v/>
      </c>
    </row>
    <row r="74">
      <c r="A74" s="41" t="inlineStr">
        <is>
          <t>Accounts receivable – year 5</t>
        </is>
      </c>
      <c r="C74" s="42">
        <f>(C69/365)*C29</f>
        <v/>
      </c>
      <c r="D74" s="42">
        <f>(D69/365)*D29</f>
        <v/>
      </c>
      <c r="E74" s="42">
        <f>(E69/365)*E29</f>
        <v/>
      </c>
    </row>
    <row r="75">
      <c r="A75" s="41" t="inlineStr">
        <is>
          <t>DIO (days) – year 1</t>
        </is>
      </c>
      <c r="C75" s="44">
        <f>C16-C17*1</f>
        <v/>
      </c>
      <c r="D75" s="44">
        <f>D16-D17*1</f>
        <v/>
      </c>
      <c r="E75" s="44">
        <f>E16-E17*1</f>
        <v/>
      </c>
    </row>
    <row r="76">
      <c r="A76" s="41" t="inlineStr">
        <is>
          <t>DIO (days) – year 2</t>
        </is>
      </c>
      <c r="C76" s="44">
        <f>C16-C17*2</f>
        <v/>
      </c>
      <c r="D76" s="44">
        <f>D16-D17*2</f>
        <v/>
      </c>
      <c r="E76" s="44">
        <f>E16-E17*2</f>
        <v/>
      </c>
    </row>
    <row r="77">
      <c r="A77" s="41" t="inlineStr">
        <is>
          <t>DIO (days) – year 3</t>
        </is>
      </c>
      <c r="C77" s="44">
        <f>C16-C17*3</f>
        <v/>
      </c>
      <c r="D77" s="44">
        <f>D16-D17*3</f>
        <v/>
      </c>
      <c r="E77" s="44">
        <f>E16-E17*3</f>
        <v/>
      </c>
    </row>
    <row r="78">
      <c r="A78" s="41" t="inlineStr">
        <is>
          <t>DIO (days) – year 4</t>
        </is>
      </c>
      <c r="C78" s="44">
        <f>C16-C17*4</f>
        <v/>
      </c>
      <c r="D78" s="44">
        <f>D16-D17*4</f>
        <v/>
      </c>
      <c r="E78" s="44">
        <f>E16-E17*4</f>
        <v/>
      </c>
    </row>
    <row r="79">
      <c r="A79" s="41" t="inlineStr">
        <is>
          <t>DIO (days) – year 5</t>
        </is>
      </c>
      <c r="C79" s="44">
        <f>C16-C17*5</f>
        <v/>
      </c>
      <c r="D79" s="44">
        <f>D16-D17*5</f>
        <v/>
      </c>
      <c r="E79" s="44">
        <f>E16-E17*5</f>
        <v/>
      </c>
    </row>
    <row r="80">
      <c r="A80" s="41" t="inlineStr">
        <is>
          <t>Inventories – year 1</t>
        </is>
      </c>
      <c r="C80" s="42">
        <f>(C75/365)*C35</f>
        <v/>
      </c>
      <c r="D80" s="42">
        <f>(D75/365)*D35</f>
        <v/>
      </c>
      <c r="E80" s="42">
        <f>(E75/365)*E35</f>
        <v/>
      </c>
    </row>
    <row r="81">
      <c r="A81" s="41" t="inlineStr">
        <is>
          <t>Inventories – year 2</t>
        </is>
      </c>
      <c r="C81" s="42">
        <f>(C76/365)*C36</f>
        <v/>
      </c>
      <c r="D81" s="42">
        <f>(D76/365)*D36</f>
        <v/>
      </c>
      <c r="E81" s="42">
        <f>(E76/365)*E36</f>
        <v/>
      </c>
    </row>
    <row r="82">
      <c r="A82" s="41" t="inlineStr">
        <is>
          <t>Inventories – year 3</t>
        </is>
      </c>
      <c r="C82" s="42">
        <f>(C77/365)*C37</f>
        <v/>
      </c>
      <c r="D82" s="42">
        <f>(D77/365)*D37</f>
        <v/>
      </c>
      <c r="E82" s="42">
        <f>(E77/365)*E37</f>
        <v/>
      </c>
    </row>
    <row r="83">
      <c r="A83" s="41" t="inlineStr">
        <is>
          <t>Inventories – year 4</t>
        </is>
      </c>
      <c r="C83" s="42">
        <f>(C78/365)*C38</f>
        <v/>
      </c>
      <c r="D83" s="42">
        <f>(D78/365)*D38</f>
        <v/>
      </c>
      <c r="E83" s="42">
        <f>(E78/365)*E38</f>
        <v/>
      </c>
    </row>
    <row r="84">
      <c r="A84" s="41" t="inlineStr">
        <is>
          <t>Inventories – year 5</t>
        </is>
      </c>
      <c r="C84" s="42">
        <f>(C79/365)*C39</f>
        <v/>
      </c>
      <c r="D84" s="42">
        <f>(D79/365)*D39</f>
        <v/>
      </c>
      <c r="E84" s="42">
        <f>(E79/365)*E39</f>
        <v/>
      </c>
    </row>
    <row r="85">
      <c r="A85" s="41" t="inlineStr">
        <is>
          <t>DPO (days) – year 1</t>
        </is>
      </c>
      <c r="C85" s="44">
        <f>C18</f>
        <v/>
      </c>
      <c r="D85" s="44">
        <f>D18</f>
        <v/>
      </c>
      <c r="E85" s="44">
        <f>E18</f>
        <v/>
      </c>
    </row>
    <row r="86">
      <c r="A86" s="41" t="inlineStr">
        <is>
          <t>DPO (days) – year 2</t>
        </is>
      </c>
      <c r="C86" s="44">
        <f>C18</f>
        <v/>
      </c>
      <c r="D86" s="44">
        <f>D18</f>
        <v/>
      </c>
      <c r="E86" s="44">
        <f>E18</f>
        <v/>
      </c>
    </row>
    <row r="87">
      <c r="A87" s="41" t="inlineStr">
        <is>
          <t>DPO (days) – year 3</t>
        </is>
      </c>
      <c r="C87" s="44">
        <f>C18</f>
        <v/>
      </c>
      <c r="D87" s="44">
        <f>D18</f>
        <v/>
      </c>
      <c r="E87" s="44">
        <f>E18</f>
        <v/>
      </c>
    </row>
    <row r="88">
      <c r="A88" s="41" t="inlineStr">
        <is>
          <t>DPO (days) – year 4</t>
        </is>
      </c>
      <c r="C88" s="44">
        <f>C18</f>
        <v/>
      </c>
      <c r="D88" s="44">
        <f>D18</f>
        <v/>
      </c>
      <c r="E88" s="44">
        <f>E18</f>
        <v/>
      </c>
    </row>
    <row r="89">
      <c r="A89" s="41" t="inlineStr">
        <is>
          <t>DPO (days) – year 5</t>
        </is>
      </c>
      <c r="C89" s="44">
        <f>C18</f>
        <v/>
      </c>
      <c r="D89" s="44">
        <f>D18</f>
        <v/>
      </c>
      <c r="E89" s="44">
        <f>E18</f>
        <v/>
      </c>
    </row>
    <row r="90">
      <c r="A90" s="41" t="inlineStr">
        <is>
          <t>Accounts payable – year 1</t>
        </is>
      </c>
      <c r="C90" s="42">
        <f>(C85/365)*C35</f>
        <v/>
      </c>
      <c r="D90" s="42">
        <f>(D85/365)*D35</f>
        <v/>
      </c>
      <c r="E90" s="42">
        <f>(E85/365)*E35</f>
        <v/>
      </c>
    </row>
    <row r="91">
      <c r="A91" s="41" t="inlineStr">
        <is>
          <t>Accounts payable – year 2</t>
        </is>
      </c>
      <c r="C91" s="42">
        <f>(C86/365)*C36</f>
        <v/>
      </c>
      <c r="D91" s="42">
        <f>(D86/365)*D36</f>
        <v/>
      </c>
      <c r="E91" s="42">
        <f>(E86/365)*E36</f>
        <v/>
      </c>
    </row>
    <row r="92">
      <c r="A92" s="41" t="inlineStr">
        <is>
          <t>Accounts payable – year 3</t>
        </is>
      </c>
      <c r="C92" s="42">
        <f>(C87/365)*C37</f>
        <v/>
      </c>
      <c r="D92" s="42">
        <f>(D87/365)*D37</f>
        <v/>
      </c>
      <c r="E92" s="42">
        <f>(E87/365)*E37</f>
        <v/>
      </c>
    </row>
    <row r="93">
      <c r="A93" s="41" t="inlineStr">
        <is>
          <t>Accounts payable – year 4</t>
        </is>
      </c>
      <c r="C93" s="42">
        <f>(C88/365)*C38</f>
        <v/>
      </c>
      <c r="D93" s="42">
        <f>(D88/365)*D38</f>
        <v/>
      </c>
      <c r="E93" s="42">
        <f>(E88/365)*E38</f>
        <v/>
      </c>
    </row>
    <row r="94">
      <c r="A94" s="41" t="inlineStr">
        <is>
          <t>Accounts payable – year 5</t>
        </is>
      </c>
      <c r="C94" s="42">
        <f>(C89/365)*C39</f>
        <v/>
      </c>
      <c r="D94" s="42">
        <f>(D89/365)*D39</f>
        <v/>
      </c>
      <c r="E94" s="42">
        <f>(E89/365)*E39</f>
        <v/>
      </c>
    </row>
    <row r="95">
      <c r="A95" s="41" t="inlineStr">
        <is>
          <t>Prepaid expenses (other current assets) – year 1</t>
        </is>
      </c>
      <c r="C95" s="42">
        <f>C25*C19</f>
        <v/>
      </c>
      <c r="D95" s="42">
        <f>D25*D19</f>
        <v/>
      </c>
      <c r="E95" s="42">
        <f>E25*E19</f>
        <v/>
      </c>
    </row>
    <row r="96">
      <c r="A96" s="41" t="inlineStr">
        <is>
          <t>Prepaid expenses (other current assets) – year 2</t>
        </is>
      </c>
      <c r="C96" s="42">
        <f>C26*C19</f>
        <v/>
      </c>
      <c r="D96" s="42">
        <f>D26*D19</f>
        <v/>
      </c>
      <c r="E96" s="42">
        <f>E26*E19</f>
        <v/>
      </c>
    </row>
    <row r="97">
      <c r="A97" s="41" t="inlineStr">
        <is>
          <t>Prepaid expenses (other current assets) – year 3</t>
        </is>
      </c>
      <c r="C97" s="42">
        <f>C27*C19</f>
        <v/>
      </c>
      <c r="D97" s="42">
        <f>D27*D19</f>
        <v/>
      </c>
      <c r="E97" s="42">
        <f>E27*E19</f>
        <v/>
      </c>
    </row>
    <row r="98">
      <c r="A98" s="41" t="inlineStr">
        <is>
          <t>Prepaid expenses (other current assets) – year 4</t>
        </is>
      </c>
      <c r="C98" s="42">
        <f>C28*C19</f>
        <v/>
      </c>
      <c r="D98" s="42">
        <f>D28*D19</f>
        <v/>
      </c>
      <c r="E98" s="42">
        <f>E28*E19</f>
        <v/>
      </c>
    </row>
    <row r="99">
      <c r="A99" s="41" t="inlineStr">
        <is>
          <t>Prepaid expenses (other current assets) – year 5</t>
        </is>
      </c>
      <c r="C99" s="42">
        <f>C29*C19</f>
        <v/>
      </c>
      <c r="D99" s="42">
        <f>D29*D19</f>
        <v/>
      </c>
      <c r="E99" s="42">
        <f>E29*E19</f>
        <v/>
      </c>
    </row>
    <row r="100">
      <c r="A100" s="41" t="inlineStr">
        <is>
          <t>Accrued liabilities – year 1</t>
        </is>
      </c>
      <c r="C100" s="42">
        <f>C25*C20</f>
        <v/>
      </c>
      <c r="D100" s="42">
        <f>D25*D20</f>
        <v/>
      </c>
      <c r="E100" s="42">
        <f>E25*E20</f>
        <v/>
      </c>
    </row>
    <row r="101">
      <c r="A101" s="41" t="inlineStr">
        <is>
          <t>Accrued liabilities – year 2</t>
        </is>
      </c>
      <c r="C101" s="42">
        <f>C26*C20</f>
        <v/>
      </c>
      <c r="D101" s="42">
        <f>D26*D20</f>
        <v/>
      </c>
      <c r="E101" s="42">
        <f>E26*E20</f>
        <v/>
      </c>
    </row>
    <row r="102">
      <c r="A102" s="41" t="inlineStr">
        <is>
          <t>Accrued liabilities – year 3</t>
        </is>
      </c>
      <c r="C102" s="42">
        <f>C27*C20</f>
        <v/>
      </c>
      <c r="D102" s="42">
        <f>D27*D20</f>
        <v/>
      </c>
      <c r="E102" s="42">
        <f>E27*E20</f>
        <v/>
      </c>
    </row>
    <row r="103">
      <c r="A103" s="41" t="inlineStr">
        <is>
          <t>Accrued liabilities – year 4</t>
        </is>
      </c>
      <c r="C103" s="42">
        <f>C28*C20</f>
        <v/>
      </c>
      <c r="D103" s="42">
        <f>D28*D20</f>
        <v/>
      </c>
      <c r="E103" s="42">
        <f>E28*E20</f>
        <v/>
      </c>
    </row>
    <row r="104">
      <c r="A104" s="41" t="inlineStr">
        <is>
          <t>Accrued liabilities – year 5</t>
        </is>
      </c>
      <c r="C104" s="42">
        <f>C29*C20</f>
        <v/>
      </c>
      <c r="D104" s="42">
        <f>D29*D20</f>
        <v/>
      </c>
      <c r="E104" s="42">
        <f>E29*E20</f>
        <v/>
      </c>
    </row>
    <row r="105">
      <c r="A105" s="41" t="inlineStr">
        <is>
          <t>Current operating assets (AR + inv + prepaids) – year 1</t>
        </is>
      </c>
      <c r="C105" s="42">
        <f>C70+C80+C95</f>
        <v/>
      </c>
      <c r="D105" s="42">
        <f>D70+D80+D95</f>
        <v/>
      </c>
      <c r="E105" s="42">
        <f>E70+E80+E95</f>
        <v/>
      </c>
    </row>
    <row r="106">
      <c r="A106" s="41" t="inlineStr">
        <is>
          <t>Current operating assets (AR + inv + prepaids) – year 2</t>
        </is>
      </c>
      <c r="C106" s="42">
        <f>C71+C81+C96</f>
        <v/>
      </c>
      <c r="D106" s="42">
        <f>D71+D81+D96</f>
        <v/>
      </c>
      <c r="E106" s="42">
        <f>E71+E81+E96</f>
        <v/>
      </c>
    </row>
    <row r="107">
      <c r="A107" s="41" t="inlineStr">
        <is>
          <t>Current operating assets (AR + inv + prepaids) – year 3</t>
        </is>
      </c>
      <c r="C107" s="42">
        <f>C72+C82+C97</f>
        <v/>
      </c>
      <c r="D107" s="42">
        <f>D72+D82+D97</f>
        <v/>
      </c>
      <c r="E107" s="42">
        <f>E72+E82+E97</f>
        <v/>
      </c>
    </row>
    <row r="108">
      <c r="A108" s="41" t="inlineStr">
        <is>
          <t>Current operating assets (AR + inv + prepaids) – year 4</t>
        </is>
      </c>
      <c r="C108" s="42">
        <f>C73+C83+C98</f>
        <v/>
      </c>
      <c r="D108" s="42">
        <f>D73+D83+D98</f>
        <v/>
      </c>
      <c r="E108" s="42">
        <f>E73+E83+E98</f>
        <v/>
      </c>
    </row>
    <row r="109">
      <c r="A109" s="41" t="inlineStr">
        <is>
          <t>Current operating assets (AR + inv + prepaids) – year 5</t>
        </is>
      </c>
      <c r="C109" s="42">
        <f>C74+C84+C99</f>
        <v/>
      </c>
      <c r="D109" s="42">
        <f>D74+D84+D99</f>
        <v/>
      </c>
      <c r="E109" s="42">
        <f>E74+E84+E99</f>
        <v/>
      </c>
    </row>
    <row r="110">
      <c r="A110" s="41" t="inlineStr">
        <is>
          <t>Current operating liabilities (AP + accruals) – year 1</t>
        </is>
      </c>
      <c r="C110" s="42">
        <f>C90+C100</f>
        <v/>
      </c>
      <c r="D110" s="42">
        <f>D90+D100</f>
        <v/>
      </c>
      <c r="E110" s="42">
        <f>E90+E100</f>
        <v/>
      </c>
    </row>
    <row r="111">
      <c r="A111" s="41" t="inlineStr">
        <is>
          <t>Current operating liabilities (AP + accruals) – year 2</t>
        </is>
      </c>
      <c r="C111" s="42">
        <f>C91+C101</f>
        <v/>
      </c>
      <c r="D111" s="42">
        <f>D91+D101</f>
        <v/>
      </c>
      <c r="E111" s="42">
        <f>E91+E101</f>
        <v/>
      </c>
    </row>
    <row r="112">
      <c r="A112" s="41" t="inlineStr">
        <is>
          <t>Current operating liabilities (AP + accruals) – year 3</t>
        </is>
      </c>
      <c r="C112" s="42">
        <f>C92+C102</f>
        <v/>
      </c>
      <c r="D112" s="42">
        <f>D92+D102</f>
        <v/>
      </c>
      <c r="E112" s="42">
        <f>E92+E102</f>
        <v/>
      </c>
    </row>
    <row r="113">
      <c r="A113" s="41" t="inlineStr">
        <is>
          <t>Current operating liabilities (AP + accruals) – year 4</t>
        </is>
      </c>
      <c r="C113" s="42">
        <f>C93+C103</f>
        <v/>
      </c>
      <c r="D113" s="42">
        <f>D93+D103</f>
        <v/>
      </c>
      <c r="E113" s="42">
        <f>E93+E103</f>
        <v/>
      </c>
    </row>
    <row r="114">
      <c r="A114" s="41" t="inlineStr">
        <is>
          <t>Current operating liabilities (AP + accruals) – year 5</t>
        </is>
      </c>
      <c r="C114" s="42">
        <f>C94+C104</f>
        <v/>
      </c>
      <c r="D114" s="42">
        <f>D94+D104</f>
        <v/>
      </c>
      <c r="E114" s="42">
        <f>E94+E104</f>
        <v/>
      </c>
    </row>
    <row r="115">
      <c r="A115" s="41" t="inlineStr">
        <is>
          <t>Net working capital – year 1</t>
        </is>
      </c>
      <c r="C115" s="42">
        <f>C105-C110</f>
        <v/>
      </c>
      <c r="D115" s="42">
        <f>D105-D110</f>
        <v/>
      </c>
      <c r="E115" s="42">
        <f>E105-E110</f>
        <v/>
      </c>
    </row>
    <row r="116">
      <c r="A116" s="41" t="inlineStr">
        <is>
          <t>Net working capital – year 2</t>
        </is>
      </c>
      <c r="C116" s="42">
        <f>C106-C111</f>
        <v/>
      </c>
      <c r="D116" s="42">
        <f>D106-D111</f>
        <v/>
      </c>
      <c r="E116" s="42">
        <f>E106-E111</f>
        <v/>
      </c>
    </row>
    <row r="117">
      <c r="A117" s="41" t="inlineStr">
        <is>
          <t>Net working capital – year 3</t>
        </is>
      </c>
      <c r="C117" s="42">
        <f>C107-C112</f>
        <v/>
      </c>
      <c r="D117" s="42">
        <f>D107-D112</f>
        <v/>
      </c>
      <c r="E117" s="42">
        <f>E107-E112</f>
        <v/>
      </c>
    </row>
    <row r="118">
      <c r="A118" s="41" t="inlineStr">
        <is>
          <t>Net working capital – year 4</t>
        </is>
      </c>
      <c r="C118" s="42">
        <f>C108-C113</f>
        <v/>
      </c>
      <c r="D118" s="42">
        <f>D108-D113</f>
        <v/>
      </c>
      <c r="E118" s="42">
        <f>E108-E113</f>
        <v/>
      </c>
    </row>
    <row r="119">
      <c r="A119" s="41" t="inlineStr">
        <is>
          <t>Net working capital – year 5</t>
        </is>
      </c>
      <c r="C119" s="42">
        <f>C109-C114</f>
        <v/>
      </c>
      <c r="D119" s="42">
        <f>D109-D114</f>
        <v/>
      </c>
      <c r="E119" s="42">
        <f>E109-E114</f>
        <v/>
      </c>
    </row>
    <row r="120">
      <c r="A120" s="41" t="inlineStr">
        <is>
          <t>ΔNWC (prior yr − current yr) – year 1</t>
        </is>
      </c>
      <c r="C120" s="42">
        <f>1461096-C115</f>
        <v/>
      </c>
      <c r="D120" s="42">
        <f>1461096-D115</f>
        <v/>
      </c>
      <c r="E120" s="42">
        <f>1461096-E115</f>
        <v/>
      </c>
    </row>
    <row r="121">
      <c r="A121" s="41" t="inlineStr">
        <is>
          <t>ΔNWC (prior yr − current yr) – year 2</t>
        </is>
      </c>
      <c r="C121" s="42">
        <f>C115-C116</f>
        <v/>
      </c>
      <c r="D121" s="42">
        <f>D115-D116</f>
        <v/>
      </c>
      <c r="E121" s="42">
        <f>E115-E116</f>
        <v/>
      </c>
    </row>
    <row r="122">
      <c r="A122" s="41" t="inlineStr">
        <is>
          <t>ΔNWC (prior yr − current yr) – year 3</t>
        </is>
      </c>
      <c r="C122" s="42">
        <f>C116-C117</f>
        <v/>
      </c>
      <c r="D122" s="42">
        <f>D116-D117</f>
        <v/>
      </c>
      <c r="E122" s="42">
        <f>E116-E117</f>
        <v/>
      </c>
    </row>
    <row r="123">
      <c r="A123" s="41" t="inlineStr">
        <is>
          <t>ΔNWC (prior yr − current yr) – year 4</t>
        </is>
      </c>
      <c r="C123" s="42">
        <f>C117-C118</f>
        <v/>
      </c>
      <c r="D123" s="42">
        <f>D117-D118</f>
        <v/>
      </c>
      <c r="E123" s="42">
        <f>E117-E118</f>
        <v/>
      </c>
    </row>
    <row r="124">
      <c r="A124" s="41" t="inlineStr">
        <is>
          <t>ΔNWC (prior yr − current yr) – year 5</t>
        </is>
      </c>
      <c r="C124" s="42">
        <f>C118-C119</f>
        <v/>
      </c>
      <c r="D124" s="42">
        <f>D118-D119</f>
        <v/>
      </c>
      <c r="E124" s="42">
        <f>E118-E119</f>
        <v/>
      </c>
    </row>
    <row r="125">
      <c r="A125" s="41" t="inlineStr">
        <is>
          <t>Unlevered FCF – year 1</t>
        </is>
      </c>
      <c r="C125" s="42">
        <f>C50+C55-C60+C120</f>
        <v/>
      </c>
      <c r="D125" s="42">
        <f>D50+D55-D60+D120</f>
        <v/>
      </c>
      <c r="E125" s="42">
        <f>E50+E55-E60+E120</f>
        <v/>
      </c>
    </row>
    <row r="126">
      <c r="A126" s="41" t="inlineStr">
        <is>
          <t>Unlevered FCF – year 2</t>
        </is>
      </c>
      <c r="C126" s="42">
        <f>C51+C56-C61+C121</f>
        <v/>
      </c>
      <c r="D126" s="42">
        <f>D51+D56-D61+D121</f>
        <v/>
      </c>
      <c r="E126" s="42">
        <f>E51+E56-E61+E121</f>
        <v/>
      </c>
    </row>
    <row r="127">
      <c r="A127" s="41" t="inlineStr">
        <is>
          <t>Unlevered FCF – year 3</t>
        </is>
      </c>
      <c r="C127" s="42">
        <f>C52+C57-C62+C122</f>
        <v/>
      </c>
      <c r="D127" s="42">
        <f>D52+D57-D62+D122</f>
        <v/>
      </c>
      <c r="E127" s="42">
        <f>E52+E57-E62+E122</f>
        <v/>
      </c>
    </row>
    <row r="128">
      <c r="A128" s="41" t="inlineStr">
        <is>
          <t>Unlevered FCF – year 4</t>
        </is>
      </c>
      <c r="C128" s="42">
        <f>C53+C58-C63+C123</f>
        <v/>
      </c>
      <c r="D128" s="42">
        <f>D53+D58-D63+D123</f>
        <v/>
      </c>
      <c r="E128" s="42">
        <f>E53+E58-E63+E123</f>
        <v/>
      </c>
    </row>
    <row r="129">
      <c r="A129" s="41" t="inlineStr">
        <is>
          <t>Unlevered FCF – year 5</t>
        </is>
      </c>
      <c r="C129" s="42">
        <f>C54+C59-C64+C124</f>
        <v/>
      </c>
      <c r="D129" s="42">
        <f>D54+D59-D64+D124</f>
        <v/>
      </c>
      <c r="E129" s="42">
        <f>E54+E59-E64+E124</f>
        <v/>
      </c>
    </row>
    <row r="130"/>
    <row r="131">
      <c r="A131" s="23" t="inlineStr">
        <is>
          <t>Enterprise value (DCF)</t>
        </is>
      </c>
      <c r="C131" s="25">
        <f>NPV(C9,C125,C126,C127,C128,C129)+(C129*(1+C10)/(C9-C10))/(1+C9)^5</f>
        <v/>
      </c>
      <c r="D131" s="25">
        <f>NPV(D9,D125,D126,D127,D128,D129)+(D129*(1+D10)/(D9-D10))/(1+D9)^5</f>
        <v/>
      </c>
      <c r="E131" s="25">
        <f>NPV(E9,E125,E126,E127,E128,E129)+(E129*(1+E10)/(E9-E10))/(1+E9)^5</f>
        <v/>
      </c>
    </row>
    <row r="132">
      <c r="A132" s="45" t="inlineStr">
        <is>
          <t>Implied share price</t>
        </is>
      </c>
      <c r="C132" s="46">
        <f>(C131+1807202-1798441)/111380</f>
        <v/>
      </c>
      <c r="D132" s="47">
        <f>(D131+1807202-1798441)/111380</f>
        <v/>
      </c>
      <c r="E132" s="46">
        <f>(E131+1807202-1798441)/111380</f>
        <v/>
      </c>
    </row>
    <row r="133">
      <c r="A133" s="23" t="inlineStr">
        <is>
          <t>Upside / (downside) vs current</t>
        </is>
      </c>
      <c r="C133" s="48">
        <f>C132/100.0-1</f>
        <v/>
      </c>
      <c r="D133" s="48">
        <f>D132/100.0-1</f>
        <v/>
      </c>
      <c r="E133" s="48">
        <f>E132/100.0-1</f>
        <v/>
      </c>
    </row>
    <row r="134"/>
    <row r="135">
      <c r="A135" s="26" t="inlineStr">
        <is>
          <t>Current price $100.00; cash $1,807,202 k; lease debt $1,798,441 k; funded debt $0; net cash $8,761 k.</t>
        </is>
      </c>
    </row>
    <row r="136"/>
    <row r="137">
      <c r="A137" s="14" t="inlineStr">
        <is>
          <t>Pitch deck bridge (IS / CFS / BS)</t>
        </is>
      </c>
    </row>
    <row r="138">
      <c r="A138" s="41" t="inlineStr">
        <is>
          <t>Other income – year 1</t>
        </is>
      </c>
      <c r="C138" s="42" t="n">
        <v>45000</v>
      </c>
      <c r="D138" s="42" t="n">
        <v>45000</v>
      </c>
      <c r="E138" s="42" t="n">
        <v>45000</v>
      </c>
    </row>
    <row r="139">
      <c r="A139" s="41" t="inlineStr">
        <is>
          <t>Other income – year 2</t>
        </is>
      </c>
      <c r="C139" s="42" t="n">
        <v>40000</v>
      </c>
      <c r="D139" s="42" t="n">
        <v>40000</v>
      </c>
      <c r="E139" s="42" t="n">
        <v>40000</v>
      </c>
    </row>
    <row r="140">
      <c r="A140" s="41" t="inlineStr">
        <is>
          <t>Other income – year 3</t>
        </is>
      </c>
      <c r="C140" s="42" t="n">
        <v>35000</v>
      </c>
      <c r="D140" s="42" t="n">
        <v>35000</v>
      </c>
      <c r="E140" s="42" t="n">
        <v>35000</v>
      </c>
    </row>
    <row r="141">
      <c r="A141" s="41" t="inlineStr">
        <is>
          <t>Other income – year 4</t>
        </is>
      </c>
      <c r="C141" s="42" t="n">
        <v>30000</v>
      </c>
      <c r="D141" s="42" t="n">
        <v>30000</v>
      </c>
      <c r="E141" s="42" t="n">
        <v>30000</v>
      </c>
    </row>
    <row r="142">
      <c r="A142" s="41" t="inlineStr">
        <is>
          <t>Other income – year 5</t>
        </is>
      </c>
      <c r="C142" s="42" t="n">
        <v>25000</v>
      </c>
      <c r="D142" s="42" t="n">
        <v>25000</v>
      </c>
      <c r="E142" s="42" t="n">
        <v>25000</v>
      </c>
    </row>
    <row r="143">
      <c r="A143" s="41" t="inlineStr">
        <is>
          <t>Net income – year 1</t>
        </is>
      </c>
      <c r="C143" s="42">
        <f>(C45+C138)*(1-C11)</f>
        <v/>
      </c>
      <c r="D143" s="42">
        <f>(D45+D138)*(1-D11)</f>
        <v/>
      </c>
      <c r="E143" s="42">
        <f>(E45+E138)*(1-E11)</f>
        <v/>
      </c>
    </row>
    <row r="144">
      <c r="A144" s="41" t="inlineStr">
        <is>
          <t>Net income – year 2</t>
        </is>
      </c>
      <c r="C144" s="42">
        <f>(C46+C139)*(1-C11)</f>
        <v/>
      </c>
      <c r="D144" s="42">
        <f>(D46+D139)*(1-D11)</f>
        <v/>
      </c>
      <c r="E144" s="42">
        <f>(E46+E139)*(1-E11)</f>
        <v/>
      </c>
    </row>
    <row r="145">
      <c r="A145" s="41" t="inlineStr">
        <is>
          <t>Net income – year 3</t>
        </is>
      </c>
      <c r="C145" s="42">
        <f>(C47+C140)*(1-C11)</f>
        <v/>
      </c>
      <c r="D145" s="42">
        <f>(D47+D140)*(1-D11)</f>
        <v/>
      </c>
      <c r="E145" s="42">
        <f>(E47+E140)*(1-E11)</f>
        <v/>
      </c>
    </row>
    <row r="146">
      <c r="A146" s="41" t="inlineStr">
        <is>
          <t>Net income – year 4</t>
        </is>
      </c>
      <c r="C146" s="42">
        <f>(C48+C141)*(1-C11)</f>
        <v/>
      </c>
      <c r="D146" s="42">
        <f>(D48+D141)*(1-D11)</f>
        <v/>
      </c>
      <c r="E146" s="42">
        <f>(E48+E141)*(1-E11)</f>
        <v/>
      </c>
    </row>
    <row r="147">
      <c r="A147" s="41" t="inlineStr">
        <is>
          <t>Net income – year 5</t>
        </is>
      </c>
      <c r="C147" s="42">
        <f>(C49+C142)*(1-C11)</f>
        <v/>
      </c>
      <c r="D147" s="42">
        <f>(D49+D142)*(1-D11)</f>
        <v/>
      </c>
      <c r="E147" s="42">
        <f>(E49+E142)*(1-E11)</f>
        <v/>
      </c>
    </row>
    <row r="148">
      <c r="A148" s="41" t="inlineStr">
        <is>
          <t>Cash from operations – year 1</t>
        </is>
      </c>
      <c r="C148" s="42">
        <f>C143+C55+C120</f>
        <v/>
      </c>
      <c r="D148" s="42">
        <f>D143+D55+D120</f>
        <v/>
      </c>
      <c r="E148" s="42">
        <f>E143+E55+E120</f>
        <v/>
      </c>
    </row>
    <row r="149">
      <c r="A149" s="41" t="inlineStr">
        <is>
          <t>Cash from operations – year 2</t>
        </is>
      </c>
      <c r="C149" s="42">
        <f>C144+C56+C121</f>
        <v/>
      </c>
      <c r="D149" s="42">
        <f>D144+D56+D121</f>
        <v/>
      </c>
      <c r="E149" s="42">
        <f>E144+E56+E121</f>
        <v/>
      </c>
    </row>
    <row r="150">
      <c r="A150" s="41" t="inlineStr">
        <is>
          <t>Cash from operations – year 3</t>
        </is>
      </c>
      <c r="C150" s="42">
        <f>C145+C57+C122</f>
        <v/>
      </c>
      <c r="D150" s="42">
        <f>D145+D57+D122</f>
        <v/>
      </c>
      <c r="E150" s="42">
        <f>E145+E57+E122</f>
        <v/>
      </c>
    </row>
    <row r="151">
      <c r="A151" s="41" t="inlineStr">
        <is>
          <t>Cash from operations – year 4</t>
        </is>
      </c>
      <c r="C151" s="42">
        <f>C146+C58+C123</f>
        <v/>
      </c>
      <c r="D151" s="42">
        <f>D146+D58+D123</f>
        <v/>
      </c>
      <c r="E151" s="42">
        <f>E146+E58+E123</f>
        <v/>
      </c>
    </row>
    <row r="152">
      <c r="A152" s="41" t="inlineStr">
        <is>
          <t>Cash from operations – year 5</t>
        </is>
      </c>
      <c r="C152" s="42">
        <f>C147+C59+C124</f>
        <v/>
      </c>
      <c r="D152" s="42">
        <f>D147+D59+D124</f>
        <v/>
      </c>
      <c r="E152" s="42">
        <f>E147+E59+E124</f>
        <v/>
      </c>
    </row>
    <row r="153">
      <c r="A153" s="41" t="inlineStr">
        <is>
          <t>Free cash flow (CFS) – year 1</t>
        </is>
      </c>
      <c r="C153" s="42">
        <f>C148-C60</f>
        <v/>
      </c>
      <c r="D153" s="42">
        <f>D148-D60</f>
        <v/>
      </c>
      <c r="E153" s="42">
        <f>E148-E60</f>
        <v/>
      </c>
    </row>
    <row r="154">
      <c r="A154" s="41" t="inlineStr">
        <is>
          <t>Free cash flow (CFS) – year 2</t>
        </is>
      </c>
      <c r="C154" s="42">
        <f>C149-C61</f>
        <v/>
      </c>
      <c r="D154" s="42">
        <f>D149-D61</f>
        <v/>
      </c>
      <c r="E154" s="42">
        <f>E149-E61</f>
        <v/>
      </c>
    </row>
    <row r="155">
      <c r="A155" s="41" t="inlineStr">
        <is>
          <t>Free cash flow (CFS) – year 3</t>
        </is>
      </c>
      <c r="C155" s="42">
        <f>C150-C62</f>
        <v/>
      </c>
      <c r="D155" s="42">
        <f>D150-D62</f>
        <v/>
      </c>
      <c r="E155" s="42">
        <f>E150-E62</f>
        <v/>
      </c>
    </row>
    <row r="156">
      <c r="A156" s="41" t="inlineStr">
        <is>
          <t>Free cash flow (CFS) – year 4</t>
        </is>
      </c>
      <c r="C156" s="42">
        <f>C151-C63</f>
        <v/>
      </c>
      <c r="D156" s="42">
        <f>D151-D63</f>
        <v/>
      </c>
      <c r="E156" s="42">
        <f>E151-E63</f>
        <v/>
      </c>
    </row>
    <row r="157">
      <c r="A157" s="41" t="inlineStr">
        <is>
          <t>Free cash flow (CFS) – year 5</t>
        </is>
      </c>
      <c r="C157" s="42">
        <f>C152-C64</f>
        <v/>
      </c>
      <c r="D157" s="42">
        <f>D152-D64</f>
        <v/>
      </c>
      <c r="E157" s="42">
        <f>E152-E64</f>
        <v/>
      </c>
    </row>
    <row r="158">
      <c r="A158" s="41" t="inlineStr">
        <is>
          <t>Share repurchases – year 1</t>
        </is>
      </c>
      <c r="C158" s="42">
        <f>-C21</f>
        <v/>
      </c>
      <c r="D158" s="42">
        <f>-D21</f>
        <v/>
      </c>
      <c r="E158" s="42">
        <f>-ROUND(E22*E153,0)</f>
        <v/>
      </c>
    </row>
    <row r="159">
      <c r="A159" s="41" t="inlineStr">
        <is>
          <t>Share repurchases – year 2</t>
        </is>
      </c>
      <c r="C159" s="42">
        <f>-C21</f>
        <v/>
      </c>
      <c r="D159" s="42">
        <f>-D21</f>
        <v/>
      </c>
      <c r="E159" s="42">
        <f>-ROUND(E22*E154,0)</f>
        <v/>
      </c>
    </row>
    <row r="160">
      <c r="A160" s="41" t="inlineStr">
        <is>
          <t>Share repurchases – year 3</t>
        </is>
      </c>
      <c r="C160" s="42">
        <f>-C21</f>
        <v/>
      </c>
      <c r="D160" s="42">
        <f>-D21</f>
        <v/>
      </c>
      <c r="E160" s="42">
        <f>-ROUND(E22*E155,0)</f>
        <v/>
      </c>
    </row>
    <row r="161">
      <c r="A161" s="41" t="inlineStr">
        <is>
          <t>Share repurchases – year 4</t>
        </is>
      </c>
      <c r="C161" s="42">
        <f>-C21</f>
        <v/>
      </c>
      <c r="D161" s="42">
        <f>-D21</f>
        <v/>
      </c>
      <c r="E161" s="42">
        <f>-ROUND(E22*E156,0)</f>
        <v/>
      </c>
    </row>
    <row r="162">
      <c r="A162" s="41" t="inlineStr">
        <is>
          <t>Share repurchases – year 5</t>
        </is>
      </c>
      <c r="C162" s="42">
        <f>-C21</f>
        <v/>
      </c>
      <c r="D162" s="42">
        <f>-D21</f>
        <v/>
      </c>
      <c r="E162" s="42">
        <f>-ROUND(E22*E157,0)</f>
        <v/>
      </c>
    </row>
    <row r="163">
      <c r="A163" s="41" t="inlineStr">
        <is>
          <t>Cash &amp; equivalents – year 1</t>
        </is>
      </c>
      <c r="C163" s="42">
        <f>1807202+C153+C158</f>
        <v/>
      </c>
      <c r="D163" s="42">
        <f>1807202+D153+D158</f>
        <v/>
      </c>
      <c r="E163" s="42">
        <f>1807202+E153+E158</f>
        <v/>
      </c>
    </row>
    <row r="164">
      <c r="A164" s="41" t="inlineStr">
        <is>
          <t>Cash &amp; equivalents – year 2</t>
        </is>
      </c>
      <c r="C164" s="42">
        <f>C163+C154+C159</f>
        <v/>
      </c>
      <c r="D164" s="42">
        <f>D163+D154+D159</f>
        <v/>
      </c>
      <c r="E164" s="42">
        <f>E163+E154+E159</f>
        <v/>
      </c>
    </row>
    <row r="165">
      <c r="A165" s="41" t="inlineStr">
        <is>
          <t>Cash &amp; equivalents – year 3</t>
        </is>
      </c>
      <c r="C165" s="42">
        <f>C164+C155+C160</f>
        <v/>
      </c>
      <c r="D165" s="42">
        <f>D164+D155+D160</f>
        <v/>
      </c>
      <c r="E165" s="42">
        <f>E164+E155+E160</f>
        <v/>
      </c>
    </row>
    <row r="166">
      <c r="A166" s="41" t="inlineStr">
        <is>
          <t>Cash &amp; equivalents – year 4</t>
        </is>
      </c>
      <c r="C166" s="42">
        <f>C165+C156+C161</f>
        <v/>
      </c>
      <c r="D166" s="42">
        <f>D165+D156+D161</f>
        <v/>
      </c>
      <c r="E166" s="42">
        <f>E165+E156+E161</f>
        <v/>
      </c>
    </row>
    <row r="167">
      <c r="A167" s="41" t="inlineStr">
        <is>
          <t>Cash &amp; equivalents – year 5</t>
        </is>
      </c>
      <c r="C167" s="42">
        <f>C166+C157+C162</f>
        <v/>
      </c>
      <c r="D167" s="42">
        <f>D166+D157+D162</f>
        <v/>
      </c>
      <c r="E167" s="42">
        <f>E166+E157+E162</f>
        <v/>
      </c>
    </row>
    <row r="168">
      <c r="A168" s="41" t="inlineStr">
        <is>
          <t>Total assets – year 1</t>
        </is>
      </c>
      <c r="C168" s="42">
        <f>8456743*C25/11102600</f>
        <v/>
      </c>
      <c r="D168" s="42">
        <f>8456743*D25/11102600</f>
        <v/>
      </c>
      <c r="E168" s="42">
        <f>8456743*E25/11102600</f>
        <v/>
      </c>
    </row>
    <row r="169">
      <c r="A169" s="41" t="inlineStr">
        <is>
          <t>Total assets – year 2</t>
        </is>
      </c>
      <c r="C169" s="42">
        <f>8456743*C26/11102600</f>
        <v/>
      </c>
      <c r="D169" s="42">
        <f>8456743*D26/11102600</f>
        <v/>
      </c>
      <c r="E169" s="42">
        <f>8456743*E26/11102600</f>
        <v/>
      </c>
    </row>
    <row r="170">
      <c r="A170" s="41" t="inlineStr">
        <is>
          <t>Total assets – year 3</t>
        </is>
      </c>
      <c r="C170" s="42">
        <f>8456743*C27/11102600</f>
        <v/>
      </c>
      <c r="D170" s="42">
        <f>8456743*D27/11102600</f>
        <v/>
      </c>
      <c r="E170" s="42">
        <f>8456743*E27/11102600</f>
        <v/>
      </c>
    </row>
    <row r="171">
      <c r="A171" s="41" t="inlineStr">
        <is>
          <t>Total assets – year 4</t>
        </is>
      </c>
      <c r="C171" s="42">
        <f>8456743*C28/11102600</f>
        <v/>
      </c>
      <c r="D171" s="42">
        <f>8456743*D28/11102600</f>
        <v/>
      </c>
      <c r="E171" s="42">
        <f>8456743*E28/11102600</f>
        <v/>
      </c>
    </row>
    <row r="172">
      <c r="A172" s="41" t="inlineStr">
        <is>
          <t>Total assets – year 5</t>
        </is>
      </c>
      <c r="C172" s="42">
        <f>8456743*C29/11102600</f>
        <v/>
      </c>
      <c r="D172" s="42">
        <f>8456743*D29/11102600</f>
        <v/>
      </c>
      <c r="E172" s="42">
        <f>8456743*E29/11102600</f>
        <v/>
      </c>
    </row>
    <row r="173">
      <c r="A173" s="41" t="inlineStr">
        <is>
          <t>Total liabilities – year 1</t>
        </is>
      </c>
      <c r="C173" s="42">
        <f>3494903*C25/11102600</f>
        <v/>
      </c>
      <c r="D173" s="42">
        <f>3494903*D25/11102600</f>
        <v/>
      </c>
      <c r="E173" s="42">
        <f>3494903*E25/11102600</f>
        <v/>
      </c>
    </row>
    <row r="174">
      <c r="A174" s="41" t="inlineStr">
        <is>
          <t>Total liabilities – year 2</t>
        </is>
      </c>
      <c r="C174" s="42">
        <f>3494903*C26/11102600</f>
        <v/>
      </c>
      <c r="D174" s="42">
        <f>3494903*D26/11102600</f>
        <v/>
      </c>
      <c r="E174" s="42">
        <f>3494903*E26/11102600</f>
        <v/>
      </c>
    </row>
    <row r="175">
      <c r="A175" s="41" t="inlineStr">
        <is>
          <t>Total liabilities – year 3</t>
        </is>
      </c>
      <c r="C175" s="42">
        <f>3494903*C27/11102600</f>
        <v/>
      </c>
      <c r="D175" s="42">
        <f>3494903*D27/11102600</f>
        <v/>
      </c>
      <c r="E175" s="42">
        <f>3494903*E27/11102600</f>
        <v/>
      </c>
    </row>
    <row r="176">
      <c r="A176" s="41" t="inlineStr">
        <is>
          <t>Total liabilities – year 4</t>
        </is>
      </c>
      <c r="C176" s="42">
        <f>3494903*C28/11102600</f>
        <v/>
      </c>
      <c r="D176" s="42">
        <f>3494903*D28/11102600</f>
        <v/>
      </c>
      <c r="E176" s="42">
        <f>3494903*E28/11102600</f>
        <v/>
      </c>
    </row>
    <row r="177">
      <c r="A177" s="41" t="inlineStr">
        <is>
          <t>Total liabilities – year 5</t>
        </is>
      </c>
      <c r="C177" s="42">
        <f>3494903*C29/11102600</f>
        <v/>
      </c>
      <c r="D177" s="42">
        <f>3494903*D29/11102600</f>
        <v/>
      </c>
      <c r="E177" s="42">
        <f>3494903*E29/11102600</f>
        <v/>
      </c>
    </row>
    <row r="178">
      <c r="A178" s="41" t="inlineStr">
        <is>
          <t>Total equity – year 1</t>
        </is>
      </c>
      <c r="C178" s="42">
        <f>4961840*C25/11102600</f>
        <v/>
      </c>
      <c r="D178" s="42">
        <f>4961840*D25/11102600</f>
        <v/>
      </c>
      <c r="E178" s="42">
        <f>4961840*E25/11102600</f>
        <v/>
      </c>
    </row>
    <row r="179">
      <c r="A179" s="41" t="inlineStr">
        <is>
          <t>Total equity – year 2</t>
        </is>
      </c>
      <c r="C179" s="42">
        <f>4961840*C26/11102600</f>
        <v/>
      </c>
      <c r="D179" s="42">
        <f>4961840*D26/11102600</f>
        <v/>
      </c>
      <c r="E179" s="42">
        <f>4961840*E26/11102600</f>
        <v/>
      </c>
    </row>
    <row r="180">
      <c r="A180" s="41" t="inlineStr">
        <is>
          <t>Total equity – year 3</t>
        </is>
      </c>
      <c r="C180" s="42">
        <f>4961840*C27/11102600</f>
        <v/>
      </c>
      <c r="D180" s="42">
        <f>4961840*D27/11102600</f>
        <v/>
      </c>
      <c r="E180" s="42">
        <f>4961840*E27/11102600</f>
        <v/>
      </c>
    </row>
    <row r="181">
      <c r="A181" s="41" t="inlineStr">
        <is>
          <t>Total equity – year 4</t>
        </is>
      </c>
      <c r="C181" s="42">
        <f>4961840*C28/11102600</f>
        <v/>
      </c>
      <c r="D181" s="42">
        <f>4961840*D28/11102600</f>
        <v/>
      </c>
      <c r="E181" s="42">
        <f>4961840*E28/11102600</f>
        <v/>
      </c>
    </row>
    <row r="182">
      <c r="A182" s="41" t="inlineStr">
        <is>
          <t>Total equity – year 5</t>
        </is>
      </c>
      <c r="C182" s="42">
        <f>4961840*C29/11102600</f>
        <v/>
      </c>
      <c r="D182" s="42">
        <f>4961840*D29/11102600</f>
        <v/>
      </c>
      <c r="E182" s="42">
        <f>4961840*E29/11102600</f>
        <v/>
      </c>
    </row>
    <row r="183">
      <c r="A183" s="41" t="inlineStr">
        <is>
          <t>Diluted shares (000) – year 1</t>
        </is>
      </c>
      <c r="C183" s="42">
        <f>119068-C21/100</f>
        <v/>
      </c>
      <c r="D183" s="42">
        <f>119068-D21/100</f>
        <v/>
      </c>
      <c r="E183" s="42">
        <f>119068-ROUND(E22*E153,0)/100</f>
        <v/>
      </c>
    </row>
    <row r="184">
      <c r="A184" s="41" t="inlineStr">
        <is>
          <t>Diluted shares (000) – year 2</t>
        </is>
      </c>
      <c r="C184" s="42">
        <f>C183-C21/108</f>
        <v/>
      </c>
      <c r="D184" s="42">
        <f>D183-D21/108</f>
        <v/>
      </c>
      <c r="E184" s="42">
        <f>E183-ROUND(E22*E154,0)/108</f>
        <v/>
      </c>
    </row>
    <row r="185">
      <c r="A185" s="41" t="inlineStr">
        <is>
          <t>Diluted shares (000) – year 3</t>
        </is>
      </c>
      <c r="C185" s="42">
        <f>C184-C21/115</f>
        <v/>
      </c>
      <c r="D185" s="42">
        <f>D184-D21/115</f>
        <v/>
      </c>
      <c r="E185" s="42">
        <f>E184-ROUND(E22*E155,0)/115</f>
        <v/>
      </c>
    </row>
    <row r="186">
      <c r="A186" s="41" t="inlineStr">
        <is>
          <t>Diluted shares (000) – year 4</t>
        </is>
      </c>
      <c r="C186" s="42">
        <f>C185-C21/122</f>
        <v/>
      </c>
      <c r="D186" s="42">
        <f>D185-D21/122</f>
        <v/>
      </c>
      <c r="E186" s="42">
        <f>E185-ROUND(E22*E156,0)/122</f>
        <v/>
      </c>
    </row>
    <row r="187">
      <c r="A187" s="41" t="inlineStr">
        <is>
          <t>Diluted shares (000) – year 5</t>
        </is>
      </c>
      <c r="C187" s="42">
        <f>C186-C21/130</f>
        <v/>
      </c>
      <c r="D187" s="42">
        <f>D186-D21/130</f>
        <v/>
      </c>
      <c r="E187" s="42">
        <f>E186-ROUND(E22*E157,0)/130</f>
        <v/>
      </c>
    </row>
    <row r="188">
      <c r="A188" s="41" t="inlineStr">
        <is>
          <t>Diluted EPS ($) – year 1</t>
        </is>
      </c>
      <c r="C188" s="49">
        <f>C143/C183</f>
        <v/>
      </c>
      <c r="D188" s="49">
        <f>D143/D183</f>
        <v/>
      </c>
      <c r="E188" s="49">
        <f>E143/E183</f>
        <v/>
      </c>
    </row>
    <row r="189">
      <c r="A189" s="41" t="inlineStr">
        <is>
          <t>Diluted EPS ($) – year 2</t>
        </is>
      </c>
      <c r="C189" s="49">
        <f>C144/C184</f>
        <v/>
      </c>
      <c r="D189" s="49">
        <f>D144/D184</f>
        <v/>
      </c>
      <c r="E189" s="49">
        <f>E144/E184</f>
        <v/>
      </c>
    </row>
    <row r="190">
      <c r="A190" s="41" t="inlineStr">
        <is>
          <t>Diluted EPS ($) – year 3</t>
        </is>
      </c>
      <c r="C190" s="49">
        <f>C145/C185</f>
        <v/>
      </c>
      <c r="D190" s="49">
        <f>D145/D185</f>
        <v/>
      </c>
      <c r="E190" s="49">
        <f>E145/E185</f>
        <v/>
      </c>
    </row>
    <row r="191">
      <c r="A191" s="41" t="inlineStr">
        <is>
          <t>Diluted EPS ($) – year 4</t>
        </is>
      </c>
      <c r="C191" s="49">
        <f>C146/C186</f>
        <v/>
      </c>
      <c r="D191" s="49">
        <f>D146/D186</f>
        <v/>
      </c>
      <c r="E191" s="49">
        <f>E146/E186</f>
        <v/>
      </c>
    </row>
    <row r="192">
      <c r="A192" s="41" t="inlineStr">
        <is>
          <t>Diluted EPS ($) – year 5</t>
        </is>
      </c>
      <c r="C192" s="49">
        <f>C147/C187</f>
        <v/>
      </c>
      <c r="D192" s="49">
        <f>D147/D187</f>
        <v/>
      </c>
      <c r="E192" s="49">
        <f>E147/E187</f>
        <v/>
      </c>
    </row>
    <row r="193">
      <c r="A193" s="26" t="inlineStr">
        <is>
          <t>pitch deck Pitch deck reads base/bull scenario columns.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applyStyles="1" summaryBelow="1" summaryRight="1"/>
    <pageSetUpPr/>
  </sheetPr>
  <dimension ref="A1:H59"/>
  <sheetViews>
    <sheetView showGridLines="0" showOutlineSymbols="1" workbookViewId="0">
      <pane xSplit="8" ySplit="4" topLeftCell="I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0" customWidth="1" min="8" max="8"/>
    <col outlineLevel="1" width="40" customWidth="1" min="9" max="9"/>
    <col outlineLevel="1" width="28" customWidth="1" min="10" max="10"/>
    <col outlineLevel="1" width="16" customWidth="1" min="11" max="11"/>
    <col outlineLevel="1" width="36" customWidth="1" min="12" max="12"/>
  </cols>
  <sheetData>
    <row r="1">
      <c r="A1" s="50" t="inlineStr">
        <is>
          <t>BOTTOM-UP REVENUE DRIVER SCHEDULE (FY2026E–FY2030E)</t>
        </is>
      </c>
      <c r="B1" s="13" t="n"/>
      <c r="C1" s="13" t="n"/>
      <c r="D1" s="13" t="n"/>
      <c r="E1" s="13" t="n"/>
      <c r="F1" s="13" t="n"/>
      <c r="G1" s="13" t="n"/>
      <c r="H1" s="13" t="n"/>
    </row>
    <row r="2">
      <c r="A2" s="26" t="inlineStr">
        <is>
          <t>FY2025A = FY25 10-K historical anchors (blue). FY26–30 = red operational assumptions. Consolidated revenue cross-checks to Scenarios base case.</t>
        </is>
      </c>
    </row>
    <row r="3"/>
    <row r="4">
      <c r="A4" s="52" t="inlineStr">
        <is>
          <t>I. STORE FLEET &amp; SQUARE FOOTAGE (company-operated)</t>
        </is>
      </c>
    </row>
    <row r="5">
      <c r="A5" s="53" t="inlineStr">
        <is>
          <t>Driver</t>
        </is>
      </c>
      <c r="B5" s="54" t="inlineStr">
        <is>
          <t>FY2025A</t>
        </is>
      </c>
      <c r="C5" s="55" t="inlineStr">
        <is>
          <t>FY2026E</t>
        </is>
      </c>
      <c r="D5" s="54" t="inlineStr">
        <is>
          <t>FY2027E</t>
        </is>
      </c>
      <c r="E5" s="54" t="inlineStr">
        <is>
          <t>FY2028E</t>
        </is>
      </c>
      <c r="F5" s="54" t="inlineStr">
        <is>
          <t>FY2029E</t>
        </is>
      </c>
      <c r="G5" s="54" t="inlineStr">
        <is>
          <t>FY2030E</t>
        </is>
      </c>
      <c r="H5" s="54" t="inlineStr">
        <is>
          <t>Units</t>
        </is>
      </c>
    </row>
    <row r="6" ht="28" customHeight="1">
      <c r="A6" s="41" t="inlineStr">
        <is>
          <t>Americas — beginning stores</t>
        </is>
      </c>
      <c r="B6" s="57" t="n">
        <v>462</v>
      </c>
      <c r="C6" s="42">
        <f>B9</f>
        <v/>
      </c>
      <c r="D6" s="42">
        <f>C9</f>
        <v/>
      </c>
      <c r="E6" s="42">
        <f>D9</f>
        <v/>
      </c>
      <c r="F6" s="42">
        <f>E9</f>
        <v/>
      </c>
      <c r="G6" s="42">
        <f>F9</f>
        <v/>
      </c>
      <c r="H6" s="58" t="inlineStr">
        <is>
          <t>stores</t>
        </is>
      </c>
    </row>
    <row r="7" ht="28" customHeight="1">
      <c r="A7" s="41" t="inlineStr">
        <is>
          <t>Americas — openings</t>
        </is>
      </c>
      <c r="C7" s="60" t="n">
        <v>8</v>
      </c>
      <c r="D7" s="60" t="n">
        <v>7</v>
      </c>
      <c r="E7" s="60" t="n">
        <v>6</v>
      </c>
      <c r="F7" s="60" t="n">
        <v>5</v>
      </c>
      <c r="G7" s="60" t="n">
        <v>4</v>
      </c>
      <c r="H7" s="58" t="inlineStr">
        <is>
          <t>stores</t>
        </is>
      </c>
    </row>
    <row r="8" ht="28" customHeight="1">
      <c r="A8" s="41" t="inlineStr">
        <is>
          <t>Americas — closures</t>
        </is>
      </c>
      <c r="C8" s="60" t="n">
        <v>3</v>
      </c>
      <c r="D8" s="60" t="n">
        <v>3</v>
      </c>
      <c r="E8" s="60" t="n">
        <v>2</v>
      </c>
      <c r="F8" s="60" t="n">
        <v>2</v>
      </c>
      <c r="G8" s="60" t="n">
        <v>2</v>
      </c>
      <c r="H8" s="58" t="inlineStr">
        <is>
          <t>stores</t>
        </is>
      </c>
    </row>
    <row r="9" ht="28" customHeight="1">
      <c r="A9" s="61" t="inlineStr">
        <is>
          <t>Americas — ending stores</t>
        </is>
      </c>
      <c r="B9" s="57" t="n">
        <v>476</v>
      </c>
      <c r="C9" s="62">
        <f>C6+C7-C8</f>
        <v/>
      </c>
      <c r="D9" s="62">
        <f>D6+D7-D8</f>
        <v/>
      </c>
      <c r="E9" s="62">
        <f>E6+E7-E8</f>
        <v/>
      </c>
      <c r="F9" s="62">
        <f>F6+F7-F8</f>
        <v/>
      </c>
      <c r="G9" s="62">
        <f>G6+G7-G8</f>
        <v/>
      </c>
      <c r="H9" s="58" t="inlineStr">
        <is>
          <t>stores</t>
        </is>
      </c>
    </row>
    <row r="10" ht="28" customHeight="1">
      <c r="A10" s="41" t="inlineStr">
        <is>
          <t>China Mainland — beginning stores</t>
        </is>
      </c>
      <c r="B10" s="57" t="n">
        <v>151</v>
      </c>
      <c r="C10" s="42">
        <f>B13</f>
        <v/>
      </c>
      <c r="D10" s="42">
        <f>C13</f>
        <v/>
      </c>
      <c r="E10" s="42">
        <f>D13</f>
        <v/>
      </c>
      <c r="F10" s="42">
        <f>E13</f>
        <v/>
      </c>
      <c r="G10" s="42">
        <f>F13</f>
        <v/>
      </c>
      <c r="H10" s="58" t="inlineStr">
        <is>
          <t>stores</t>
        </is>
      </c>
    </row>
    <row r="11" ht="28" customHeight="1">
      <c r="A11" s="41" t="inlineStr">
        <is>
          <t>China Mainland — openings</t>
        </is>
      </c>
      <c r="C11" s="60" t="n">
        <v>20</v>
      </c>
      <c r="D11" s="60" t="n">
        <v>18</v>
      </c>
      <c r="E11" s="60" t="n">
        <v>16</v>
      </c>
      <c r="F11" s="60" t="n">
        <v>14</v>
      </c>
      <c r="G11" s="60" t="n">
        <v>12</v>
      </c>
      <c r="H11" s="58" t="inlineStr">
        <is>
          <t>stores</t>
        </is>
      </c>
    </row>
    <row r="12" ht="28" customHeight="1">
      <c r="A12" s="41" t="inlineStr">
        <is>
          <t>China Mainland — closures</t>
        </is>
      </c>
      <c r="C12" s="60" t="n">
        <v>1</v>
      </c>
      <c r="D12" s="60" t="n">
        <v>1</v>
      </c>
      <c r="E12" s="60" t="n">
        <v>1</v>
      </c>
      <c r="F12" s="60" t="n">
        <v>1</v>
      </c>
      <c r="G12" s="60" t="n">
        <v>1</v>
      </c>
      <c r="H12" s="58" t="inlineStr">
        <is>
          <t>stores</t>
        </is>
      </c>
    </row>
    <row r="13" ht="28" customHeight="1">
      <c r="A13" s="61" t="inlineStr">
        <is>
          <t>China Mainland — ending stores</t>
        </is>
      </c>
      <c r="B13" s="57" t="n">
        <v>172</v>
      </c>
      <c r="C13" s="62">
        <f>C10+C11-C12</f>
        <v/>
      </c>
      <c r="D13" s="62">
        <f>D10+D11-D12</f>
        <v/>
      </c>
      <c r="E13" s="62">
        <f>E10+E11-E12</f>
        <v/>
      </c>
      <c r="F13" s="62">
        <f>F10+F11-F12</f>
        <v/>
      </c>
      <c r="G13" s="62">
        <f>G10+G11-G12</f>
        <v/>
      </c>
      <c r="H13" s="58" t="inlineStr">
        <is>
          <t>stores</t>
        </is>
      </c>
    </row>
    <row r="14" ht="28" customHeight="1">
      <c r="A14" s="41" t="inlineStr">
        <is>
          <t>Rest of World — beginning stores</t>
        </is>
      </c>
      <c r="B14" s="57" t="n">
        <v>154</v>
      </c>
      <c r="C14" s="42">
        <f>B17</f>
        <v/>
      </c>
      <c r="D14" s="42">
        <f>C17</f>
        <v/>
      </c>
      <c r="E14" s="42">
        <f>D17</f>
        <v/>
      </c>
      <c r="F14" s="42">
        <f>E17</f>
        <v/>
      </c>
      <c r="G14" s="42">
        <f>F17</f>
        <v/>
      </c>
      <c r="H14" s="58" t="inlineStr">
        <is>
          <t>stores</t>
        </is>
      </c>
    </row>
    <row r="15" ht="28" customHeight="1">
      <c r="A15" s="41" t="inlineStr">
        <is>
          <t>Rest of World — openings</t>
        </is>
      </c>
      <c r="C15" s="60" t="n">
        <v>7</v>
      </c>
      <c r="D15" s="60" t="n">
        <v>6</v>
      </c>
      <c r="E15" s="60" t="n">
        <v>5</v>
      </c>
      <c r="F15" s="60" t="n">
        <v>5</v>
      </c>
      <c r="G15" s="60" t="n">
        <v>4</v>
      </c>
      <c r="H15" s="58" t="inlineStr">
        <is>
          <t>stores</t>
        </is>
      </c>
    </row>
    <row r="16" ht="28" customHeight="1">
      <c r="A16" s="41" t="inlineStr">
        <is>
          <t>Rest of World — closures</t>
        </is>
      </c>
      <c r="C16" s="60" t="n">
        <v>2</v>
      </c>
      <c r="D16" s="60" t="n">
        <v>2</v>
      </c>
      <c r="E16" s="60" t="n">
        <v>2</v>
      </c>
      <c r="F16" s="60" t="n">
        <v>2</v>
      </c>
      <c r="G16" s="60" t="n">
        <v>2</v>
      </c>
      <c r="H16" s="58" t="inlineStr">
        <is>
          <t>stores</t>
        </is>
      </c>
    </row>
    <row r="17" ht="28" customHeight="1">
      <c r="A17" s="61" t="inlineStr">
        <is>
          <t>Rest of World — ending stores</t>
        </is>
      </c>
      <c r="B17" s="57" t="n">
        <v>163</v>
      </c>
      <c r="C17" s="62">
        <f>C14+C15-C16</f>
        <v/>
      </c>
      <c r="D17" s="62">
        <f>D14+D15-D16</f>
        <v/>
      </c>
      <c r="E17" s="62">
        <f>E14+E15-E16</f>
        <v/>
      </c>
      <c r="F17" s="62">
        <f>F14+F15-F16</f>
        <v/>
      </c>
      <c r="G17" s="62">
        <f>G14+G15-G16</f>
        <v/>
      </c>
      <c r="H17" s="58" t="inlineStr">
        <is>
          <t>stores</t>
        </is>
      </c>
    </row>
    <row r="18" ht="28" customHeight="1">
      <c r="A18" s="61" t="inlineStr">
        <is>
          <t>Total ending stores</t>
        </is>
      </c>
      <c r="B18" s="63" t="n">
        <v>811</v>
      </c>
      <c r="C18" s="62">
        <f>C9+C13+C17</f>
        <v/>
      </c>
      <c r="D18" s="62">
        <f>D9+D13+D17</f>
        <v/>
      </c>
      <c r="E18" s="62">
        <f>E9+E13+E17</f>
        <v/>
      </c>
      <c r="F18" s="62">
        <f>F9+F13+F17</f>
        <v/>
      </c>
      <c r="G18" s="62">
        <f>G9+G13+G17</f>
        <v/>
      </c>
    </row>
    <row r="19" ht="28" customHeight="1">
      <c r="A19" s="41" t="inlineStr">
        <is>
          <t>Avg square feet per store</t>
        </is>
      </c>
      <c r="B19" s="60" t="n">
        <v>4366</v>
      </c>
      <c r="C19" s="60" t="n">
        <v>4400</v>
      </c>
      <c r="D19" s="60" t="n">
        <v>4425</v>
      </c>
      <c r="E19" s="60" t="n">
        <v>4450</v>
      </c>
      <c r="F19" s="60" t="n">
        <v>4475</v>
      </c>
      <c r="G19" s="60" t="n">
        <v>4500</v>
      </c>
      <c r="H19" s="58" t="inlineStr">
        <is>
          <t>sq ft</t>
        </is>
      </c>
    </row>
    <row r="20" ht="28" customHeight="1">
      <c r="A20" s="41" t="inlineStr">
        <is>
          <t>Total square footage (end stores × avg sq ft)</t>
        </is>
      </c>
      <c r="B20" s="42">
        <f>B18*B19</f>
        <v/>
      </c>
      <c r="C20" s="42">
        <f>C18*C19</f>
        <v/>
      </c>
      <c r="D20" s="42">
        <f>D18*D19</f>
        <v/>
      </c>
      <c r="E20" s="42">
        <f>E18*E19</f>
        <v/>
      </c>
      <c r="F20" s="42">
        <f>F18*F19</f>
        <v/>
      </c>
      <c r="G20" s="42">
        <f>G18*G19</f>
        <v/>
      </c>
      <c r="H20" s="58" t="inlineStr">
        <is>
          <t>sq ft</t>
        </is>
      </c>
    </row>
    <row r="21"/>
    <row r="22">
      <c r="A22" s="52" t="inlineStr">
        <is>
          <t>II. STORE PRODUCTIVITY (brick &amp; mortar channel)</t>
        </is>
      </c>
    </row>
    <row r="23">
      <c r="A23" s="53" t="inlineStr">
        <is>
          <t>Driver</t>
        </is>
      </c>
      <c r="B23" s="54" t="inlineStr">
        <is>
          <t>FY2025A</t>
        </is>
      </c>
      <c r="C23" s="55" t="inlineStr">
        <is>
          <t>FY2026E</t>
        </is>
      </c>
      <c r="D23" s="54" t="inlineStr">
        <is>
          <t>FY2027E</t>
        </is>
      </c>
      <c r="E23" s="54" t="inlineStr">
        <is>
          <t>FY2028E</t>
        </is>
      </c>
      <c r="F23" s="54" t="inlineStr">
        <is>
          <t>FY2029E</t>
        </is>
      </c>
      <c r="G23" s="54" t="inlineStr">
        <is>
          <t>FY2030E</t>
        </is>
      </c>
      <c r="H23" s="54" t="inlineStr">
        <is>
          <t>Units</t>
        </is>
      </c>
    </row>
    <row r="24" ht="28" customHeight="1">
      <c r="A24" s="41" t="inlineStr">
        <is>
          <t>Sales per square foot ($)</t>
        </is>
      </c>
      <c r="B24" s="60" t="n">
        <v>1426</v>
      </c>
      <c r="C24" s="60" t="n">
        <v>1360</v>
      </c>
      <c r="D24" s="60" t="n">
        <v>1380</v>
      </c>
      <c r="E24" s="60" t="n">
        <v>1400</v>
      </c>
      <c r="F24" s="60" t="n">
        <v>1420</v>
      </c>
      <c r="G24" s="60" t="n">
        <v>1440</v>
      </c>
      <c r="H24" s="58" t="inlineStr">
        <is>
          <t>$/sq ft</t>
        </is>
      </c>
    </row>
    <row r="25" ht="28" customHeight="1">
      <c r="A25" s="41" t="inlineStr">
        <is>
          <t>Americas — comparable sales growth</t>
        </is>
      </c>
      <c r="B25" s="64" t="n">
        <v>-0.03</v>
      </c>
      <c r="C25" s="64" t="n">
        <v>-0.04</v>
      </c>
      <c r="D25" s="64" t="n">
        <v>0</v>
      </c>
      <c r="E25" s="64" t="n">
        <v>0.01</v>
      </c>
      <c r="F25" s="64" t="n">
        <v>0.02</v>
      </c>
      <c r="G25" s="64" t="n">
        <v>0.02</v>
      </c>
      <c r="H25" s="58" t="inlineStr">
        <is>
          <t>%</t>
        </is>
      </c>
    </row>
    <row r="26" ht="28" customHeight="1">
      <c r="A26" s="41" t="inlineStr">
        <is>
          <t>China Mainland — comparable sales growth</t>
        </is>
      </c>
      <c r="B26" s="64" t="n">
        <v>0.2</v>
      </c>
      <c r="C26" s="64" t="n">
        <v>0.14</v>
      </c>
      <c r="D26" s="64" t="n">
        <v>0.12</v>
      </c>
      <c r="E26" s="64" t="n">
        <v>0.1</v>
      </c>
      <c r="F26" s="64" t="n">
        <v>0.08</v>
      </c>
      <c r="G26" s="64" t="n">
        <v>0.07000000000000001</v>
      </c>
      <c r="H26" s="58" t="inlineStr">
        <is>
          <t>%</t>
        </is>
      </c>
    </row>
    <row r="27" ht="28" customHeight="1">
      <c r="A27" s="41" t="inlineStr">
        <is>
          <t>Rest of World — comparable sales growth</t>
        </is>
      </c>
      <c r="B27" s="64" t="n">
        <v>0.09</v>
      </c>
      <c r="C27" s="64" t="n">
        <v>0.07000000000000001</v>
      </c>
      <c r="D27" s="64" t="n">
        <v>0.06</v>
      </c>
      <c r="E27" s="64" t="n">
        <v>0.05</v>
      </c>
      <c r="F27" s="64" t="n">
        <v>0.04</v>
      </c>
      <c r="G27" s="64" t="n">
        <v>0.04</v>
      </c>
      <c r="H27" s="58" t="inlineStr">
        <is>
          <t>%</t>
        </is>
      </c>
    </row>
    <row r="28" ht="28" customHeight="1">
      <c r="A28" s="41" t="inlineStr">
        <is>
          <t>Prior-year store channel revenue ($000)</t>
        </is>
      </c>
      <c r="B28" s="65" t="n">
        <v>5049744</v>
      </c>
      <c r="C28" s="42">
        <f>B31</f>
        <v/>
      </c>
      <c r="D28" s="42">
        <f>C31</f>
        <v/>
      </c>
      <c r="E28" s="42">
        <f>D31</f>
        <v/>
      </c>
      <c r="F28" s="42">
        <f>E31</f>
        <v/>
      </c>
      <c r="G28" s="42">
        <f>F31</f>
        <v/>
      </c>
      <c r="H28" s="58" t="inlineStr">
        <is>
          <t>$000</t>
        </is>
      </c>
    </row>
    <row r="29" ht="28" customHeight="1">
      <c r="A29" s="41" t="inlineStr">
        <is>
          <t>Comparable store revenue ($000)</t>
        </is>
      </c>
      <c r="B29" s="57" t="n">
        <v>5049744</v>
      </c>
      <c r="C29" s="42">
        <f>B28*0.71*(1+C25)+B28*0.16*(1+C26)+B28*0.13*(1+C27)</f>
        <v/>
      </c>
      <c r="D29" s="42">
        <f>C28*0.71*(1+D25)+C28*0.16*(1+D26)+C28*0.13*(1+D27)</f>
        <v/>
      </c>
      <c r="E29" s="42">
        <f>D28*0.71*(1+E25)+D28*0.16*(1+E26)+D28*0.13*(1+E27)</f>
        <v/>
      </c>
      <c r="F29" s="42">
        <f>E28*0.71*(1+F25)+E28*0.16*(1+F26)+E28*0.13*(1+F27)</f>
        <v/>
      </c>
      <c r="G29" s="42">
        <f>F28*0.71*(1+G25)+F28*0.16*(1+G26)+F28*0.13*(1+G27)</f>
        <v/>
      </c>
    </row>
    <row r="30" ht="28" customHeight="1">
      <c r="A30" s="41" t="inlineStr">
        <is>
          <t>Net new store revenue contribution ($000)</t>
        </is>
      </c>
      <c r="B30" s="42" t="n">
        <v>0</v>
      </c>
      <c r="C30" s="42">
        <f>(C7-C8+C11-C12+C15-C16)*C19*C24/1000*0.55</f>
        <v/>
      </c>
      <c r="D30" s="42">
        <f>(D7-D8+D11-D12+D15-D16)*D19*D24/1000*0.55</f>
        <v/>
      </c>
      <c r="E30" s="42">
        <f>(E7-E8+E11-E12+E15-E16)*E19*E24/1000*0.55</f>
        <v/>
      </c>
      <c r="F30" s="42">
        <f>(F7-F8+F11-F12+F15-F16)*F19*F24/1000*0.55</f>
        <v/>
      </c>
      <c r="G30" s="42">
        <f>(G7-G8+G11-G12+G15-G16)*G19*G24/1000*0.55</f>
        <v/>
      </c>
    </row>
    <row r="31" ht="28" customHeight="1">
      <c r="A31" s="61" t="inlineStr">
        <is>
          <t>Store channel revenue ($000)</t>
        </is>
      </c>
      <c r="B31" s="63" t="n">
        <v>5049744</v>
      </c>
      <c r="C31" s="62">
        <f>C29+C30</f>
        <v/>
      </c>
      <c r="D31" s="62">
        <f>D29+D30</f>
        <v/>
      </c>
      <c r="E31" s="62">
        <f>E29+E30</f>
        <v/>
      </c>
      <c r="F31" s="62">
        <f>F29+F30</f>
        <v/>
      </c>
      <c r="G31" s="62">
        <f>G29+G30</f>
        <v/>
      </c>
    </row>
    <row r="32" ht="28" customHeight="1">
      <c r="A32" s="41" t="inlineStr">
        <is>
          <t>fleet traffic (millions of visits)</t>
        </is>
      </c>
      <c r="B32" s="66" t="n">
        <v>42.5</v>
      </c>
      <c r="C32" s="66" t="n">
        <v>40</v>
      </c>
      <c r="D32" s="66" t="n">
        <v>41</v>
      </c>
      <c r="E32" s="66" t="n">
        <v>42</v>
      </c>
      <c r="F32" s="66" t="n">
        <v>43</v>
      </c>
      <c r="G32" s="66" t="n">
        <v>44</v>
      </c>
      <c r="H32" s="58" t="inlineStr">
        <is>
          <t>M visits</t>
        </is>
      </c>
    </row>
    <row r="33" ht="28" customHeight="1">
      <c r="A33" s="41" t="inlineStr">
        <is>
          <t>in-store conversion rate</t>
        </is>
      </c>
      <c r="B33" s="64" t="n">
        <v>0.28</v>
      </c>
      <c r="C33" s="64" t="n">
        <v>0.27</v>
      </c>
      <c r="D33" s="64" t="n">
        <v>0.275</v>
      </c>
      <c r="E33" s="64" t="n">
        <v>0.28</v>
      </c>
      <c r="F33" s="64" t="n">
        <v>0.285</v>
      </c>
      <c r="G33" s="64" t="n">
        <v>0.29</v>
      </c>
    </row>
    <row r="34" ht="28" customHeight="1">
      <c r="A34" s="41" t="inlineStr">
        <is>
          <t>in-store average transaction ($)</t>
        </is>
      </c>
      <c r="B34" s="67" t="n">
        <v>118</v>
      </c>
      <c r="C34" s="67" t="n">
        <v>115</v>
      </c>
      <c r="D34" s="67" t="n">
        <v>116</v>
      </c>
      <c r="E34" s="67" t="n">
        <v>118</v>
      </c>
      <c r="F34" s="67" t="n">
        <v>120</v>
      </c>
      <c r="G34" s="67" t="n">
        <v>122</v>
      </c>
    </row>
    <row r="35"/>
    <row r="36">
      <c r="A36" s="52" t="inlineStr">
        <is>
          <t>III. DIRECT-TO-CONSUMER (e-commerce / digital)</t>
        </is>
      </c>
    </row>
    <row r="37">
      <c r="A37" s="53" t="inlineStr">
        <is>
          <t>Driver</t>
        </is>
      </c>
      <c r="B37" s="54" t="inlineStr">
        <is>
          <t>FY2025A</t>
        </is>
      </c>
      <c r="C37" s="55" t="inlineStr">
        <is>
          <t>FY2026E</t>
        </is>
      </c>
      <c r="D37" s="54" t="inlineStr">
        <is>
          <t>FY2027E</t>
        </is>
      </c>
      <c r="E37" s="54" t="inlineStr">
        <is>
          <t>FY2028E</t>
        </is>
      </c>
      <c r="F37" s="54" t="inlineStr">
        <is>
          <t>FY2029E</t>
        </is>
      </c>
      <c r="G37" s="54" t="inlineStr">
        <is>
          <t>FY2030E</t>
        </is>
      </c>
      <c r="H37" s="54" t="inlineStr">
        <is>
          <t>Units</t>
        </is>
      </c>
    </row>
    <row r="38" ht="28" customHeight="1">
      <c r="A38" s="41" t="inlineStr">
        <is>
          <t>Unique digital sessions (millions)</t>
        </is>
      </c>
      <c r="B38" s="60" t="n">
        <v>485</v>
      </c>
      <c r="C38" s="60" t="n">
        <v>485</v>
      </c>
      <c r="D38" s="60" t="n">
        <v>505</v>
      </c>
      <c r="E38" s="60" t="n">
        <v>525</v>
      </c>
      <c r="F38" s="60" t="n">
        <v>545</v>
      </c>
      <c r="G38" s="60" t="n">
        <v>560</v>
      </c>
      <c r="H38" s="58" t="inlineStr">
        <is>
          <t>M</t>
        </is>
      </c>
    </row>
    <row r="39" ht="28" customHeight="1">
      <c r="A39" s="41" t="inlineStr">
        <is>
          <t>Digital conversion rate</t>
        </is>
      </c>
      <c r="B39" s="64" t="n">
        <v>0.033</v>
      </c>
      <c r="C39" s="64" t="n">
        <v>0.033</v>
      </c>
      <c r="D39" s="64" t="n">
        <v>0.034</v>
      </c>
      <c r="E39" s="64" t="n">
        <v>0.035</v>
      </c>
      <c r="F39" s="64" t="n">
        <v>0.035</v>
      </c>
      <c r="G39" s="64" t="n">
        <v>0.036</v>
      </c>
    </row>
    <row r="40" ht="28" customHeight="1">
      <c r="A40" s="41" t="inlineStr">
        <is>
          <t>Digital average order value ($)</t>
        </is>
      </c>
      <c r="B40" s="67" t="n">
        <v>307</v>
      </c>
      <c r="C40" s="67" t="n">
        <v>305</v>
      </c>
      <c r="D40" s="67" t="n">
        <v>308</v>
      </c>
      <c r="E40" s="67" t="n">
        <v>310</v>
      </c>
      <c r="F40" s="67" t="n">
        <v>312</v>
      </c>
      <c r="G40" s="67" t="n">
        <v>315</v>
      </c>
    </row>
    <row r="41" ht="28" customHeight="1">
      <c r="A41" s="61" t="inlineStr">
        <is>
          <t>E-commerce revenue ($000)</t>
        </is>
      </c>
      <c r="B41" s="63" t="n">
        <v>4918697</v>
      </c>
      <c r="C41" s="62">
        <f>C38*1000000*C39*C40/1000</f>
        <v/>
      </c>
      <c r="D41" s="62">
        <f>D38*1000000*D39*D40/1000</f>
        <v/>
      </c>
      <c r="E41" s="62">
        <f>E38*1000000*E39*E40/1000</f>
        <v/>
      </c>
      <c r="F41" s="62">
        <f>F38*1000000*F39*F40/1000</f>
        <v/>
      </c>
      <c r="G41" s="62">
        <f>G38*1000000*G39*G40/1000</f>
        <v/>
      </c>
    </row>
    <row r="42"/>
    <row r="43">
      <c r="A43" s="52" t="inlineStr">
        <is>
          <t>IV. OTHER CHANNELS, GEOGRAPHY &amp; PRODUCT MIX</t>
        </is>
      </c>
    </row>
    <row r="44">
      <c r="A44" s="53" t="inlineStr">
        <is>
          <t>Driver</t>
        </is>
      </c>
      <c r="B44" s="54" t="inlineStr">
        <is>
          <t>FY2025A</t>
        </is>
      </c>
      <c r="C44" s="55" t="inlineStr">
        <is>
          <t>FY2026E</t>
        </is>
      </c>
      <c r="D44" s="54" t="inlineStr">
        <is>
          <t>FY2027E</t>
        </is>
      </c>
      <c r="E44" s="54" t="inlineStr">
        <is>
          <t>FY2028E</t>
        </is>
      </c>
      <c r="F44" s="54" t="inlineStr">
        <is>
          <t>FY2029E</t>
        </is>
      </c>
      <c r="G44" s="54" t="inlineStr">
        <is>
          <t>FY2030E</t>
        </is>
      </c>
      <c r="H44" s="54" t="inlineStr">
        <is>
          <t>Units</t>
        </is>
      </c>
    </row>
    <row r="45" ht="28" customHeight="1">
      <c r="A45" s="41" t="inlineStr">
        <is>
          <t>Other channels (wholesale / license / outlets) ($000)</t>
        </is>
      </c>
      <c r="B45" s="65" t="n">
        <v>1134159</v>
      </c>
      <c r="C45" s="42">
        <f>B45*(1+-0.02)</f>
        <v/>
      </c>
      <c r="D45" s="42">
        <f>C45*(1+0.0)</f>
        <v/>
      </c>
      <c r="E45" s="42">
        <f>D45*(1+0.02)</f>
        <v/>
      </c>
      <c r="F45" s="42">
        <f>E45*(1+0.02)</f>
        <v/>
      </c>
      <c r="G45" s="42">
        <f>F45*(1+0.02)</f>
        <v/>
      </c>
      <c r="H45" s="58" t="inlineStr">
        <is>
          <t>$000</t>
        </is>
      </c>
    </row>
    <row r="46" ht="70" customHeight="1">
      <c r="A46" s="41" t="inlineStr">
        <is>
          <t>Americas net revenue ($000)</t>
        </is>
      </c>
      <c r="B46" s="65" t="n">
        <v>7847044</v>
      </c>
      <c r="C46" s="42">
        <f>B46*(C31+C41+C45)/(B31+B41+B45)</f>
        <v/>
      </c>
      <c r="D46" s="42">
        <f>B46*(D31+D41+D45)/(B31+B41+B45)</f>
        <v/>
      </c>
      <c r="E46" s="42">
        <f>B46*(E31+E41+E45)/(B31+B41+B45)</f>
        <v/>
      </c>
      <c r="F46" s="42">
        <f>B46*(F31+F41+F45)/(B31+B41+B45)</f>
        <v/>
      </c>
      <c r="G46" s="42">
        <f>B46*(G31+G41+G45)/(B31+B41+B45)</f>
        <v/>
      </c>
      <c r="H46" s="58" t="inlineStr">
        <is>
          <t>$000</t>
        </is>
      </c>
    </row>
    <row r="47" ht="70" customHeight="1">
      <c r="A47" s="41" t="inlineStr">
        <is>
          <t>China Mainland net revenue ($000)</t>
        </is>
      </c>
      <c r="B47" s="65" t="n">
        <v>1754799</v>
      </c>
      <c r="C47" s="42">
        <f>B47*(C31+C41+C45)/(B31+B41+B45)</f>
        <v/>
      </c>
      <c r="D47" s="42">
        <f>B47*(D31+D41+D45)/(B31+B41+B45)</f>
        <v/>
      </c>
      <c r="E47" s="42">
        <f>B47*(E31+E41+E45)/(B31+B41+B45)</f>
        <v/>
      </c>
      <c r="F47" s="42">
        <f>B47*(F31+F41+F45)/(B31+B41+B45)</f>
        <v/>
      </c>
      <c r="G47" s="42">
        <f>B47*(G31+G41+G45)/(B31+B41+B45)</f>
        <v/>
      </c>
      <c r="H47" s="58" t="inlineStr">
        <is>
          <t>$000</t>
        </is>
      </c>
    </row>
    <row r="48" ht="70" customHeight="1">
      <c r="A48" s="41" t="inlineStr">
        <is>
          <t>Rest of World net revenue ($000)</t>
        </is>
      </c>
      <c r="B48" s="65" t="n">
        <v>1500757</v>
      </c>
      <c r="C48" s="42">
        <f>B48*(C31+C41+C45)/(B31+B41+B45)</f>
        <v/>
      </c>
      <c r="D48" s="42">
        <f>B48*(D31+D41+D45)/(B31+B41+B45)</f>
        <v/>
      </c>
      <c r="E48" s="42">
        <f>B48*(E31+E41+E45)/(B31+B41+B45)</f>
        <v/>
      </c>
      <c r="F48" s="42">
        <f>B48*(F31+F41+F45)/(B31+B41+B45)</f>
        <v/>
      </c>
      <c r="G48" s="42">
        <f>B48*(G31+G41+G45)/(B31+B41+B45)</f>
        <v/>
      </c>
      <c r="H48" s="58" t="inlineStr">
        <is>
          <t>$000</t>
        </is>
      </c>
    </row>
    <row r="49" ht="28" customHeight="1">
      <c r="A49" s="41" t="inlineStr">
        <is>
          <t>Women's % of revenue</t>
        </is>
      </c>
      <c r="B49" s="64" t="n">
        <v>0.63</v>
      </c>
      <c r="C49" s="64" t="n">
        <v>0.62</v>
      </c>
      <c r="D49" s="64" t="n">
        <v>0.615</v>
      </c>
      <c r="E49" s="64" t="n">
        <v>0.61</v>
      </c>
      <c r="F49" s="64" t="n">
        <v>0.605</v>
      </c>
      <c r="G49" s="64" t="n">
        <v>0.6</v>
      </c>
    </row>
    <row r="50" ht="28" customHeight="1">
      <c r="A50" s="41" t="inlineStr">
        <is>
          <t>Men's % of revenue</t>
        </is>
      </c>
      <c r="B50" s="64" t="n">
        <v>0.24</v>
      </c>
      <c r="C50" s="64" t="n">
        <v>0.25</v>
      </c>
      <c r="D50" s="64" t="n">
        <v>0.255</v>
      </c>
      <c r="E50" s="64" t="n">
        <v>0.26</v>
      </c>
      <c r="F50" s="64" t="n">
        <v>0.265</v>
      </c>
      <c r="G50" s="64" t="n">
        <v>0.27</v>
      </c>
    </row>
    <row r="51" ht="28" customHeight="1">
      <c r="A51" s="41" t="inlineStr">
        <is>
          <t>Accessories &amp; other % of revenue</t>
        </is>
      </c>
      <c r="B51" s="64" t="n">
        <v>0.13</v>
      </c>
      <c r="C51" s="64" t="n">
        <v>0.13</v>
      </c>
      <c r="D51" s="64" t="n">
        <v>0.13</v>
      </c>
      <c r="E51" s="64" t="n">
        <v>0.13</v>
      </c>
      <c r="F51" s="64" t="n">
        <v>0.13</v>
      </c>
      <c r="G51" s="64" t="n">
        <v>0.13</v>
      </c>
    </row>
    <row r="52"/>
    <row r="53">
      <c r="A53" s="52" t="inlineStr">
        <is>
          <t>V. CONSOLIDATED REVENUE &amp; RECONCILIATION</t>
        </is>
      </c>
    </row>
    <row r="54">
      <c r="A54" s="53" t="inlineStr">
        <is>
          <t>Driver</t>
        </is>
      </c>
      <c r="B54" s="54" t="inlineStr">
        <is>
          <t>FY2025A</t>
        </is>
      </c>
      <c r="C54" s="55" t="inlineStr">
        <is>
          <t>FY2026E</t>
        </is>
      </c>
      <c r="D54" s="54" t="inlineStr">
        <is>
          <t>FY2027E</t>
        </is>
      </c>
      <c r="E54" s="54" t="inlineStr">
        <is>
          <t>FY2028E</t>
        </is>
      </c>
      <c r="F54" s="54" t="inlineStr">
        <is>
          <t>FY2029E</t>
        </is>
      </c>
      <c r="G54" s="54" t="inlineStr">
        <is>
          <t>FY2030E</t>
        </is>
      </c>
      <c r="H54" s="54" t="inlineStr">
        <is>
          <t>Units</t>
        </is>
      </c>
    </row>
    <row r="55" ht="28" customHeight="1">
      <c r="A55" s="68" t="inlineStr">
        <is>
          <t>Bottom-up total revenue ($000)</t>
        </is>
      </c>
      <c r="B55" s="69" t="n">
        <v>11102600</v>
      </c>
      <c r="C55" s="70">
        <f>C31+C41+C45</f>
        <v/>
      </c>
      <c r="D55" s="70">
        <f>D31+D41+D45</f>
        <v/>
      </c>
      <c r="E55" s="70">
        <f>E31+E41+E45</f>
        <v/>
      </c>
      <c r="F55" s="70">
        <f>F31+F41+F45</f>
        <v/>
      </c>
      <c r="G55" s="70">
        <f>G31+G41+G45</f>
        <v/>
      </c>
    </row>
    <row r="56" ht="28" customHeight="1">
      <c r="A56" s="41" t="inlineStr">
        <is>
          <t>Scenarios base-case revenue ($000)</t>
        </is>
      </c>
      <c r="B56" s="65" t="n">
        <v>11102600</v>
      </c>
      <c r="C56" s="42">
        <f>Scenarios!D25</f>
        <v/>
      </c>
      <c r="D56" s="42">
        <f>Scenarios!D26</f>
        <v/>
      </c>
      <c r="E56" s="42">
        <f>Scenarios!D27</f>
        <v/>
      </c>
      <c r="F56" s="42">
        <f>Scenarios!D28</f>
        <v/>
      </c>
      <c r="G56" s="42">
        <f>Scenarios!D29</f>
        <v/>
      </c>
    </row>
    <row r="57" ht="28" customHeight="1">
      <c r="A57" s="41" t="inlineStr">
        <is>
          <t>Variance (bottom-up − scenarios) ($000)</t>
        </is>
      </c>
      <c r="B57" s="42">
        <f>B55-B56</f>
        <v/>
      </c>
      <c r="C57" s="42">
        <f>C55-C56</f>
        <v/>
      </c>
      <c r="D57" s="42">
        <f>D55-D56</f>
        <v/>
      </c>
      <c r="E57" s="42">
        <f>E55-E56</f>
        <v/>
      </c>
      <c r="F57" s="42">
        <f>F55-F56</f>
        <v/>
      </c>
      <c r="G57" s="42">
        <f>G55-G56</f>
        <v/>
      </c>
    </row>
    <row r="58" ht="28" customHeight="1">
      <c r="A58" s="41" t="inlineStr">
        <is>
          <t>Variance (%)</t>
        </is>
      </c>
      <c r="B58" s="43">
        <f>IF(B56=0,"",B57/B56)</f>
        <v/>
      </c>
      <c r="C58" s="43">
        <f>IF(C56=0,"",C57/C56)</f>
        <v/>
      </c>
      <c r="D58" s="43">
        <f>IF(D56=0,"",D57/D56)</f>
        <v/>
      </c>
      <c r="E58" s="43">
        <f>IF(E56=0,"",E57/E56)</f>
        <v/>
      </c>
      <c r="F58" s="43">
        <f>IF(F56=0,"",F57/F56)</f>
        <v/>
      </c>
      <c r="G58" s="43">
        <f>IF(G56=0,"",G57/G56)</f>
        <v/>
      </c>
    </row>
    <row r="59">
      <c r="A59" s="26" t="inlineStr">
        <is>
          <t>Note: DCF / Scenarios consolidated revenue is the valuation anchor — drivers do not feed the DCF. A small variance vs Scenarios means the bottom-up path still hangs together, so the Scenarios case stays viable. Bigger gaps = revisit drivers or Scenarios assumptions.</t>
        </is>
      </c>
    </row>
  </sheetData>
  <hyperlinks>
    <hyperlink xmlns:r="http://schemas.openxmlformats.org/officeDocument/2006/relationships" ref="B18" r:id="rId1"/>
    <hyperlink xmlns:r="http://schemas.openxmlformats.org/officeDocument/2006/relationships" ref="B28" r:id="rId2"/>
    <hyperlink xmlns:r="http://schemas.openxmlformats.org/officeDocument/2006/relationships" ref="B31" r:id="rId3"/>
    <hyperlink xmlns:r="http://schemas.openxmlformats.org/officeDocument/2006/relationships" ref="B41" r:id="rId4"/>
    <hyperlink xmlns:r="http://schemas.openxmlformats.org/officeDocument/2006/relationships" ref="B45" r:id="rId5"/>
    <hyperlink xmlns:r="http://schemas.openxmlformats.org/officeDocument/2006/relationships" ref="B46" r:id="rId6"/>
    <hyperlink xmlns:r="http://schemas.openxmlformats.org/officeDocument/2006/relationships" ref="B47" r:id="rId7"/>
    <hyperlink xmlns:r="http://schemas.openxmlformats.org/officeDocument/2006/relationships" ref="B48" r:id="rId8"/>
    <hyperlink xmlns:r="http://schemas.openxmlformats.org/officeDocument/2006/relationships" ref="B55" r:id="rId9"/>
    <hyperlink xmlns:r="http://schemas.openxmlformats.org/officeDocument/2006/relationships" ref="B56" r:id="rId10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applyStyles="1" summaryBelow="1" summaryRight="1"/>
    <pageSetUpPr/>
  </sheetPr>
  <dimension ref="A1:G52"/>
  <sheetViews>
    <sheetView showGridLines="0" showOutlineSymbols="1" workbookViewId="0">
      <selection pane="topRight" activeCell="B3" sqref="B3"/>
      <selection pane="bottomLeft" activeCell="A1" sqref="A1"/>
      <selection pane="bottomRight" activeCell="A1" sqref="A1"/>
    </sheetView>
  </sheetViews>
  <sheetFormatPr baseColWidth="8" defaultRowHeight="15"/>
  <cols>
    <col width="52" customWidth="1" min="1" max="1"/>
    <col outlineLevel="1" width="22" customWidth="1" min="2" max="2"/>
    <col outlineLevel="1" width="28" customWidth="1" min="3" max="3"/>
    <col outlineLevel="1" width="28" customWidth="1" min="4" max="4"/>
    <col width="12" customWidth="1" min="5" max="5"/>
    <col width="14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>
      <c r="A1" s="12" t="inlineStr">
        <is>
          <t>NOPAT NORMALIZATION PIPELINE (BASE CASE)</t>
        </is>
      </c>
      <c r="B1" s="13" t="n"/>
      <c r="C1" s="13" t="n"/>
      <c r="D1" s="13" t="n"/>
      <c r="E1" s="13" t="n"/>
      <c r="F1" s="13" t="n"/>
      <c r="G1" s="13" t="n"/>
    </row>
    <row r="2">
      <c r="B2" s="71" t="inlineStr">
        <is>
          <t>FY2025A</t>
        </is>
      </c>
      <c r="C2" s="72" t="inlineStr">
        <is>
          <t>FY2026E</t>
        </is>
      </c>
      <c r="D2" s="72" t="inlineStr">
        <is>
          <t>FY2027E</t>
        </is>
      </c>
      <c r="E2" s="72" t="inlineStr">
        <is>
          <t>FY2028E</t>
        </is>
      </c>
      <c r="F2" s="72" t="inlineStr">
        <is>
          <t>FY2029E</t>
        </is>
      </c>
      <c r="G2" s="72" t="inlineStr">
        <is>
          <t>FY2030E</t>
        </is>
      </c>
    </row>
    <row r="3">
      <c r="A3" s="52" t="inlineStr">
        <is>
          <t>Reported EBIT → Normalized NOPAT</t>
        </is>
      </c>
    </row>
    <row r="4">
      <c r="A4" s="26" t="n"/>
    </row>
    <row r="5"/>
    <row r="6">
      <c r="A6" s="52" t="inlineStr">
        <is>
          <t>Driver assumptions</t>
        </is>
      </c>
    </row>
    <row r="7" ht="42" customHeight="1">
      <c r="A7" s="16" t="inlineStr">
        <is>
          <t>SBC add-back flag (0 = expensed)</t>
        </is>
      </c>
      <c r="B7" s="40" t="n">
        <v>0</v>
      </c>
      <c r="C7" s="40" t="n">
        <v>0</v>
      </c>
      <c r="D7" s="40" t="n">
        <v>0</v>
      </c>
      <c r="E7" s="40" t="n">
        <v>0</v>
      </c>
      <c r="F7" s="40" t="n">
        <v>0</v>
      </c>
      <c r="G7" s="40" t="n">
        <v>0</v>
      </c>
    </row>
    <row r="8">
      <c r="A8" s="26" t="inlineStr">
        <is>
          <t>Forecast NOPAT uses Scenarios EBIT with SBC expensed. DCF implied value uses basic shares (111.4M).</t>
        </is>
      </c>
    </row>
    <row r="9" ht="70" customHeight="1">
      <c r="A9" s="16" t="inlineStr">
        <is>
          <t>Store-channel EBIT margin %</t>
        </is>
      </c>
      <c r="B9" s="20" t="n">
        <v>0.186</v>
      </c>
      <c r="C9" s="20" t="n">
        <v>0.186</v>
      </c>
      <c r="D9" s="20" t="n">
        <v>0.186</v>
      </c>
      <c r="E9" s="20" t="n">
        <v>0.186</v>
      </c>
      <c r="F9" s="20" t="n">
        <v>0.186</v>
      </c>
      <c r="G9" s="20" t="n">
        <v>0.186</v>
      </c>
    </row>
    <row r="10" ht="70" customHeight="1">
      <c r="A10" s="16" t="inlineStr">
        <is>
          <t>E-commerce EBIT margin %</t>
        </is>
      </c>
      <c r="B10" s="20" t="n">
        <v>0.236</v>
      </c>
      <c r="C10" s="20" t="n">
        <v>0.236</v>
      </c>
      <c r="D10" s="20" t="n">
        <v>0.236</v>
      </c>
      <c r="E10" s="20" t="n">
        <v>0.236</v>
      </c>
      <c r="F10" s="20" t="n">
        <v>0.236</v>
      </c>
      <c r="G10" s="20" t="n">
        <v>0.236</v>
      </c>
    </row>
    <row r="11" ht="70" customHeight="1">
      <c r="A11" s="16" t="inlineStr">
        <is>
          <t>Other-channels EBIT margin %</t>
        </is>
      </c>
      <c r="B11" s="20" t="n">
        <v>0.091</v>
      </c>
      <c r="C11" s="20" t="n">
        <v>0.091</v>
      </c>
      <c r="D11" s="20" t="n">
        <v>0.091</v>
      </c>
      <c r="E11" s="20" t="n">
        <v>0.091</v>
      </c>
      <c r="F11" s="20" t="n">
        <v>0.091</v>
      </c>
      <c r="G11" s="20" t="n">
        <v>0.091</v>
      </c>
    </row>
    <row r="12" ht="28" customHeight="1">
      <c r="A12" s="16" t="inlineStr">
        <is>
          <t>Terminal marginal tax rate</t>
        </is>
      </c>
      <c r="B12" s="20" t="n">
        <v>0.3</v>
      </c>
      <c r="C12" s="20" t="n">
        <v>0.3</v>
      </c>
      <c r="D12" s="20" t="n">
        <v>0.3</v>
      </c>
      <c r="E12" s="20" t="n">
        <v>0.3</v>
      </c>
      <c r="F12" s="20" t="n">
        <v>0.3</v>
      </c>
      <c r="G12" s="20" t="n">
        <v>0.3</v>
      </c>
    </row>
    <row r="13" ht="28" customHeight="1">
      <c r="A13" s="16" t="inlineStr">
        <is>
          <t>R&amp;D / software amortization period (years)</t>
        </is>
      </c>
      <c r="B13" s="40" t="n">
        <v>4</v>
      </c>
      <c r="C13" s="40" t="n">
        <v>4</v>
      </c>
      <c r="D13" s="40" t="n">
        <v>4</v>
      </c>
      <c r="E13" s="40" t="n">
        <v>4</v>
      </c>
      <c r="F13" s="40" t="n">
        <v>4</v>
      </c>
      <c r="G13" s="40" t="n">
        <v>4</v>
      </c>
    </row>
    <row r="14"/>
    <row r="15" outlineLevel="1">
      <c r="A15" s="73" t="inlineStr">
        <is>
          <t>EBIT adjustments</t>
        </is>
      </c>
    </row>
    <row r="16" outlineLevel="1" ht="28" customHeight="1">
      <c r="A16" s="16" t="inlineStr">
        <is>
          <t>Reported operating income (EBIT)</t>
        </is>
      </c>
      <c r="B16" s="74" t="n">
        <v>2210615</v>
      </c>
      <c r="C16" s="75">
        <f>Scenarios!D45</f>
        <v/>
      </c>
      <c r="D16" s="75">
        <f>Scenarios!D46</f>
        <v/>
      </c>
      <c r="E16" s="75">
        <f>Scenarios!D47</f>
        <v/>
      </c>
      <c r="F16" s="75">
        <f>Scenarios!D48</f>
        <v/>
      </c>
      <c r="G16" s="75">
        <f>Scenarios!D49</f>
        <v/>
      </c>
    </row>
    <row r="17" outlineLevel="1" ht="28" customHeight="1">
      <c r="A17" s="16" t="inlineStr">
        <is>
          <t>+ Impairment / intangible amortization (add-back)</t>
        </is>
      </c>
      <c r="B17" s="74" t="n">
        <v>6961</v>
      </c>
      <c r="C17" s="75" t="n">
        <v>0</v>
      </c>
      <c r="D17" s="75" t="n">
        <v>0</v>
      </c>
      <c r="E17" s="75" t="n">
        <v>0</v>
      </c>
      <c r="F17" s="75" t="n">
        <v>0</v>
      </c>
      <c r="G17" s="75" t="n">
        <v>0</v>
      </c>
    </row>
    <row r="18" outlineLevel="1" ht="28" customHeight="1">
      <c r="A18" s="16" t="inlineStr">
        <is>
          <t>+ Restructuring costs (add-back)</t>
        </is>
      </c>
      <c r="B18" s="74" t="n">
        <v>0</v>
      </c>
      <c r="C18" s="75" t="n">
        <v>0</v>
      </c>
      <c r="D18" s="75" t="n">
        <v>0</v>
      </c>
      <c r="E18" s="75" t="n">
        <v>0</v>
      </c>
      <c r="F18" s="75" t="n">
        <v>0</v>
      </c>
      <c r="G18" s="75" t="n">
        <v>0</v>
      </c>
    </row>
    <row r="19" outlineLevel="1" ht="28" customHeight="1">
      <c r="A19" s="16" t="inlineStr">
        <is>
          <t>+ Legal / M&amp;A one-offs (add-back)</t>
        </is>
      </c>
      <c r="B19" s="74" t="n">
        <v>0</v>
      </c>
      <c r="C19" s="75" t="n">
        <v>0</v>
      </c>
      <c r="D19" s="75" t="n">
        <v>0</v>
      </c>
      <c r="E19" s="75" t="n">
        <v>0</v>
      </c>
      <c r="F19" s="75" t="n">
        <v>0</v>
      </c>
      <c r="G19" s="75" t="n">
        <v>0</v>
      </c>
    </row>
    <row r="20" outlineLevel="1" ht="42" customHeight="1">
      <c r="A20" s="16" t="inlineStr">
        <is>
          <t>+ Stock-based compensation (add-back only if flag = 1)</t>
        </is>
      </c>
      <c r="B20" s="75">
        <f>62203*$B$7</f>
        <v/>
      </c>
      <c r="C20" s="75">
        <f>Scenarios!D25/11102600*62203*$B$7</f>
        <v/>
      </c>
      <c r="D20" s="75">
        <f>Scenarios!D26/11102600*62203*$B$7</f>
        <v/>
      </c>
      <c r="E20" s="75">
        <f>Scenarios!D27/11102600*62203*$B$7</f>
        <v/>
      </c>
      <c r="F20" s="75">
        <f>Scenarios!D28/11102600*62203*$B$7</f>
        <v/>
      </c>
      <c r="G20" s="75">
        <f>Scenarios!D29/11102600*62203*$B$7</f>
        <v/>
      </c>
    </row>
    <row r="21" outlineLevel="1" ht="28" customHeight="1">
      <c r="A21" s="23">
        <f> Adjusted EBIT (Phase 1)</f>
        <v/>
      </c>
      <c r="C21" s="25">
        <f>C16+C17+C18+C19+C20</f>
        <v/>
      </c>
      <c r="D21" s="25">
        <f>D16+D17+D18+D19+D20</f>
        <v/>
      </c>
      <c r="E21" s="25">
        <f>E16+E17+E18+E19+E20</f>
        <v/>
      </c>
      <c r="F21" s="25">
        <f>F16+F17+F18+F19+F20</f>
        <v/>
      </c>
      <c r="G21" s="25">
        <f>G16+G17+G18+G19+G20</f>
        <v/>
      </c>
    </row>
    <row r="22" outlineLevel="1">
      <c r="A22" s="73" t="inlineStr">
        <is>
          <t>Lease &amp; capitalization</t>
        </is>
      </c>
    </row>
    <row r="23" outlineLevel="1" ht="42" customHeight="1">
      <c r="A23" s="16" t="inlineStr">
        <is>
          <t>+ Implied lease interest expense (reclass from rent)</t>
        </is>
      </c>
      <c r="B23" s="74" t="n">
        <v>1028</v>
      </c>
      <c r="C23" s="75">
        <f>1028*(Scenarios!D25/11102600)</f>
        <v/>
      </c>
      <c r="D23" s="75">
        <f>1028*(Scenarios!D26/11102600)</f>
        <v/>
      </c>
      <c r="E23" s="75">
        <f>1028*(Scenarios!D27/11102600)</f>
        <v/>
      </c>
      <c r="F23" s="75">
        <f>1028*(Scenarios!D28/11102600)</f>
        <v/>
      </c>
      <c r="G23" s="75">
        <f>1028*(Scenarios!D29/11102600)</f>
        <v/>
      </c>
    </row>
    <row r="24" outlineLevel="1" ht="28" customHeight="1">
      <c r="A24" s="16" t="inlineStr">
        <is>
          <t>+ Capitalize R&amp;D / software (current-year expense)</t>
        </is>
      </c>
      <c r="B24" s="74" t="n">
        <v>0</v>
      </c>
      <c r="C24" s="75" t="n">
        <v>0</v>
      </c>
      <c r="D24" s="75" t="n">
        <v>0</v>
      </c>
      <c r="E24" s="75" t="n">
        <v>0</v>
      </c>
      <c r="F24" s="75" t="n">
        <v>0</v>
      </c>
      <c r="G24" s="75" t="n">
        <v>0</v>
      </c>
    </row>
    <row r="25" outlineLevel="1" ht="28" customHeight="1">
      <c r="A25" s="16" t="inlineStr">
        <is>
          <t>− Amortization of prior capitalized intangibles</t>
        </is>
      </c>
      <c r="B25" s="74" t="n">
        <v>6961</v>
      </c>
      <c r="C25" s="75" t="n">
        <v>0</v>
      </c>
      <c r="D25" s="75" t="n">
        <v>0</v>
      </c>
      <c r="E25" s="75" t="n">
        <v>0</v>
      </c>
      <c r="F25" s="75" t="n">
        <v>0</v>
      </c>
      <c r="G25" s="75" t="n">
        <v>0</v>
      </c>
    </row>
    <row r="26" outlineLevel="1" ht="28" customHeight="1">
      <c r="A26" s="23">
        <f> EBIT after lease &amp; capitalization (Phase 2)</f>
        <v/>
      </c>
      <c r="C26" s="25">
        <f>C21+C23+C24-C25</f>
        <v/>
      </c>
      <c r="D26" s="25">
        <f>D21+D23+D24-D25</f>
        <v/>
      </c>
      <c r="E26" s="25">
        <f>E21+E23+E24-E25</f>
        <v/>
      </c>
      <c r="F26" s="25">
        <f>F21+F23+F24-F25</f>
        <v/>
      </c>
      <c r="G26" s="25">
        <f>G21+G23+G24-G25</f>
        <v/>
      </c>
    </row>
    <row r="27" outlineLevel="1">
      <c r="A27" s="73" t="inlineStr">
        <is>
          <t>Segment EBIT bridge</t>
        </is>
      </c>
    </row>
    <row r="28" outlineLevel="1" ht="28" customHeight="1">
      <c r="A28" s="16" t="inlineStr">
        <is>
          <t>Store-channel revenue</t>
        </is>
      </c>
      <c r="B28" s="74" t="n">
        <v>5049744</v>
      </c>
      <c r="C28" s="75">
        <f>'Revenue Drivers'!F31</f>
        <v/>
      </c>
      <c r="D28" s="75">
        <f>'Revenue Drivers'!G31</f>
        <v/>
      </c>
      <c r="E28" s="75">
        <f>'Revenue Drivers'!H31</f>
        <v/>
      </c>
      <c r="F28" s="75">
        <f>'Revenue Drivers'!I31</f>
        <v/>
      </c>
      <c r="G28" s="75">
        <f>'Revenue Drivers'!J31</f>
        <v/>
      </c>
    </row>
    <row r="29" outlineLevel="1" ht="28" customHeight="1">
      <c r="A29" s="16" t="inlineStr">
        <is>
          <t>E-commerce revenue</t>
        </is>
      </c>
      <c r="B29" s="74" t="n">
        <v>4918697</v>
      </c>
      <c r="C29" s="75">
        <f>'Revenue Drivers'!F41</f>
        <v/>
      </c>
      <c r="D29" s="75">
        <f>'Revenue Drivers'!G41</f>
        <v/>
      </c>
      <c r="E29" s="75">
        <f>'Revenue Drivers'!H41</f>
        <v/>
      </c>
      <c r="F29" s="75">
        <f>'Revenue Drivers'!I41</f>
        <v/>
      </c>
      <c r="G29" s="75">
        <f>'Revenue Drivers'!J41</f>
        <v/>
      </c>
    </row>
    <row r="30" outlineLevel="1" ht="28" customHeight="1">
      <c r="A30" s="16" t="inlineStr">
        <is>
          <t>Other channels revenue</t>
        </is>
      </c>
      <c r="B30" s="74" t="n">
        <v>1134159</v>
      </c>
      <c r="C30" s="75">
        <f>'Revenue Drivers'!F45</f>
        <v/>
      </c>
      <c r="D30" s="75">
        <f>'Revenue Drivers'!G45</f>
        <v/>
      </c>
      <c r="E30" s="75">
        <f>'Revenue Drivers'!H45</f>
        <v/>
      </c>
      <c r="F30" s="75">
        <f>'Revenue Drivers'!I45</f>
        <v/>
      </c>
      <c r="G30" s="75">
        <f>'Revenue Drivers'!J45</f>
        <v/>
      </c>
    </row>
    <row r="31" outlineLevel="1" ht="70" customHeight="1">
      <c r="A31" s="16" t="inlineStr">
        <is>
          <t>Store-channel EBIT (= Rev × store margin)</t>
        </is>
      </c>
      <c r="B31" s="75" t="n">
        <v>939252.384</v>
      </c>
      <c r="C31" s="75">
        <f>C28*B$9</f>
        <v/>
      </c>
      <c r="D31" s="75">
        <f>D28*B$9</f>
        <v/>
      </c>
      <c r="E31" s="75">
        <f>E28*B$9</f>
        <v/>
      </c>
      <c r="F31" s="75">
        <f>F28*B$9</f>
        <v/>
      </c>
      <c r="G31" s="75">
        <f>G28*B$9</f>
        <v/>
      </c>
    </row>
    <row r="32" outlineLevel="1" ht="70" customHeight="1">
      <c r="A32" s="16" t="inlineStr">
        <is>
          <t>E-commerce EBIT (= Rev × e-comm margin)</t>
        </is>
      </c>
      <c r="B32" s="75" t="n">
        <v>1160812.492</v>
      </c>
      <c r="C32" s="75">
        <f>C29*B$10</f>
        <v/>
      </c>
      <c r="D32" s="75">
        <f>D29*B$10</f>
        <v/>
      </c>
      <c r="E32" s="75">
        <f>E29*B$10</f>
        <v/>
      </c>
      <c r="F32" s="75">
        <f>F29*B$10</f>
        <v/>
      </c>
      <c r="G32" s="75">
        <f>G29*B$10</f>
        <v/>
      </c>
    </row>
    <row r="33" outlineLevel="1" ht="56" customHeight="1">
      <c r="A33" s="16" t="inlineStr">
        <is>
          <t>Other-channels EBIT (= Rev × other margin)</t>
        </is>
      </c>
      <c r="B33" s="75" t="n">
        <v>103208.469</v>
      </c>
      <c r="C33" s="75">
        <f>C30*B$11</f>
        <v/>
      </c>
      <c r="D33" s="75">
        <f>D30*B$11</f>
        <v/>
      </c>
      <c r="E33" s="75">
        <f>E30*B$11</f>
        <v/>
      </c>
      <c r="F33" s="75">
        <f>F30*B$11</f>
        <v/>
      </c>
      <c r="G33" s="75">
        <f>G30*B$11</f>
        <v/>
      </c>
    </row>
    <row r="34" outlineLevel="1" ht="28" customHeight="1">
      <c r="A34" s="23" t="inlineStr">
        <is>
          <t>Channel EBIT (sum of sector EBIT)</t>
        </is>
      </c>
      <c r="C34" s="70">
        <f>C31+C32+C33+Scenarios!D7</f>
        <v/>
      </c>
      <c r="D34" s="70">
        <f>D31+D32+D33</f>
        <v/>
      </c>
      <c r="E34" s="70">
        <f>E31+E32+E33</f>
        <v/>
      </c>
      <c r="F34" s="70">
        <f>F31+F32+F33</f>
        <v/>
      </c>
      <c r="G34" s="70">
        <f>G31+G32+G33</f>
        <v/>
      </c>
    </row>
    <row r="35" outlineLevel="1" ht="28" customHeight="1">
      <c r="A35" s="23">
        <f> EBIT after channel mix (Phase 3)</f>
        <v/>
      </c>
      <c r="B35" s="76" t="n">
        <v>2203273.345</v>
      </c>
      <c r="C35" s="25">
        <f>C34</f>
        <v/>
      </c>
      <c r="D35" s="25">
        <f>D34</f>
        <v/>
      </c>
      <c r="E35" s="25">
        <f>E34</f>
        <v/>
      </c>
      <c r="F35" s="25">
        <f>F34</f>
        <v/>
      </c>
      <c r="G35" s="25">
        <f>G34</f>
        <v/>
      </c>
    </row>
    <row r="36" outlineLevel="1" ht="28" customHeight="1">
      <c r="A36" s="23">
        <f> Normalized EBIT (tax base for NOPAT)</f>
        <v/>
      </c>
      <c r="B36" s="25">
        <f>B21+B23+B24-B25</f>
        <v/>
      </c>
      <c r="C36" s="25">
        <f>Scenarios!D45</f>
        <v/>
      </c>
      <c r="D36" s="25">
        <f>Scenarios!D46</f>
        <v/>
      </c>
      <c r="E36" s="25">
        <f>Scenarios!D47</f>
        <v/>
      </c>
      <c r="F36" s="25">
        <f>Scenarios!D48</f>
        <v/>
      </c>
      <c r="G36" s="25">
        <f>Scenarios!D49</f>
        <v/>
      </c>
    </row>
    <row r="37" outlineLevel="1">
      <c r="A37" s="16" t="inlineStr">
        <is>
          <t>Check vs Scenarios EBIT (base case)</t>
        </is>
      </c>
      <c r="C37" s="75">
        <f>C36-Scenarios!D45</f>
        <v/>
      </c>
      <c r="D37" s="75">
        <f>D36-Scenarios!D46</f>
        <v/>
      </c>
      <c r="E37" s="75">
        <f>E36-Scenarios!D47</f>
        <v/>
      </c>
      <c r="F37" s="75">
        <f>F36-Scenarios!D48</f>
        <v/>
      </c>
      <c r="G37" s="75">
        <f>G36-Scenarios!D49</f>
        <v/>
      </c>
    </row>
    <row r="38" outlineLevel="1">
      <c r="A38" s="73" t="inlineStr">
        <is>
          <t>Tax normalization</t>
        </is>
      </c>
    </row>
    <row r="39" outlineLevel="1" ht="70" customHeight="1">
      <c r="A39" s="16" t="inlineStr">
        <is>
          <t>Operating effective tax rate (t_operating)</t>
        </is>
      </c>
      <c r="B39" s="77" t="n">
        <v>0.2946847649213503</v>
      </c>
      <c r="C39" s="32">
        <f>0.29468476492135026+(C$12-0.29468476492135026)*1/5</f>
        <v/>
      </c>
      <c r="D39" s="32">
        <f>0.29468476492135026+(D$12-0.29468476492135026)*2/5</f>
        <v/>
      </c>
      <c r="E39" s="32">
        <f>0.29468476492135026+(E$12-0.29468476492135026)*3/5</f>
        <v/>
      </c>
      <c r="F39" s="32">
        <f>0.29468476492135026+(F$12-0.29468476492135026)*4/5</f>
        <v/>
      </c>
      <c r="G39" s="32">
        <f>0.29468476492135026+(G$12-0.29468476492135026)*5/5</f>
        <v/>
      </c>
    </row>
    <row r="40" outlineLevel="1" ht="28" customHeight="1">
      <c r="A40" s="16" t="inlineStr">
        <is>
          <t>Unlevered tax on normalized EBIT</t>
        </is>
      </c>
      <c r="C40" s="75">
        <f>C36*C39</f>
        <v/>
      </c>
      <c r="D40" s="75">
        <f>D36*D39</f>
        <v/>
      </c>
      <c r="E40" s="75">
        <f>E36*E39</f>
        <v/>
      </c>
      <c r="F40" s="75">
        <f>F36*F39</f>
        <v/>
      </c>
      <c r="G40" s="75">
        <f>G36*G39</f>
        <v/>
      </c>
    </row>
    <row r="41" outlineLevel="1" ht="28" customHeight="1">
      <c r="A41" s="23" t="inlineStr">
        <is>
          <t>NORMALIZED NOPAT</t>
        </is>
      </c>
      <c r="C41" s="25">
        <f>C36-C40</f>
        <v/>
      </c>
      <c r="D41" s="25">
        <f>D36-D40</f>
        <v/>
      </c>
      <c r="E41" s="25">
        <f>E36-E40</f>
        <v/>
      </c>
      <c r="F41" s="25">
        <f>F36-F40</f>
        <v/>
      </c>
      <c r="G41" s="25">
        <f>G36-G40</f>
        <v/>
      </c>
    </row>
    <row r="42"/>
    <row r="43">
      <c r="A43" s="73" t="inlineStr">
        <is>
          <t>Reconciliation (execution steps)</t>
        </is>
      </c>
    </row>
    <row r="44">
      <c r="C44" s="78" t="inlineStr">
        <is>
          <t>Output</t>
        </is>
      </c>
    </row>
    <row r="45">
      <c r="A45" s="61" t="inlineStr">
        <is>
          <t>1. Clean base</t>
        </is>
      </c>
      <c r="C45" s="80" t="inlineStr">
        <is>
          <t>Adjusted EBIT</t>
        </is>
      </c>
    </row>
    <row r="46">
      <c r="A46" s="61" t="inlineStr">
        <is>
          <t>2. Capitalize R&amp;D</t>
        </is>
      </c>
      <c r="C46" s="80" t="inlineStr">
        <is>
          <t>EBIT_capitalized</t>
        </is>
      </c>
    </row>
    <row r="47">
      <c r="A47" s="61" t="inlineStr">
        <is>
          <t>3. Lease shift</t>
        </is>
      </c>
      <c r="C47" s="80" t="inlineStr">
        <is>
          <t>EBIT_lease-adj</t>
        </is>
      </c>
    </row>
    <row r="48">
      <c r="A48" s="61" t="inlineStr">
        <is>
          <t>4. Segment mix</t>
        </is>
      </c>
      <c r="C48" s="80" t="inlineStr">
        <is>
          <t>Forecast EBIT</t>
        </is>
      </c>
    </row>
    <row r="49">
      <c r="A49" s="61" t="inlineStr">
        <is>
          <t>5. NOPAT bridge</t>
        </is>
      </c>
      <c r="C49" s="80" t="inlineStr">
        <is>
          <t>Normalized NOPAT</t>
        </is>
      </c>
    </row>
    <row r="50">
      <c r="A50" s="61" t="inlineStr">
        <is>
          <t>6. Tariff refund (Scenarios)</t>
        </is>
      </c>
      <c r="C50" s="80" t="inlineStr">
        <is>
          <t>Scenarios EBIT (FY26)</t>
        </is>
      </c>
    </row>
    <row r="51">
      <c r="A51" s="26" t="inlineStr">
        <is>
          <t>Steps 1–4: DCF unchanged on FY26. Step 5 changes NOPAT only (tax). Step 6 changes FY26 EBIT (+ tariff).</t>
        </is>
      </c>
    </row>
    <row r="52">
      <c r="A52" s="26" t="inlineStr">
        <is>
          <t>Scenarios base-case NOPAT (col G) links to NORMALIZED NOPAT above. Bear/bull apply the same t_operating to their EBIT paths.</t>
        </is>
      </c>
    </row>
  </sheetData>
  <hyperlinks>
    <hyperlink xmlns:r="http://schemas.openxmlformats.org/officeDocument/2006/relationships" ref="E16" r:id="rId1"/>
    <hyperlink xmlns:r="http://schemas.openxmlformats.org/officeDocument/2006/relationships" ref="E17" r:id="rId2"/>
    <hyperlink xmlns:r="http://schemas.openxmlformats.org/officeDocument/2006/relationships" ref="E18" r:id="rId3"/>
    <hyperlink xmlns:r="http://schemas.openxmlformats.org/officeDocument/2006/relationships" ref="E19" r:id="rId4"/>
    <hyperlink xmlns:r="http://schemas.openxmlformats.org/officeDocument/2006/relationships" ref="E23" r:id="rId5"/>
    <hyperlink xmlns:r="http://schemas.openxmlformats.org/officeDocument/2006/relationships" ref="E24" r:id="rId6"/>
    <hyperlink xmlns:r="http://schemas.openxmlformats.org/officeDocument/2006/relationships" ref="E25" r:id="rId7"/>
    <hyperlink xmlns:r="http://schemas.openxmlformats.org/officeDocument/2006/relationships" ref="E28" r:id="rId8"/>
    <hyperlink xmlns:r="http://schemas.openxmlformats.org/officeDocument/2006/relationships" ref="E29" r:id="rId9"/>
    <hyperlink xmlns:r="http://schemas.openxmlformats.org/officeDocument/2006/relationships" ref="E30" r:id="rId10"/>
    <hyperlink xmlns:r="http://schemas.openxmlformats.org/officeDocument/2006/relationships" ref="E35" r:id="rId11"/>
    <hyperlink xmlns:r="http://schemas.openxmlformats.org/officeDocument/2006/relationships" ref="E39" r:id="rId12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applyStyles="1" summaryBelow="1" summaryRight="1"/>
    <pageSetUpPr/>
  </sheetPr>
  <dimension ref="A1:H104"/>
  <sheetViews>
    <sheetView showGridLines="0" showOutlineSymbols="1" workbookViewId="0">
      <selection pane="topRight" activeCell="B3" sqref="B3"/>
      <selection pane="bottomLeft" activeCell="A1" sqref="A1"/>
      <selection pane="bottomRight" activeCell="A1" sqref="A1"/>
    </sheetView>
  </sheetViews>
  <sheetFormatPr baseColWidth="8" defaultRowHeight="15"/>
  <cols>
    <col width="48" customWidth="1" min="1" max="1"/>
    <col outlineLevel="1" width="26" customWidth="1" min="2" max="2"/>
    <col outlineLevel="1" width="16" customWidth="1" min="3" max="3"/>
    <col outlineLevel="1" width="36" customWidth="1" min="4" max="4"/>
    <col width="12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8" customWidth="1" min="11" max="11"/>
    <col outlineLevel="1" width="16" customWidth="1" min="12" max="12"/>
    <col outlineLevel="1" width="36" customWidth="1" min="13" max="13"/>
  </cols>
  <sheetData>
    <row r="1" ht="16" customHeight="1">
      <c r="A1" s="12" t="inlineStr">
        <is>
          <t>DISCOUNTED CASH FLOW — BASE CASE (US$ thousands)</t>
        </is>
      </c>
      <c r="B1" s="13" t="n"/>
      <c r="C1" s="13" t="n"/>
      <c r="D1" s="13" t="n"/>
      <c r="E1" s="13" t="n"/>
      <c r="F1" s="13" t="n"/>
      <c r="G1" s="13" t="n"/>
    </row>
    <row r="2">
      <c r="B2" s="71" t="inlineStr">
        <is>
          <t>FY2025A</t>
        </is>
      </c>
      <c r="C2" s="72" t="inlineStr">
        <is>
          <t>FY2026E</t>
        </is>
      </c>
      <c r="D2" s="72" t="inlineStr">
        <is>
          <t>FY2027E</t>
        </is>
      </c>
      <c r="E2" s="72" t="inlineStr">
        <is>
          <t>FY2028E</t>
        </is>
      </c>
      <c r="F2" s="72" t="inlineStr">
        <is>
          <t>FY2029E</t>
        </is>
      </c>
      <c r="G2" s="72" t="inlineStr">
        <is>
          <t>FY2030E</t>
        </is>
      </c>
      <c r="H2" s="81" t="inlineStr">
        <is>
          <t>Δ vs Scenarios</t>
        </is>
      </c>
    </row>
    <row r="3" ht="28" customHeight="1">
      <c r="A3" s="82" t="inlineStr">
        <is>
          <t>Forecast drivers linked to Scenarios tab → Base case (column G)</t>
        </is>
      </c>
      <c r="B3" s="83" t="inlineStr">
        <is>
          <t>10-K</t>
        </is>
      </c>
      <c r="H3" s="84" t="inlineStr">
        <is>
          <t>(should be 0)</t>
        </is>
      </c>
    </row>
    <row r="4" ht="36" customHeight="1">
      <c r="A4" s="38" t="n"/>
    </row>
    <row r="5">
      <c r="A5" s="16" t="inlineStr">
        <is>
          <t>Net revenue</t>
        </is>
      </c>
      <c r="B5" s="74" t="n">
        <v>11102600</v>
      </c>
      <c r="C5" s="75">
        <f>Scenarios!D25</f>
        <v/>
      </c>
      <c r="D5" s="75">
        <f>Scenarios!D26</f>
        <v/>
      </c>
      <c r="E5" s="75">
        <f>Scenarios!D27</f>
        <v/>
      </c>
      <c r="F5" s="75">
        <f>Scenarios!D28</f>
        <v/>
      </c>
      <c r="G5" s="75">
        <f>Scenarios!D29</f>
        <v/>
      </c>
      <c r="H5" s="86">
        <f>IF(MAX(ABS(C5-Scenarios!$D$25),ABS(D5-Scenarios!$D$26),ABS(E5-Scenarios!$D$27),ABS(F5-Scenarios!$D$28),ABS(G5-Scenarios!$D$29))&lt;0.5,"OK","CHECK")</f>
        <v/>
      </c>
    </row>
    <row r="6" ht="42" customHeight="1">
      <c r="A6" s="16" t="inlineStr">
        <is>
          <t>Revenue growth %</t>
        </is>
      </c>
      <c r="C6" s="32">
        <f>C5/B5-1</f>
        <v/>
      </c>
      <c r="D6" s="32">
        <f>D5/C5-1</f>
        <v/>
      </c>
      <c r="E6" s="32">
        <f>E5/D5-1</f>
        <v/>
      </c>
      <c r="F6" s="32">
        <f>F5/E5-1</f>
        <v/>
      </c>
      <c r="G6" s="32">
        <f>G5/F5-1</f>
        <v/>
      </c>
    </row>
    <row r="7" ht="112" customHeight="1">
      <c r="A7" s="16" t="inlineStr">
        <is>
          <t>Gross margin %</t>
        </is>
      </c>
      <c r="B7" s="77" t="n">
        <v>0.566005440167168</v>
      </c>
      <c r="C7" s="20">
        <f>Scenarios!$D$14</f>
        <v/>
      </c>
      <c r="D7" s="20">
        <f>Scenarios!$D$14</f>
        <v/>
      </c>
      <c r="E7" s="20">
        <f>Scenarios!$D$14</f>
        <v/>
      </c>
      <c r="F7" s="20">
        <f>Scenarios!$D$14</f>
        <v/>
      </c>
      <c r="G7" s="20">
        <f>Scenarios!$D$14</f>
        <v/>
      </c>
    </row>
    <row r="8">
      <c r="A8" s="16" t="inlineStr">
        <is>
          <t>Cost of goods sold (COGS)</t>
        </is>
      </c>
      <c r="B8" s="74" t="n">
        <v>4818468</v>
      </c>
      <c r="C8" s="75">
        <f>Scenarios!D35</f>
        <v/>
      </c>
      <c r="D8" s="75">
        <f>Scenarios!D36</f>
        <v/>
      </c>
      <c r="E8" s="75">
        <f>Scenarios!D37</f>
        <v/>
      </c>
      <c r="F8" s="75">
        <f>Scenarios!D38</f>
        <v/>
      </c>
      <c r="G8" s="75">
        <f>Scenarios!D39</f>
        <v/>
      </c>
      <c r="H8" s="86">
        <f>IF(MAX(ABS(C8-Scenarios!$D$35),ABS(D8-Scenarios!$D$36),ABS(E8-Scenarios!$D$37),ABS(F8-Scenarios!$D$38),ABS(G8-Scenarios!$D$39))&lt;0.5,"OK","CHECK")</f>
        <v/>
      </c>
    </row>
    <row r="9" ht="42" customHeight="1">
      <c r="A9" s="16" t="inlineStr">
        <is>
          <t>Clean / run-rate EBIT margin %</t>
        </is>
      </c>
      <c r="C9" s="32">
        <f>Scenarios!D40</f>
        <v/>
      </c>
      <c r="D9" s="32">
        <f>Scenarios!D41</f>
        <v/>
      </c>
      <c r="E9" s="32">
        <f>Scenarios!D42</f>
        <v/>
      </c>
      <c r="F9" s="32">
        <f>Scenarios!D43</f>
        <v/>
      </c>
      <c r="G9" s="32">
        <f>Scenarios!D44</f>
        <v/>
      </c>
      <c r="H9" s="86">
        <f>IF(MAX(ABS(C9-Scenarios!$D$40),ABS(D9-Scenarios!$D$41),ABS(E9-Scenarios!$D$42),ABS(F9-Scenarios!$D$43),ABS(G9-Scenarios!$D$44))&lt;0.0001,"OK","CHECK")</f>
        <v/>
      </c>
    </row>
    <row r="10" ht="28" customHeight="1">
      <c r="A10" s="16" t="inlineStr">
        <is>
          <t>Plus: FY26 IEEPA tariff refunds (one-time)</t>
        </is>
      </c>
      <c r="B10" s="74" t="n">
        <v>0</v>
      </c>
      <c r="C10" s="37">
        <f>Scenarios!$D$7</f>
        <v/>
      </c>
      <c r="D10" s="37" t="n">
        <v>0</v>
      </c>
      <c r="E10" s="37" t="n">
        <v>0</v>
      </c>
      <c r="F10" s="37" t="n">
        <v>0</v>
      </c>
      <c r="G10" s="37" t="n">
        <v>0</v>
      </c>
    </row>
    <row r="11">
      <c r="A11" s="23" t="inlineStr">
        <is>
          <t>EBIT (incl. FY26 refund)</t>
        </is>
      </c>
      <c r="B11" s="76" t="n">
        <v>2210615</v>
      </c>
      <c r="C11" s="25">
        <f>Scenarios!D45</f>
        <v/>
      </c>
      <c r="D11" s="25">
        <f>Scenarios!D46</f>
        <v/>
      </c>
      <c r="E11" s="25">
        <f>Scenarios!D47</f>
        <v/>
      </c>
      <c r="F11" s="25">
        <f>Scenarios!D48</f>
        <v/>
      </c>
      <c r="G11" s="25">
        <f>Scenarios!D49</f>
        <v/>
      </c>
      <c r="H11" s="87">
        <f>IF(MAX(ABS(C11-Scenarios!$D$45),ABS(D11-Scenarios!$D$46),ABS(E11-Scenarios!$D$47),ABS(F11-Scenarios!$D$48),ABS(G11-Scenarios!$D$49))&lt;0.5,"OK","CHECK")</f>
        <v/>
      </c>
    </row>
    <row r="12">
      <c r="A12" s="16" t="inlineStr">
        <is>
          <t>Reported EBIT margin % (incl. FY26 refund)</t>
        </is>
      </c>
      <c r="B12" s="77" t="n">
        <v>0.1991078666258354</v>
      </c>
      <c r="C12" s="32">
        <f>C11/C5</f>
        <v/>
      </c>
      <c r="D12" s="32">
        <f>D11/D5</f>
        <v/>
      </c>
      <c r="E12" s="32">
        <f>E11/E5</f>
        <v/>
      </c>
      <c r="F12" s="32">
        <f>F11/F5</f>
        <v/>
      </c>
      <c r="G12" s="32">
        <f>G11/G5</f>
        <v/>
      </c>
    </row>
    <row r="13">
      <c r="A13" s="16" t="inlineStr">
        <is>
          <t>Less: unlevered tax (t_operating from NOPAT Bridge)</t>
        </is>
      </c>
      <c r="C13" s="75">
        <f>-'NOPAT Bridge'!C40</f>
        <v/>
      </c>
      <c r="D13" s="75">
        <f>-'NOPAT Bridge'!D40</f>
        <v/>
      </c>
      <c r="E13" s="75">
        <f>-'NOPAT Bridge'!E40</f>
        <v/>
      </c>
      <c r="F13" s="75">
        <f>-'NOPAT Bridge'!F40</f>
        <v/>
      </c>
      <c r="G13" s="75">
        <f>-'NOPAT Bridge'!G40</f>
        <v/>
      </c>
    </row>
    <row r="14">
      <c r="A14" s="23" t="inlineStr">
        <is>
          <t>NOPAT</t>
        </is>
      </c>
      <c r="C14" s="25">
        <f>Scenarios!D50</f>
        <v/>
      </c>
      <c r="D14" s="25">
        <f>Scenarios!D51</f>
        <v/>
      </c>
      <c r="E14" s="25">
        <f>Scenarios!D52</f>
        <v/>
      </c>
      <c r="F14" s="25">
        <f>Scenarios!D53</f>
        <v/>
      </c>
      <c r="G14" s="25">
        <f>Scenarios!D54</f>
        <v/>
      </c>
      <c r="H14" s="87">
        <f>IF(MAX(ABS(C14-Scenarios!$D$50),ABS(D14-Scenarios!$D$51),ABS(E14-Scenarios!$D$52),ABS(F14-Scenarios!$D$53),ABS(G14-Scenarios!$D$54))&lt;0.5,"OK","CHECK")</f>
        <v/>
      </c>
    </row>
    <row r="15" ht="28" customHeight="1">
      <c r="A15" s="16" t="inlineStr">
        <is>
          <t>D&amp;A % of revenue</t>
        </is>
      </c>
      <c r="C15" s="20">
        <f>Scenarios!$D$12</f>
        <v/>
      </c>
      <c r="D15" s="20">
        <f>Scenarios!$D$12</f>
        <v/>
      </c>
      <c r="E15" s="20">
        <f>Scenarios!$D$12</f>
        <v/>
      </c>
      <c r="F15" s="20">
        <f>Scenarios!$D$12</f>
        <v/>
      </c>
      <c r="G15" s="20">
        <f>Scenarios!$D$12</f>
        <v/>
      </c>
    </row>
    <row r="16">
      <c r="A16" s="16" t="inlineStr">
        <is>
          <t>Plus: depreciation &amp; amortization</t>
        </is>
      </c>
      <c r="C16" s="75">
        <f>Scenarios!D55</f>
        <v/>
      </c>
      <c r="D16" s="75">
        <f>Scenarios!D56</f>
        <v/>
      </c>
      <c r="E16" s="75">
        <f>Scenarios!D57</f>
        <v/>
      </c>
      <c r="F16" s="75">
        <f>Scenarios!D58</f>
        <v/>
      </c>
      <c r="G16" s="75">
        <f>Scenarios!D59</f>
        <v/>
      </c>
      <c r="H16" s="86">
        <f>IF(MAX(ABS(C16-Scenarios!$D$55),ABS(D16-Scenarios!$D$56),ABS(E16-Scenarios!$D$57),ABS(F16-Scenarios!$D$58),ABS(G16-Scenarios!$D$59))&lt;0.5,"OK","CHECK")</f>
        <v/>
      </c>
    </row>
    <row r="17" ht="150" customHeight="1">
      <c r="A17" s="16" t="inlineStr">
        <is>
          <t>Capex % of revenue</t>
        </is>
      </c>
      <c r="C17" s="20">
        <f>Scenarios!$D$13</f>
        <v/>
      </c>
      <c r="D17" s="20">
        <f>Scenarios!$D$13</f>
        <v/>
      </c>
      <c r="E17" s="20">
        <f>Scenarios!$D$13</f>
        <v/>
      </c>
      <c r="F17" s="20">
        <f>Scenarios!$D$13</f>
        <v/>
      </c>
      <c r="G17" s="20">
        <f>Scenarios!$D$13</f>
        <v/>
      </c>
    </row>
    <row r="18">
      <c r="A18" s="16" t="inlineStr">
        <is>
          <t>Less: capital expenditures</t>
        </is>
      </c>
      <c r="C18" s="75">
        <f>-Scenarios!D60</f>
        <v/>
      </c>
      <c r="D18" s="75">
        <f>-Scenarios!D61</f>
        <v/>
      </c>
      <c r="E18" s="75">
        <f>-Scenarios!D62</f>
        <v/>
      </c>
      <c r="F18" s="75">
        <f>-Scenarios!D63</f>
        <v/>
      </c>
      <c r="G18" s="75">
        <f>-Scenarios!D64</f>
        <v/>
      </c>
      <c r="H18" s="86">
        <f>IF(MAX(ABS(C18+Scenarios!$D$60),ABS(D18+Scenarios!$D$61),ABS(E18+Scenarios!$D$62),ABS(F18+Scenarios!$D$63),ABS(G18+Scenarios!$D$64))&lt;0.5,"OK","CHECK")</f>
        <v/>
      </c>
    </row>
    <row r="19">
      <c r="A19" s="52" t="inlineStr">
        <is>
          <t>Working capital schedule (driver-based) [click − to collapse detail]</t>
        </is>
      </c>
    </row>
    <row r="20" outlineLevel="1" ht="150" customHeight="1">
      <c r="A20" s="16" t="inlineStr">
        <is>
          <t>DSO (days) — flat vs FY25</t>
        </is>
      </c>
      <c r="B20" s="88" t="n">
        <v>6.267883648875038</v>
      </c>
      <c r="C20" s="28">
        <f>Scenarios!D65</f>
        <v/>
      </c>
      <c r="D20" s="28">
        <f>Scenarios!D66</f>
        <v/>
      </c>
      <c r="E20" s="28">
        <f>Scenarios!D67</f>
        <v/>
      </c>
      <c r="F20" s="28">
        <f>Scenarios!D68</f>
        <v/>
      </c>
      <c r="G20" s="28">
        <f>Scenarios!D69</f>
        <v/>
      </c>
      <c r="H20" s="86">
        <f>IF(MAX(ABS(C20-Scenarios!$D$65),ABS(D20-Scenarios!$D$66),ABS(E20-Scenarios!$D$67),ABS(F20-Scenarios!$D$68),ABS(G20-Scenarios!$D$69))&lt;0.5,"OK","CHECK")</f>
        <v/>
      </c>
    </row>
    <row r="21" outlineLevel="1" ht="98" customHeight="1">
      <c r="A21" s="16" t="inlineStr">
        <is>
          <t>Accounts receivable, net</t>
        </is>
      </c>
      <c r="B21" s="74" t="n">
        <v>190657</v>
      </c>
      <c r="C21" s="75">
        <f>Scenarios!D70</f>
        <v/>
      </c>
      <c r="D21" s="75">
        <f>Scenarios!D71</f>
        <v/>
      </c>
      <c r="E21" s="75">
        <f>Scenarios!D72</f>
        <v/>
      </c>
      <c r="F21" s="75">
        <f>Scenarios!D73</f>
        <v/>
      </c>
      <c r="G21" s="75">
        <f>Scenarios!D74</f>
        <v/>
      </c>
      <c r="H21" s="86">
        <f>IF(MAX(ABS(C21-Scenarios!$D$70),ABS(D21-Scenarios!$D$71),ABS(E21-Scenarios!$D$72),ABS(F21-Scenarios!$D$73),ABS(G21-Scenarios!$D$74))&lt;0.5,"OK","CHECK")</f>
        <v/>
      </c>
    </row>
    <row r="22" outlineLevel="1" ht="150" customHeight="1">
      <c r="A22" s="16" t="inlineStr">
        <is>
          <t>DIO (days) — FY25 anchor, −1 day/yr</t>
        </is>
      </c>
      <c r="B22" s="88" t="n">
        <v>128.8324100108167</v>
      </c>
      <c r="C22" s="28">
        <f>Scenarios!D75</f>
        <v/>
      </c>
      <c r="D22" s="28">
        <f>Scenarios!D76</f>
        <v/>
      </c>
      <c r="E22" s="28">
        <f>Scenarios!D77</f>
        <v/>
      </c>
      <c r="F22" s="28">
        <f>Scenarios!D78</f>
        <v/>
      </c>
      <c r="G22" s="28">
        <f>Scenarios!D79</f>
        <v/>
      </c>
      <c r="H22" s="86">
        <f>IF(MAX(ABS(C22-Scenarios!$D$75),ABS(D22-Scenarios!$D$76),ABS(E22-Scenarios!$D$77),ABS(F22-Scenarios!$D$78),ABS(G22-Scenarios!$D$79))&lt;0.5,"OK","CHECK")</f>
        <v/>
      </c>
    </row>
    <row r="23" outlineLevel="1" ht="112" customHeight="1">
      <c r="A23" s="16" t="inlineStr">
        <is>
          <t>Inventories</t>
        </is>
      </c>
      <c r="B23" s="74" t="n">
        <v>1700753</v>
      </c>
      <c r="C23" s="75">
        <f>Scenarios!D80</f>
        <v/>
      </c>
      <c r="D23" s="75">
        <f>Scenarios!D81</f>
        <v/>
      </c>
      <c r="E23" s="75">
        <f>Scenarios!D82</f>
        <v/>
      </c>
      <c r="F23" s="75">
        <f>Scenarios!D83</f>
        <v/>
      </c>
      <c r="G23" s="75">
        <f>Scenarios!D84</f>
        <v/>
      </c>
      <c r="H23" s="86">
        <f>IF(MAX(ABS(C23-Scenarios!$D$80),ABS(D23-Scenarios!$D$81),ABS(E23-Scenarios!$D$82),ABS(F23-Scenarios!$D$83),ABS(G23-Scenarios!$D$84))&lt;0.5,"OK","CHECK")</f>
        <v/>
      </c>
    </row>
    <row r="24" outlineLevel="1" ht="84" customHeight="1">
      <c r="A24" s="16" t="inlineStr">
        <is>
          <t>DPO (days) — flat vs FY25</t>
        </is>
      </c>
      <c r="B24" s="88" t="n">
        <v>25.10521290169407</v>
      </c>
      <c r="C24" s="28">
        <f>Scenarios!D85</f>
        <v/>
      </c>
      <c r="D24" s="28">
        <f>Scenarios!D86</f>
        <v/>
      </c>
      <c r="E24" s="28">
        <f>Scenarios!D87</f>
        <v/>
      </c>
      <c r="F24" s="28">
        <f>Scenarios!D88</f>
        <v/>
      </c>
      <c r="G24" s="28">
        <f>Scenarios!D89</f>
        <v/>
      </c>
      <c r="H24" s="86">
        <f>IF(MAX(ABS(C24-Scenarios!$D$85),ABS(D24-Scenarios!$D$86),ABS(E24-Scenarios!$D$87),ABS(F24-Scenarios!$D$88),ABS(G24-Scenarios!$D$89))&lt;0.5,"OK","CHECK")</f>
        <v/>
      </c>
    </row>
    <row r="25" outlineLevel="1" ht="84" customHeight="1">
      <c r="A25" s="16" t="inlineStr">
        <is>
          <t>Accounts payable</t>
        </is>
      </c>
      <c r="B25" s="74" t="n">
        <v>331421</v>
      </c>
      <c r="C25" s="75">
        <f>Scenarios!D90</f>
        <v/>
      </c>
      <c r="D25" s="75">
        <f>Scenarios!D91</f>
        <v/>
      </c>
      <c r="E25" s="75">
        <f>Scenarios!D92</f>
        <v/>
      </c>
      <c r="F25" s="75">
        <f>Scenarios!D93</f>
        <v/>
      </c>
      <c r="G25" s="75">
        <f>Scenarios!D94</f>
        <v/>
      </c>
      <c r="H25" s="86">
        <f>IF(MAX(ABS(C25-Scenarios!$D$90),ABS(D25-Scenarios!$D$91),ABS(E25-Scenarios!$D$92),ABS(F25-Scenarios!$D$93),ABS(G25-Scenarios!$D$94))&lt;0.5,"OK","CHECK")</f>
        <v/>
      </c>
    </row>
    <row r="26" outlineLevel="1" ht="84" customHeight="1">
      <c r="A26" s="16" t="inlineStr">
        <is>
          <t>Prepaid expenses (% of revenue)</t>
        </is>
      </c>
      <c r="B26" s="77" t="n">
        <v>0.05080692810692991</v>
      </c>
      <c r="C26" s="20">
        <f>Scenarios!$D$19</f>
        <v/>
      </c>
      <c r="D26" s="20">
        <f>Scenarios!$D$19</f>
        <v/>
      </c>
      <c r="E26" s="20">
        <f>Scenarios!$D$19</f>
        <v/>
      </c>
      <c r="F26" s="20">
        <f>Scenarios!$D$19</f>
        <v/>
      </c>
      <c r="G26" s="20">
        <f>Scenarios!$D$19</f>
        <v/>
      </c>
    </row>
    <row r="27" outlineLevel="1" ht="84" customHeight="1">
      <c r="A27" s="16" t="inlineStr">
        <is>
          <t>Prepaid expenses (other current assets)</t>
        </is>
      </c>
      <c r="B27" s="74" t="n">
        <v>564089</v>
      </c>
      <c r="C27" s="75">
        <f>Scenarios!D95</f>
        <v/>
      </c>
      <c r="D27" s="75">
        <f>Scenarios!D96</f>
        <v/>
      </c>
      <c r="E27" s="75">
        <f>Scenarios!D97</f>
        <v/>
      </c>
      <c r="F27" s="75">
        <f>Scenarios!D98</f>
        <v/>
      </c>
      <c r="G27" s="75">
        <f>Scenarios!D99</f>
        <v/>
      </c>
      <c r="H27" s="86">
        <f>IF(MAX(ABS(C27-Scenarios!$D$95),ABS(D27-Scenarios!$D$96),ABS(E27-Scenarios!$D$97),ABS(F27-Scenarios!$D$98),ABS(G27-Scenarios!$D$99))&lt;0.5,"OK","CHECK")</f>
        <v/>
      </c>
    </row>
    <row r="28" outlineLevel="1" ht="84" customHeight="1">
      <c r="A28" s="16" t="inlineStr">
        <is>
          <t>Accrued liabilities (% of revenue)</t>
        </is>
      </c>
      <c r="B28" s="77" t="n">
        <v>0.05971412101669879</v>
      </c>
      <c r="C28" s="20">
        <f>Scenarios!$D$20</f>
        <v/>
      </c>
      <c r="D28" s="20">
        <f>Scenarios!$D$20</f>
        <v/>
      </c>
      <c r="E28" s="20">
        <f>Scenarios!$D$20</f>
        <v/>
      </c>
      <c r="F28" s="20">
        <f>Scenarios!$D$20</f>
        <v/>
      </c>
      <c r="G28" s="20">
        <f>Scenarios!$D$20</f>
        <v/>
      </c>
    </row>
    <row r="29" outlineLevel="1" ht="84" customHeight="1">
      <c r="A29" s="16" t="inlineStr">
        <is>
          <t>Accrued liabilities and other</t>
        </is>
      </c>
      <c r="B29" s="74" t="n">
        <v>662982</v>
      </c>
      <c r="C29" s="75">
        <f>Scenarios!D100</f>
        <v/>
      </c>
      <c r="D29" s="75">
        <f>Scenarios!D101</f>
        <v/>
      </c>
      <c r="E29" s="75">
        <f>Scenarios!D102</f>
        <v/>
      </c>
      <c r="F29" s="75">
        <f>Scenarios!D103</f>
        <v/>
      </c>
      <c r="G29" s="75">
        <f>Scenarios!D104</f>
        <v/>
      </c>
      <c r="H29" s="86">
        <f>IF(MAX(ABS(C29-Scenarios!$D$100),ABS(D29-Scenarios!$D$101),ABS(E29-Scenarios!$D$102),ABS(F29-Scenarios!$D$103),ABS(G29-Scenarios!$D$104))&lt;0.5,"OK","CHECK")</f>
        <v/>
      </c>
    </row>
    <row r="30" outlineLevel="1" ht="42" customHeight="1">
      <c r="A30" s="16" t="inlineStr">
        <is>
          <t>Current operating assets (AR + inv + prepaids)</t>
        </is>
      </c>
      <c r="C30" s="75">
        <f>Scenarios!D105</f>
        <v/>
      </c>
      <c r="D30" s="75">
        <f>Scenarios!D106</f>
        <v/>
      </c>
      <c r="E30" s="75">
        <f>Scenarios!D107</f>
        <v/>
      </c>
      <c r="F30" s="75">
        <f>Scenarios!D108</f>
        <v/>
      </c>
      <c r="G30" s="75">
        <f>Scenarios!D109</f>
        <v/>
      </c>
      <c r="H30" s="86">
        <f>IF(MAX(ABS(C30-Scenarios!$D$105),ABS(D30-Scenarios!$D$106),ABS(E30-Scenarios!$D$107),ABS(F30-Scenarios!$D$108),ABS(G30-Scenarios!$D$109))&lt;0.5,"OK","CHECK")</f>
        <v/>
      </c>
    </row>
    <row r="31" outlineLevel="1" ht="42" customHeight="1">
      <c r="A31" s="16" t="inlineStr">
        <is>
          <t>Current operating liabilities (AP + accruals)</t>
        </is>
      </c>
      <c r="C31" s="75">
        <f>Scenarios!D110</f>
        <v/>
      </c>
      <c r="D31" s="75">
        <f>Scenarios!D111</f>
        <v/>
      </c>
      <c r="E31" s="75">
        <f>Scenarios!D112</f>
        <v/>
      </c>
      <c r="F31" s="75">
        <f>Scenarios!D113</f>
        <v/>
      </c>
      <c r="G31" s="75">
        <f>Scenarios!D114</f>
        <v/>
      </c>
      <c r="H31" s="86">
        <f>IF(MAX(ABS(C31-Scenarios!$D$110),ABS(D31-Scenarios!$D$111),ABS(E31-Scenarios!$D$112),ABS(F31-Scenarios!$D$113),ABS(G31-Scenarios!$D$114))&lt;0.5,"OK","CHECK")</f>
        <v/>
      </c>
    </row>
    <row r="32" outlineLevel="1" ht="42" customHeight="1">
      <c r="A32" s="23" t="inlineStr">
        <is>
          <t>Net working capital</t>
        </is>
      </c>
      <c r="B32" s="76" t="n">
        <v>1461096</v>
      </c>
      <c r="C32" s="25">
        <f>Scenarios!D115</f>
        <v/>
      </c>
      <c r="D32" s="25">
        <f>Scenarios!D116</f>
        <v/>
      </c>
      <c r="E32" s="25">
        <f>Scenarios!D117</f>
        <v/>
      </c>
      <c r="F32" s="25">
        <f>Scenarios!D118</f>
        <v/>
      </c>
      <c r="G32" s="25">
        <f>Scenarios!D119</f>
        <v/>
      </c>
      <c r="H32" s="87">
        <f>IF(MAX(ABS(C32-Scenarios!$D$115),ABS(D32-Scenarios!$D$116),ABS(E32-Scenarios!$D$117),ABS(F32-Scenarios!$D$118),ABS(G32-Scenarios!$D$119))&lt;0.5,"OK","CHECK")</f>
        <v/>
      </c>
    </row>
    <row r="33" ht="56" customHeight="1">
      <c r="A33" s="23" t="inlineStr">
        <is>
          <t>ΔNWC (prior yr − current yr)</t>
        </is>
      </c>
      <c r="C33" s="25">
        <f>Scenarios!D120</f>
        <v/>
      </c>
      <c r="D33" s="25">
        <f>Scenarios!D121</f>
        <v/>
      </c>
      <c r="E33" s="25">
        <f>Scenarios!D122</f>
        <v/>
      </c>
      <c r="F33" s="25">
        <f>Scenarios!D123</f>
        <v/>
      </c>
      <c r="G33" s="25">
        <f>Scenarios!D124</f>
        <v/>
      </c>
      <c r="H33" s="87">
        <f>IF(MAX(ABS(C33-Scenarios!$D$120),ABS(D33-Scenarios!$D$121),ABS(E33-Scenarios!$D$122),ABS(F33-Scenarios!$D$123),ABS(G33-Scenarios!$D$124))&lt;0.5,"OK","CHECK")</f>
        <v/>
      </c>
    </row>
    <row r="34">
      <c r="A34" s="26" t="inlineStr">
        <is>
          <t>driver-based NWC. ΔNWC = prior-year NWC − current-year NWC; added to UFCF (NWC build = cash outflow).</t>
        </is>
      </c>
    </row>
    <row r="35">
      <c r="A35" s="23" t="inlineStr">
        <is>
          <t>Unlevered free cash flow</t>
        </is>
      </c>
      <c r="C35" s="89">
        <f>Scenarios!D125</f>
        <v/>
      </c>
      <c r="D35" s="89">
        <f>Scenarios!D126</f>
        <v/>
      </c>
      <c r="E35" s="89">
        <f>Scenarios!D127</f>
        <v/>
      </c>
      <c r="F35" s="89">
        <f>Scenarios!D128</f>
        <v/>
      </c>
      <c r="G35" s="89">
        <f>Scenarios!D129</f>
        <v/>
      </c>
      <c r="H35" s="87">
        <f>IF(MAX(ABS(C35-Scenarios!$D$125),ABS(D35-Scenarios!$D$126),ABS(E35-Scenarios!$D$127),ABS(F35-Scenarios!$D$128),ABS(G35-Scenarios!$D$129))&lt;0.5,"OK","CHECK")</f>
        <v/>
      </c>
    </row>
    <row r="36">
      <c r="A36" s="16" t="inlineStr">
        <is>
          <t>Discount period (years)</t>
        </is>
      </c>
      <c r="C36" s="90" t="n">
        <v>1</v>
      </c>
      <c r="D36" s="90" t="n">
        <v>2</v>
      </c>
      <c r="E36" s="90" t="n">
        <v>3</v>
      </c>
      <c r="F36" s="90" t="n">
        <v>4</v>
      </c>
      <c r="G36" s="90" t="n">
        <v>5</v>
      </c>
    </row>
    <row r="37">
      <c r="A37" s="16" t="inlineStr">
        <is>
          <t>Discount factor @ WACC</t>
        </is>
      </c>
      <c r="C37" s="91">
        <f>1/(1+Scenarios!$D$9)^C36</f>
        <v/>
      </c>
      <c r="D37" s="91">
        <f>1/(1+Scenarios!$D$9)^D36</f>
        <v/>
      </c>
      <c r="E37" s="91">
        <f>1/(1+Scenarios!$D$9)^E36</f>
        <v/>
      </c>
      <c r="F37" s="91">
        <f>1/(1+Scenarios!$D$9)^F36</f>
        <v/>
      </c>
      <c r="G37" s="91">
        <f>1/(1+Scenarios!$D$9)^G36</f>
        <v/>
      </c>
    </row>
    <row r="38">
      <c r="A38" s="23" t="inlineStr">
        <is>
          <t>PV of unlevered FCF</t>
        </is>
      </c>
      <c r="C38" s="25">
        <f>C35*C37</f>
        <v/>
      </c>
      <c r="D38" s="25">
        <f>D35*D37</f>
        <v/>
      </c>
      <c r="E38" s="25">
        <f>E35*E37</f>
        <v/>
      </c>
      <c r="F38" s="25">
        <f>F35*F37</f>
        <v/>
      </c>
      <c r="G38" s="25">
        <f>G35*G37</f>
        <v/>
      </c>
    </row>
    <row r="39"/>
    <row r="40">
      <c r="A40" s="15" t="inlineStr">
        <is>
          <t>Scenarios linkage summary (column K should all read OK)</t>
        </is>
      </c>
      <c r="H40" s="92">
        <f>IF(COUNTIF(H5:H35,"CHECK")=0,"ALL OK","REVIEW")</f>
        <v/>
      </c>
    </row>
    <row r="41">
      <c r="A41" s="93" t="inlineStr">
        <is>
          <t>VALUATION — GORDON GROWTH (PERPETUITY) METHOD</t>
        </is>
      </c>
    </row>
    <row r="42">
      <c r="A42" s="23" t="inlineStr">
        <is>
          <t>Sum of PV of explicit FCF (FY26–FY30)</t>
        </is>
      </c>
      <c r="B42" s="70">
        <f>SUM(C38:G38)</f>
        <v/>
      </c>
    </row>
    <row r="43" ht="28" customHeight="1">
      <c r="A43" s="16" t="inlineStr">
        <is>
          <t>Terminal growth rate (g)</t>
        </is>
      </c>
      <c r="B43" s="32">
        <f>Scenarios!$D$10</f>
        <v/>
      </c>
    </row>
    <row r="44">
      <c r="A44" s="23" t="inlineStr">
        <is>
          <t>Terminal EBITDA (FY2030E EBIT + D&amp;A)</t>
        </is>
      </c>
      <c r="B44" s="25">
        <f>G11+G16</f>
        <v/>
      </c>
    </row>
    <row r="45">
      <c r="A45" s="16" t="inlineStr">
        <is>
          <t>Terminal value = FCF₅×(1+g)/(WACC−g)</t>
        </is>
      </c>
      <c r="B45" s="75">
        <f>G35*(1+Scenarios!$D$10)/(Scenarios!$D$9-Scenarios!$D$10)</f>
        <v/>
      </c>
    </row>
    <row r="46">
      <c r="A46" s="16" t="inlineStr">
        <is>
          <t>Implied exit EV/EBITDA = Gordon TV / FY30 EBITDA</t>
        </is>
      </c>
      <c r="B46" s="94">
        <f>B45/B44</f>
        <v/>
      </c>
    </row>
    <row r="47">
      <c r="A47" s="16" t="inlineStr">
        <is>
          <t>(UFCF₃₀ / EBITDA₃₀) × (1+g) / (WACC−g)</t>
        </is>
      </c>
      <c r="B47" s="94">
        <f>G35/B44*(1+Scenarios!$D$10)/(Scenarios!$D$9-Scenarios!$D$10)</f>
        <v/>
      </c>
    </row>
    <row r="48">
      <c r="A48" s="23" t="inlineStr">
        <is>
          <t>PV of terminal value</t>
        </is>
      </c>
      <c r="B48" s="70">
        <f>B45/(1+Scenarios!$D$9)^G36</f>
        <v/>
      </c>
    </row>
    <row r="49">
      <c r="A49" s="23" t="inlineStr">
        <is>
          <t>Enterprise value</t>
        </is>
      </c>
      <c r="B49" s="25">
        <f>B42+B48</f>
        <v/>
      </c>
    </row>
    <row r="50" ht="28" customHeight="1">
      <c r="A50" s="16" t="inlineStr">
        <is>
          <t>Plus: cash &amp; equivalents (FY2025)</t>
        </is>
      </c>
      <c r="B50" s="74" t="n">
        <v>1807202</v>
      </c>
    </row>
    <row r="51" ht="28" customHeight="1">
      <c r="A51" s="16" t="inlineStr">
        <is>
          <t>Less: total debt &amp; operating leases</t>
        </is>
      </c>
      <c r="B51" s="74" t="n">
        <v>-1798441</v>
      </c>
    </row>
    <row r="52">
      <c r="A52" s="26" t="inlineStr">
        <is>
          <t>funded term debt $0. Operating leases $298,724k current + $1,499,717k non-current = $1,798,441k (ASC 842 debt equivalent).</t>
        </is>
      </c>
    </row>
    <row r="53">
      <c r="A53" s="26" t="inlineStr">
        <is>
          <t>UFCF is pre-interest; rent stays in opex. We subtract lease liabilities in the bridge but do not add back implied lease interest to EBIT (simplified treatment).</t>
        </is>
      </c>
    </row>
    <row r="54">
      <c r="A54" s="23" t="inlineStr">
        <is>
          <t>Equity value</t>
        </is>
      </c>
      <c r="B54" s="25">
        <f>B49+B50+B51</f>
        <v/>
      </c>
    </row>
    <row r="55" ht="28" customHeight="1">
      <c r="A55" s="16" t="inlineStr">
        <is>
          <t>Shares outstanding (000)</t>
        </is>
      </c>
      <c r="B55" s="74" t="n">
        <v>111380</v>
      </c>
    </row>
    <row r="56">
      <c r="A56" s="23" t="inlineStr">
        <is>
          <t>Implied value per share</t>
        </is>
      </c>
      <c r="B56" s="96">
        <f>B54/B55</f>
        <v/>
      </c>
      <c r="H56" s="87">
        <f>IF(ABS(B56-Scenarios!$D$132)&lt;0.05,"OK","CHECK")</f>
        <v/>
      </c>
    </row>
    <row r="57" ht="28" customHeight="1">
      <c r="A57" s="16" t="inlineStr">
        <is>
          <t>Current share price</t>
        </is>
      </c>
      <c r="B57" s="97" t="n">
        <v>100</v>
      </c>
    </row>
    <row r="58">
      <c r="A58" s="23" t="inlineStr">
        <is>
          <t>Implied upside / (downside)</t>
        </is>
      </c>
      <c r="B58" s="98">
        <f>B56/B57-1</f>
        <v/>
      </c>
    </row>
    <row r="59">
      <c r="A59" s="16" t="inlineStr">
        <is>
          <t>% of EV from terminal value</t>
        </is>
      </c>
      <c r="B59" s="32">
        <f>B48/B49</f>
        <v/>
      </c>
    </row>
    <row r="60"/>
    <row r="61"/>
    <row r="62">
      <c r="A62" s="93" t="inlineStr">
        <is>
          <t>SHARE REPURCHASE &amp; EPS ACCRETION SCHEDULE</t>
        </is>
      </c>
      <c r="B62" s="13" t="n"/>
    </row>
    <row r="63">
      <c r="A63" s="26" t="inlineStr">
        <is>
          <t>Guardrail: implied value per share above still divides equity value by Day-1 shares (E55 = 111,380k). This schedule does not change intrinsic DCF per share.</t>
        </is>
      </c>
    </row>
    <row r="64"/>
    <row r="65">
      <c r="A65" s="16" t="inlineStr">
        <is>
          <t>Annual repurchase budget ($000) — base case</t>
        </is>
      </c>
      <c r="B65" s="37" t="n">
        <v>500000</v>
      </c>
      <c r="C65" s="37">
        <f>$B$65</f>
        <v/>
      </c>
      <c r="D65" s="37">
        <f>$B$65</f>
        <v/>
      </c>
      <c r="E65" s="37">
        <f>$B$65</f>
        <v/>
      </c>
      <c r="F65" s="37">
        <f>$B$65</f>
        <v/>
      </c>
      <c r="G65" s="37">
        <f>$B$65</f>
        <v/>
      </c>
    </row>
    <row r="66">
      <c r="A66" s="16" t="inlineStr">
        <is>
          <t>Cost of equity — share-price growth rate</t>
        </is>
      </c>
      <c r="B66" s="20" t="n">
        <v>0.105</v>
      </c>
      <c r="C66" s="20">
        <f>$B$66</f>
        <v/>
      </c>
      <c r="D66" s="20">
        <f>$B$66</f>
        <v/>
      </c>
      <c r="E66" s="20">
        <f>$B$66</f>
        <v/>
      </c>
      <c r="F66" s="20">
        <f>$B$66</f>
        <v/>
      </c>
      <c r="G66" s="20">
        <f>$B$66</f>
        <v/>
      </c>
    </row>
    <row r="67"/>
    <row r="68">
      <c r="A68" s="16" t="inlineStr">
        <is>
          <t>Unlevered free cash flow (from DCF above)</t>
        </is>
      </c>
      <c r="C68" s="75">
        <f>C35</f>
        <v/>
      </c>
      <c r="D68" s="75">
        <f>D35</f>
        <v/>
      </c>
      <c r="E68" s="75">
        <f>E35</f>
        <v/>
      </c>
      <c r="F68" s="75">
        <f>F35</f>
        <v/>
      </c>
      <c r="G68" s="75">
        <f>G35</f>
        <v/>
      </c>
    </row>
    <row r="69">
      <c r="A69" s="16" t="inlineStr">
        <is>
          <t>Repurchase cash deployed (= fixed budget)</t>
        </is>
      </c>
      <c r="B69" s="75" t="n">
        <v>0</v>
      </c>
      <c r="C69" s="75">
        <f>C65</f>
        <v/>
      </c>
      <c r="D69" s="75">
        <f>D65</f>
        <v/>
      </c>
      <c r="E69" s="75">
        <f>E65</f>
        <v/>
      </c>
      <c r="F69" s="75">
        <f>F65</f>
        <v/>
      </c>
      <c r="G69" s="75">
        <f>G65</f>
        <v/>
      </c>
    </row>
    <row r="70">
      <c r="A70" s="16" t="inlineStr">
        <is>
          <t>Repurchase as % of UFCF (derived)</t>
        </is>
      </c>
      <c r="C70" s="32">
        <f>C69/C68</f>
        <v/>
      </c>
      <c r="D70" s="32">
        <f>D69/D68</f>
        <v/>
      </c>
      <c r="E70" s="32">
        <f>E69/E68</f>
        <v/>
      </c>
      <c r="F70" s="32">
        <f>F69/F68</f>
        <v/>
      </c>
      <c r="G70" s="32">
        <f>G69/G68</f>
        <v/>
      </c>
    </row>
    <row r="71"/>
    <row r="72">
      <c r="A72" s="16" t="inlineStr">
        <is>
          <t>Projected share price ($)</t>
        </is>
      </c>
      <c r="B72" s="99" t="n">
        <v>100</v>
      </c>
      <c r="C72" s="99">
        <f>B72*(1+$B$66)</f>
        <v/>
      </c>
      <c r="D72" s="99">
        <f>C72*(1+$B$66)</f>
        <v/>
      </c>
      <c r="E72" s="99">
        <f>D72*(1+$B$66)</f>
        <v/>
      </c>
      <c r="F72" s="99">
        <f>E72*(1+$B$66)</f>
        <v/>
      </c>
      <c r="G72" s="99">
        <f>F72*(1+$B$66)</f>
        <v/>
      </c>
    </row>
    <row r="73">
      <c r="A73" s="16" t="inlineStr">
        <is>
          <t>Shares retired (000)</t>
        </is>
      </c>
      <c r="B73" s="75" t="n">
        <v>0</v>
      </c>
      <c r="C73" s="75">
        <f>C69/C72</f>
        <v/>
      </c>
      <c r="D73" s="75">
        <f>D69/D72</f>
        <v/>
      </c>
      <c r="E73" s="75">
        <f>E69/E72</f>
        <v/>
      </c>
      <c r="F73" s="75">
        <f>F69/F72</f>
        <v/>
      </c>
      <c r="G73" s="75">
        <f>G69/G72</f>
        <v/>
      </c>
    </row>
    <row r="74">
      <c r="A74" s="16" t="inlineStr">
        <is>
          <t>Beginning shares (000)</t>
        </is>
      </c>
      <c r="B74" s="22" t="n">
        <v>111380</v>
      </c>
      <c r="C74" s="75">
        <f>$B$74</f>
        <v/>
      </c>
      <c r="D74" s="75">
        <f>C75</f>
        <v/>
      </c>
      <c r="E74" s="75">
        <f>D75</f>
        <v/>
      </c>
      <c r="F74" s="75">
        <f>E75</f>
        <v/>
      </c>
      <c r="G74" s="75">
        <f>F75</f>
        <v/>
      </c>
    </row>
    <row r="75">
      <c r="A75" s="23" t="inlineStr">
        <is>
          <t>Ending shares (000)</t>
        </is>
      </c>
      <c r="B75" s="100" t="n">
        <v>111380</v>
      </c>
      <c r="C75" s="25">
        <f>C74-C73</f>
        <v/>
      </c>
      <c r="D75" s="25">
        <f>D74-D73</f>
        <v/>
      </c>
      <c r="E75" s="25">
        <f>E74-E73</f>
        <v/>
      </c>
      <c r="F75" s="25">
        <f>F74-F73</f>
        <v/>
      </c>
      <c r="G75" s="25">
        <f>G74-G73</f>
        <v/>
      </c>
    </row>
    <row r="76"/>
    <row r="77">
      <c r="A77" s="16" t="inlineStr">
        <is>
          <t>Projected net income ($000)</t>
        </is>
      </c>
      <c r="B77" s="22" t="n">
        <v>1579183</v>
      </c>
      <c r="C77" s="75">
        <f>('NOPAT Bridge'!C36-'NOPAT Bridge'!C23)*(1-'NOPAT Bridge'!C$39)</f>
        <v/>
      </c>
      <c r="D77" s="75">
        <f>('NOPAT Bridge'!D36-'NOPAT Bridge'!D23)*(1-'NOPAT Bridge'!D$39)</f>
        <v/>
      </c>
      <c r="E77" s="75">
        <f>('NOPAT Bridge'!E36-'NOPAT Bridge'!E23)*(1-'NOPAT Bridge'!E$39)</f>
        <v/>
      </c>
      <c r="F77" s="75">
        <f>('NOPAT Bridge'!F36-'NOPAT Bridge'!F23)*(1-'NOPAT Bridge'!F$39)</f>
        <v/>
      </c>
      <c r="G77" s="75">
        <f>('NOPAT Bridge'!G36-'NOPAT Bridge'!G23)*(1-'NOPAT Bridge'!G$39)</f>
        <v/>
      </c>
    </row>
    <row r="78">
      <c r="A78" s="23" t="inlineStr">
        <is>
          <t>Accretive EPS ($/share) = Net income ÷ ending shares</t>
        </is>
      </c>
      <c r="B78" s="101" t="n">
        <v>14.1783354282636</v>
      </c>
      <c r="C78" s="101">
        <f>C77/C75</f>
        <v/>
      </c>
      <c r="D78" s="101">
        <f>D77/D75</f>
        <v/>
      </c>
      <c r="E78" s="101">
        <f>E77/E75</f>
        <v/>
      </c>
      <c r="F78" s="101">
        <f>F77/F75</f>
        <v/>
      </c>
      <c r="G78" s="101">
        <f>G77/G75</f>
        <v/>
      </c>
    </row>
    <row r="79"/>
    <row r="80">
      <c r="A80" s="93" t="inlineStr">
        <is>
          <t>CROSS-CHECK — EXIT MULTIPLE METHOD</t>
        </is>
      </c>
    </row>
    <row r="81">
      <c r="A81" s="15" t="inlineStr">
        <is>
          <t>Exit multiple is the Gordon identity — not a peer pick or an average</t>
        </is>
      </c>
    </row>
    <row r="82" ht="28" customHeight="1">
      <c r="A82" s="16" t="inlineStr">
        <is>
          <t>Selected exit EV/EBITDA (Gordon implied)</t>
        </is>
      </c>
      <c r="B82" s="94">
        <f>B46</f>
        <v/>
      </c>
    </row>
    <row r="83">
      <c r="A83" s="16" t="inlineStr">
        <is>
          <t>Terminal value = Terminal EBITDA × exit multiple</t>
        </is>
      </c>
      <c r="B83" s="75">
        <f>B44*B82</f>
        <v/>
      </c>
    </row>
    <row r="84">
      <c r="A84" s="16" t="inlineStr">
        <is>
          <t>PV of terminal value</t>
        </is>
      </c>
      <c r="B84" s="75">
        <f>B83/(1+Scenarios!$D$9)^G36</f>
        <v/>
      </c>
    </row>
    <row r="85">
      <c r="A85" s="23" t="inlineStr">
        <is>
          <t>Enterprise value (exit method)</t>
        </is>
      </c>
      <c r="B85" s="25">
        <f>B42+B84</f>
        <v/>
      </c>
    </row>
    <row r="86">
      <c r="A86" s="23" t="inlineStr">
        <is>
          <t>Implied value per share (exit method)</t>
        </is>
      </c>
      <c r="B86" s="102">
        <f>(B85+B50+B51)/B55</f>
        <v/>
      </c>
    </row>
    <row r="87"/>
    <row r="88">
      <c r="A88" s="93" t="inlineStr">
        <is>
          <t>TERMINAL VALUE RECONCILIATION (GORDON vs EXIT MULTIPLE)</t>
        </is>
      </c>
    </row>
    <row r="89">
      <c r="A89" s="103" t="inlineStr"/>
    </row>
    <row r="90">
      <c r="A90" s="23" t="inlineStr">
        <is>
          <t>Terminal value ($)</t>
        </is>
      </c>
    </row>
    <row r="91">
      <c r="A91" s="23" t="inlineStr">
        <is>
          <t>Exit EV/EBITDA (implied vs selected)</t>
        </is>
      </c>
    </row>
    <row r="92">
      <c r="A92" s="16" t="inlineStr">
        <is>
          <t>Terminal value variance (%)</t>
        </is>
      </c>
    </row>
    <row r="93">
      <c r="A93" s="23" t="inlineStr">
        <is>
          <t>Implied share price</t>
        </is>
      </c>
    </row>
    <row r="94">
      <c r="A94" s="68" t="inlineStr">
        <is>
          <t>Sanity check: multiples within ±1.5 turns?</t>
        </is>
      </c>
    </row>
    <row r="95"/>
    <row r="96"/>
    <row r="97">
      <c r="A97" s="93" t="inlineStr">
        <is>
          <t>SENSITIVITY — IMPLIED SHARE PRICE (WACC vs terminal growth)</t>
        </is>
      </c>
      <c r="B97" s="13" t="n"/>
      <c r="C97" s="13" t="n"/>
      <c r="D97" s="13" t="n"/>
      <c r="E97" s="13" t="n"/>
    </row>
    <row r="98" ht="28" customHeight="1">
      <c r="A98" s="108" t="inlineStr">
        <is>
          <t>WACC \ g</t>
        </is>
      </c>
      <c r="C98" s="109" t="n">
        <v>0.015</v>
      </c>
      <c r="D98" s="109" t="n">
        <v>0.02</v>
      </c>
      <c r="E98" s="109" t="n">
        <v>0.0225</v>
      </c>
      <c r="F98" s="109" t="n">
        <v>0.025</v>
      </c>
      <c r="G98" s="109" t="n">
        <v>0.03</v>
      </c>
    </row>
    <row r="99" ht="28" customHeight="1">
      <c r="A99" s="109" t="n">
        <v>0.095</v>
      </c>
      <c r="C99" s="110">
        <f>(NPV(0.095,C35:G35)+(G35*(1+0.015)/(0.095-0.015))/(1+0.095)^5+B50+B51)/B55</f>
        <v/>
      </c>
      <c r="D99" s="110">
        <f>(NPV(0.095,C35:G35)+(G35*(1+0.02)/(0.095-0.02))/(1+0.095)^5+B50+B51)/B55</f>
        <v/>
      </c>
      <c r="E99" s="110">
        <f>(NPV(0.095,C35:G35)+(G35*(1+0.0225)/(0.095-0.0225))/(1+0.095)^5+B50+B51)/B55</f>
        <v/>
      </c>
      <c r="F99" s="110">
        <f>(NPV(0.095,C35:G35)+(G35*(1+0.025)/(0.095-0.025))/(1+0.095)^5+B50+B51)/B55</f>
        <v/>
      </c>
      <c r="G99" s="110">
        <f>(NPV(0.095,C35:G35)+(G35*(1+0.03)/(0.095-0.03))/(1+0.095)^5+B50+B51)/B55</f>
        <v/>
      </c>
    </row>
    <row r="100" ht="28" customHeight="1">
      <c r="A100" s="109" t="n">
        <v>0.1</v>
      </c>
      <c r="C100" s="110">
        <f>(NPV(0.1,C35:G35)+(G35*(1+0.015)/(0.1-0.015))/(1+0.1)^5+B50+B51)/B55</f>
        <v/>
      </c>
      <c r="D100" s="110">
        <f>(NPV(0.1,C35:G35)+(G35*(1+0.02)/(0.1-0.02))/(1+0.1)^5+B50+B51)/B55</f>
        <v/>
      </c>
      <c r="E100" s="110">
        <f>(NPV(0.1,C35:G35)+(G35*(1+0.0225)/(0.1-0.0225))/(1+0.1)^5+B50+B51)/B55</f>
        <v/>
      </c>
      <c r="F100" s="110">
        <f>(NPV(0.1,C35:G35)+(G35*(1+0.025)/(0.1-0.025))/(1+0.1)^5+B50+B51)/B55</f>
        <v/>
      </c>
      <c r="G100" s="110">
        <f>(NPV(0.1,C35:G35)+(G35*(1+0.03)/(0.1-0.03))/(1+0.1)^5+B50+B51)/B55</f>
        <v/>
      </c>
    </row>
    <row r="101" ht="28" customHeight="1">
      <c r="A101" s="109" t="n">
        <v>0.105</v>
      </c>
      <c r="C101" s="110">
        <f>(NPV(0.105,C35:G35)+(G35*(1+0.015)/(0.105-0.015))/(1+0.105)^5+B50+B51)/B55</f>
        <v/>
      </c>
      <c r="D101" s="110">
        <f>(NPV(0.105,C35:G35)+(G35*(1+0.02)/(0.105-0.02))/(1+0.105)^5+B50+B51)/B55</f>
        <v/>
      </c>
      <c r="E101" s="111">
        <f>(NPV(0.105,C35:G35)+(G35*(1+0.0225)/(0.105-0.0225))/(1+0.105)^5+B50+B51)/B55</f>
        <v/>
      </c>
      <c r="F101" s="110">
        <f>(NPV(0.105,C35:G35)+(G35*(1+0.025)/(0.105-0.025))/(1+0.105)^5+B50+B51)/B55</f>
        <v/>
      </c>
      <c r="G101" s="110">
        <f>(NPV(0.105,C35:G35)+(G35*(1+0.03)/(0.105-0.03))/(1+0.105)^5+B50+B51)/B55</f>
        <v/>
      </c>
    </row>
    <row r="102" ht="28" customHeight="1">
      <c r="A102" s="109" t="n">
        <v>0.11</v>
      </c>
      <c r="C102" s="110">
        <f>(NPV(0.11,C35:G35)+(G35*(1+0.015)/(0.11-0.015))/(1+0.11)^5+B50+B51)/B55</f>
        <v/>
      </c>
      <c r="D102" s="110">
        <f>(NPV(0.11,C35:G35)+(G35*(1+0.02)/(0.11-0.02))/(1+0.11)^5+B50+B51)/B55</f>
        <v/>
      </c>
      <c r="E102" s="110">
        <f>(NPV(0.11,C35:G35)+(G35*(1+0.0225)/(0.11-0.0225))/(1+0.11)^5+B50+B51)/B55</f>
        <v/>
      </c>
      <c r="F102" s="110">
        <f>(NPV(0.11,C35:G35)+(G35*(1+0.025)/(0.11-0.025))/(1+0.11)^5+B50+B51)/B55</f>
        <v/>
      </c>
      <c r="G102" s="110">
        <f>(NPV(0.11,C35:G35)+(G35*(1+0.03)/(0.11-0.03))/(1+0.11)^5+B50+B51)/B55</f>
        <v/>
      </c>
    </row>
    <row r="103" ht="28" customHeight="1">
      <c r="A103" s="109" t="n">
        <v>0.115</v>
      </c>
      <c r="C103" s="110">
        <f>(NPV(0.115,C35:G35)+(G35*(1+0.015)/(0.115-0.015))/(1+0.115)^5+B50+B51)/B55</f>
        <v/>
      </c>
      <c r="D103" s="110">
        <f>(NPV(0.115,C35:G35)+(G35*(1+0.02)/(0.115-0.02))/(1+0.115)^5+B50+B51)/B55</f>
        <v/>
      </c>
      <c r="E103" s="110">
        <f>(NPV(0.115,C35:G35)+(G35*(1+0.0225)/(0.115-0.0225))/(1+0.115)^5+B50+B51)/B55</f>
        <v/>
      </c>
      <c r="F103" s="110">
        <f>(NPV(0.115,C35:G35)+(G35*(1+0.025)/(0.115-0.025))/(1+0.115)^5+B50+B51)/B55</f>
        <v/>
      </c>
      <c r="G103" s="110">
        <f>(NPV(0.115,C35:G35)+(G35*(1+0.03)/(0.115-0.03))/(1+0.115)^5+B50+B51)/B55</f>
        <v/>
      </c>
    </row>
    <row r="104" ht="28" customHeight="1"/>
  </sheetData>
  <hyperlinks>
    <hyperlink xmlns:r="http://schemas.openxmlformats.org/officeDocument/2006/relationships" ref="E3" r:id="rId1"/>
    <hyperlink xmlns:r="http://schemas.openxmlformats.org/officeDocument/2006/relationships" ref="A4" r:id="rId2"/>
    <hyperlink xmlns:r="http://schemas.openxmlformats.org/officeDocument/2006/relationships" ref="E5" r:id="rId3"/>
    <hyperlink xmlns:r="http://schemas.openxmlformats.org/officeDocument/2006/relationships" ref="E7" r:id="rId4"/>
    <hyperlink xmlns:r="http://schemas.openxmlformats.org/officeDocument/2006/relationships" ref="E8" r:id="rId5"/>
    <hyperlink xmlns:r="http://schemas.openxmlformats.org/officeDocument/2006/relationships" ref="E10" r:id="rId6"/>
    <hyperlink xmlns:r="http://schemas.openxmlformats.org/officeDocument/2006/relationships" ref="E11" r:id="rId7"/>
    <hyperlink xmlns:r="http://schemas.openxmlformats.org/officeDocument/2006/relationships" ref="E12" r:id="rId8"/>
    <hyperlink xmlns:r="http://schemas.openxmlformats.org/officeDocument/2006/relationships" ref="E20" r:id="rId9"/>
    <hyperlink xmlns:r="http://schemas.openxmlformats.org/officeDocument/2006/relationships" ref="E21" r:id="rId10"/>
    <hyperlink xmlns:r="http://schemas.openxmlformats.org/officeDocument/2006/relationships" ref="E22" r:id="rId11"/>
    <hyperlink xmlns:r="http://schemas.openxmlformats.org/officeDocument/2006/relationships" ref="E23" r:id="rId12"/>
    <hyperlink xmlns:r="http://schemas.openxmlformats.org/officeDocument/2006/relationships" ref="E24" r:id="rId13"/>
    <hyperlink xmlns:r="http://schemas.openxmlformats.org/officeDocument/2006/relationships" ref="E25" r:id="rId14"/>
    <hyperlink xmlns:r="http://schemas.openxmlformats.org/officeDocument/2006/relationships" ref="E26" r:id="rId15"/>
    <hyperlink xmlns:r="http://schemas.openxmlformats.org/officeDocument/2006/relationships" ref="E27" r:id="rId16"/>
    <hyperlink xmlns:r="http://schemas.openxmlformats.org/officeDocument/2006/relationships" ref="E28" r:id="rId17"/>
    <hyperlink xmlns:r="http://schemas.openxmlformats.org/officeDocument/2006/relationships" ref="E29" r:id="rId18"/>
    <hyperlink xmlns:r="http://schemas.openxmlformats.org/officeDocument/2006/relationships" ref="E32" r:id="rId19"/>
    <hyperlink xmlns:r="http://schemas.openxmlformats.org/officeDocument/2006/relationships" ref="E50" r:id="rId20"/>
    <hyperlink xmlns:r="http://schemas.openxmlformats.org/officeDocument/2006/relationships" ref="E51" r:id="rId21"/>
    <hyperlink xmlns:r="http://schemas.openxmlformats.org/officeDocument/2006/relationships" ref="E55" r:id="rId22"/>
    <hyperlink xmlns:r="http://schemas.openxmlformats.org/officeDocument/2006/relationships" ref="E57" r:id="rId23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applyStyles="1" summaryBelow="1" summaryRight="1"/>
    <pageSetUpPr/>
  </sheetPr>
  <dimension ref="A1:G63"/>
  <sheetViews>
    <sheetView showGridLines="0" showOutlineSymbols="1" workbookViewId="0">
      <selection pane="topRight" activeCell="B3" sqref="B3"/>
      <selection pane="bottomLeft" activeCell="A1" sqref="A1"/>
      <selection pane="bottomRight" activeCell="A1" sqref="A1"/>
    </sheetView>
  </sheetViews>
  <sheetFormatPr baseColWidth="8" defaultRowHeight="15"/>
  <cols>
    <col width="48" customWidth="1" min="1" max="1"/>
    <col outlineLevel="1" width="28" customWidth="1" min="2" max="2"/>
    <col outlineLevel="1" width="18" customWidth="1" min="3" max="3"/>
    <col outlineLevel="1" width="44" customWidth="1" min="4" max="4"/>
    <col width="14" customWidth="1" min="5" max="5"/>
    <col width="14" customWidth="1" min="6" max="6"/>
    <col width="12" customWidth="1" min="7" max="7"/>
    <col width="12" customWidth="1" min="8" max="8"/>
    <col width="16" customWidth="1" min="9" max="9"/>
    <col width="16" customWidth="1" min="10" max="10"/>
  </cols>
  <sheetData>
    <row r="1" ht="16" customHeight="1">
      <c r="A1" s="12" t="inlineStr">
        <is>
          <t>RELATIVE VALUATION — IMPLIED PRICE RANGES (FOOTBALL FIELD)</t>
        </is>
      </c>
      <c r="B1" s="13" t="n"/>
      <c r="C1" s="13" t="n"/>
      <c r="D1" s="13" t="n"/>
      <c r="E1" s="13" t="n"/>
    </row>
    <row r="2"/>
    <row r="3">
      <c r="A3" s="14" t="inlineStr">
        <is>
          <t>LULU operating metrics (FY2025A / FY2026E)</t>
        </is>
      </c>
    </row>
    <row r="4" ht="28" customHeight="1">
      <c r="A4" s="16" t="inlineStr">
        <is>
          <t>FY2025A revenue</t>
        </is>
      </c>
      <c r="B4" s="74" t="n">
        <v>11102600</v>
      </c>
    </row>
    <row r="5">
      <c r="A5" s="16" t="inlineStr">
        <is>
          <t>FY2025A EBITDA (EBIT + D&amp;A)</t>
        </is>
      </c>
      <c r="B5" s="75">
        <f>2210615+496228</f>
        <v/>
      </c>
    </row>
    <row r="6">
      <c r="A6" s="16" t="inlineStr">
        <is>
          <t>FY2030E terminal EBITDA (DCF EBIT + D&amp;A)</t>
        </is>
      </c>
      <c r="B6" s="75">
        <f>DCF!B44</f>
        <v/>
      </c>
    </row>
    <row r="7" ht="28" customHeight="1">
      <c r="A7" s="16" t="inlineStr">
        <is>
          <t>FY2026E diluted EPS (guidance midpoint)</t>
        </is>
      </c>
      <c r="B7" s="97" t="n">
        <v>9.609999999999999</v>
      </c>
    </row>
    <row r="8" ht="28" customHeight="1">
      <c r="A8" s="16" t="inlineStr">
        <is>
          <t>Cash &amp; equivalents</t>
        </is>
      </c>
      <c r="B8" s="74" t="n">
        <v>1807202</v>
      </c>
    </row>
    <row r="9" ht="28" customHeight="1">
      <c r="A9" s="16" t="inlineStr">
        <is>
          <t>Shares outstanding (000)</t>
        </is>
      </c>
      <c r="B9" s="74" t="n">
        <v>111380</v>
      </c>
    </row>
    <row r="10" ht="28" customHeight="1">
      <c r="A10" s="16" t="inlineStr">
        <is>
          <t>Current share price</t>
        </is>
      </c>
      <c r="B10" s="97" t="n">
        <v>100</v>
      </c>
    </row>
    <row r="11">
      <c r="A11" s="107" t="inlineStr">
        <is>
          <t>current EV / EBITDA</t>
        </is>
      </c>
      <c r="B11" s="112">
        <f>(B10*B9-B8)/B5</f>
        <v/>
      </c>
    </row>
    <row r="12">
      <c r="A12" s="107" t="inlineStr">
        <is>
          <t>current P / E (FY2026E)</t>
        </is>
      </c>
      <c r="B12" s="112">
        <f>B10/B7</f>
        <v/>
      </c>
    </row>
    <row r="13"/>
    <row r="14">
      <c r="A14" s="14" t="inlineStr">
        <is>
          <t>EXIT MULTIPLE BUILD — FY2030E TERMINAL YEAR</t>
        </is>
      </c>
    </row>
    <row r="15">
      <c r="A15" s="107" t="inlineStr">
        <is>
          <t>Peer / reference EV/EBITDA (forward / illustrative)</t>
        </is>
      </c>
    </row>
    <row r="16">
      <c r="A16" s="14" t="inlineStr">
        <is>
          <t>PITCHBOOK PUBCOMPS — daily EV / TTM EBITDA as of 04-Sep-2026 ($000)</t>
        </is>
      </c>
    </row>
    <row r="17">
      <c r="A17" s="26" t="inlineStr">
        <is>
          <t>EV/EBITDA is a black formula (I/J). UAA is shown but excluded from averages (negative TTM EBITDA).</t>
        </is>
      </c>
    </row>
    <row r="18">
      <c r="A18" s="113" t="inlineStr">
        <is>
          <t>Company</t>
        </is>
      </c>
      <c r="B18" s="114" t="inlineStr">
        <is>
          <t>EV/EBITDA</t>
        </is>
      </c>
      <c r="F18" s="114" t="inlineStr">
        <is>
          <t>EV ($000)</t>
        </is>
      </c>
      <c r="G18" s="114" t="inlineStr">
        <is>
          <t>EBITDA ($000)</t>
        </is>
      </c>
    </row>
    <row r="19" ht="28" customHeight="1">
      <c r="A19" s="16" t="inlineStr">
        <is>
          <t>lululemon (LULU)</t>
        </is>
      </c>
      <c r="B19" s="115">
        <f>IF(G19&lt;=0,"n.m.",F19/G19)</f>
        <v/>
      </c>
      <c r="F19" s="116" t="n">
        <v>11890440</v>
      </c>
      <c r="G19" s="116" t="n">
        <v>2548084</v>
      </c>
    </row>
    <row r="20" ht="28" customHeight="1">
      <c r="A20" s="16" t="inlineStr">
        <is>
          <t>Under Armour (UAA)</t>
        </is>
      </c>
      <c r="B20" s="115">
        <f>IF(G20&lt;=0,"n.m.",F20/G20)</f>
        <v/>
      </c>
      <c r="F20" s="116" t="n">
        <v>3208397</v>
      </c>
      <c r="G20" s="116" t="n">
        <v>-23230</v>
      </c>
    </row>
    <row r="21" ht="28" customHeight="1">
      <c r="A21" s="16" t="inlineStr">
        <is>
          <t>adidas (ADS)</t>
        </is>
      </c>
      <c r="B21" s="115">
        <f>IF(G21&lt;=0,"n.m.",F21/G21)</f>
        <v/>
      </c>
      <c r="F21" s="116" t="n">
        <v>35661944</v>
      </c>
      <c r="G21" s="116" t="n">
        <v>3857684</v>
      </c>
    </row>
    <row r="22" ht="28" customHeight="1">
      <c r="A22" s="16" t="inlineStr">
        <is>
          <t>Nike (NKE)</t>
        </is>
      </c>
      <c r="B22" s="115">
        <f>IF(G22&lt;=0,"n.m.",F22/G22)</f>
        <v/>
      </c>
      <c r="F22" s="116" t="n">
        <v>58972350</v>
      </c>
      <c r="G22" s="116" t="n">
        <v>4647000</v>
      </c>
    </row>
    <row r="23" ht="28" customHeight="1">
      <c r="A23" s="16" t="inlineStr">
        <is>
          <t>Deckers (DECK)</t>
        </is>
      </c>
      <c r="B23" s="115">
        <f>IF(G23&lt;=0,"n.m.",F23/G23)</f>
        <v/>
      </c>
      <c r="F23" s="116" t="n">
        <v>10555510</v>
      </c>
      <c r="G23" s="116" t="n">
        <v>1329439</v>
      </c>
    </row>
    <row r="24" ht="28" customHeight="1">
      <c r="A24" s="16" t="inlineStr">
        <is>
          <t>Williams-Sonoma (WSM)</t>
        </is>
      </c>
      <c r="B24" s="115">
        <f>IF(G24&lt;=0,"n.m.",F24/G24)</f>
        <v/>
      </c>
      <c r="F24" s="116" t="n">
        <v>27284350</v>
      </c>
      <c r="G24" s="116" t="n">
        <v>1768400</v>
      </c>
    </row>
    <row r="25" ht="28" customHeight="1">
      <c r="A25" s="16" t="inlineStr">
        <is>
          <t>Crocs (CROX)</t>
        </is>
      </c>
      <c r="B25" s="115">
        <f>IF(G25&lt;=0,"n.m.",F25/G25)</f>
        <v/>
      </c>
      <c r="F25" s="116" t="n">
        <v>7153911</v>
      </c>
      <c r="G25" s="116" t="n">
        <v>922278</v>
      </c>
    </row>
    <row r="26" ht="28" customHeight="1">
      <c r="A26" s="16" t="inlineStr">
        <is>
          <t>Movado (MOV)</t>
        </is>
      </c>
      <c r="B26" s="115">
        <f>IF(G26&lt;=0,"n.m.",F26/G26)</f>
        <v/>
      </c>
      <c r="F26" s="116" t="n">
        <v>616045</v>
      </c>
      <c r="G26" s="116" t="n">
        <v>62010</v>
      </c>
    </row>
    <row r="27" ht="28" customHeight="1">
      <c r="A27" s="16" t="inlineStr">
        <is>
          <t>Levi Strauss (LEVI)</t>
        </is>
      </c>
      <c r="B27" s="115">
        <f>IF(G27&lt;=0,"n.m.",F27/G27)</f>
        <v/>
      </c>
      <c r="F27" s="116" t="n">
        <v>9422753</v>
      </c>
      <c r="G27" s="116" t="n">
        <v>976700</v>
      </c>
    </row>
    <row r="28" ht="28" customHeight="1">
      <c r="A28" s="16" t="inlineStr">
        <is>
          <t>La-Z-Boy (LZB)</t>
        </is>
      </c>
      <c r="B28" s="115">
        <f>IF(G28&lt;=0,"n.m.",F28/G28)</f>
        <v/>
      </c>
      <c r="F28" s="116" t="n">
        <v>1598873</v>
      </c>
      <c r="G28" s="116" t="n">
        <v>235723</v>
      </c>
    </row>
    <row r="29" ht="28" customHeight="1">
      <c r="A29" s="16" t="inlineStr">
        <is>
          <t>Kontoor (KTB)</t>
        </is>
      </c>
      <c r="B29" s="115">
        <f>IF(G29&lt;=0,"n.m.",F29/G29)</f>
        <v/>
      </c>
      <c r="F29" s="116" t="n">
        <v>5236269</v>
      </c>
      <c r="G29" s="116" t="n">
        <v>407521</v>
      </c>
    </row>
    <row r="30"/>
    <row r="31">
      <c r="A31" s="14" t="inlineStr">
        <is>
          <t>ALO YOGA BUILD — no source prints EV/EBITDA (Reuters + Forbes)</t>
        </is>
      </c>
    </row>
    <row r="32">
      <c r="A32" s="26" t="inlineStr">
        <is>
          <t>Column E on the next two rows is $bn, not EV/EBITDA. The black formula is implied EV/Sales on an unclosed ask.</t>
        </is>
      </c>
    </row>
    <row r="33" ht="42" customHeight="1">
      <c r="A33" s="16" t="inlineStr">
        <is>
          <t>Alo / Color Image 2023 Moelis ask ($bn)</t>
        </is>
      </c>
      <c r="B33" s="117" t="n">
        <v>10</v>
      </c>
    </row>
    <row r="34" ht="28" customHeight="1">
      <c r="A34" s="16" t="inlineStr">
        <is>
          <t>Color Image parent sales, Forbes est. ($bn)</t>
        </is>
      </c>
      <c r="B34" s="117" t="n">
        <v>2</v>
      </c>
    </row>
    <row r="35" ht="28" customHeight="1">
      <c r="A35" s="68" t="inlineStr">
        <is>
          <t>Alo implied EV/Sales (ask / parent sales)</t>
        </is>
      </c>
      <c r="B35" s="118">
        <f>B33/B34</f>
        <v/>
      </c>
    </row>
    <row r="36" ht="28" customHeight="1">
      <c r="A36" s="16" t="inlineStr">
        <is>
          <t>Alo EV/EBITDA</t>
        </is>
      </c>
      <c r="B36" s="119" t="inlineStr">
        <is>
          <t>n.a.</t>
        </is>
      </c>
    </row>
    <row r="37"/>
    <row r="38">
      <c r="A38" s="14" t="inlineStr">
        <is>
          <t>Averages (live Excel AVERAGE — shown so TV is not a blended print)</t>
        </is>
      </c>
    </row>
    <row r="39">
      <c r="A39" s="16" t="inlineStr">
        <is>
          <t>Core athletic / apparel mean (LULU / NKE / ADS / DECK / CROX / LEVI / KTB)</t>
        </is>
      </c>
      <c r="B39" s="115">
        <f>AVERAGE(B19,B22,B21,B23,B25,B27,B29)</f>
        <v/>
      </c>
    </row>
    <row r="40">
      <c r="A40" s="16" t="inlineStr">
        <is>
          <t>All positive-EBITDA mean (ex-UAA; includes WSM / MOV / LZB)</t>
        </is>
      </c>
      <c r="B40" s="115">
        <f>AVERAGE(B19,B21,B22,B23,B24,B25,B26,B27,B28,B29)</f>
        <v/>
      </c>
    </row>
    <row r="41">
      <c r="A41" s="107" t="inlineStr">
        <is>
          <t>We do not average peers for terminal value, and we do not use Alo 5.0x EV/Sales as EV/EBITDA.</t>
        </is>
      </c>
    </row>
    <row r="42"/>
    <row r="43">
      <c r="A43" s="14" t="inlineStr">
        <is>
          <t>Terminal multiple selection (DCF exit method)</t>
        </is>
      </c>
    </row>
    <row r="44">
      <c r="A44" s="16" t="inlineStr">
        <is>
          <t>Gordon Growth implied exit EV/EBITDA</t>
        </is>
      </c>
      <c r="B44" s="94">
        <f>DCF!B46</f>
        <v/>
      </c>
    </row>
    <row r="45">
      <c r="A45" s="68" t="inlineStr">
        <is>
          <t>Selected exit multiple (base case)</t>
        </is>
      </c>
      <c r="B45" s="104">
        <f>DCF!B82</f>
        <v/>
      </c>
    </row>
    <row r="46">
      <c r="A46" s="16" t="inlineStr">
        <is>
          <t>Spread (selected − Gordon implied)</t>
        </is>
      </c>
      <c r="B46" s="94">
        <f>B45-B44</f>
        <v/>
      </c>
    </row>
    <row r="47">
      <c r="A47" s="68" t="inlineStr">
        <is>
          <t>Rationale for selected exit (Gordon identity, not a peer pick)</t>
        </is>
      </c>
    </row>
    <row r="48">
      <c r="A48" s="41" t="inlineStr">
        <is>
          <t>• Selected exit = Gordon TV / FY30 EBITDA. Identity: (UFCF/EBITDA)×(1+g)/(WACC−g). Live formula, not a typed 8.0x</t>
        </is>
      </c>
    </row>
    <row r="49">
      <c r="A49" s="41" t="inlineStr">
        <is>
          <t>• At base WACC ~9.0% and g 2.25% that identity is ~7.4x FY30 EBITDA — not a peer average</t>
        </is>
      </c>
    </row>
    <row r="50">
      <c r="A50" s="41" t="inlineStr">
        <is>
          <t>• PitchBook pubcomps (04-Sep-2026) are the current tape: each multiple is daily EV / TTM EBITDA</t>
        </is>
      </c>
    </row>
    <row r="51">
      <c r="A51" s="41" t="inlineStr">
        <is>
          <t>• That tape is a check, not the exit. A 2.25% g / 15.5% OM year is not today’s NKE/WSM multiple</t>
        </is>
      </c>
    </row>
    <row r="52">
      <c r="A52" s="41" t="inlineStr">
        <is>
          <t>• Alo has no EV/EBITDA print. Implied 5.0x is EV/Sales (unclosed $10bn ask / ~$2bn parent sales) — not the FY30 exit</t>
        </is>
      </c>
    </row>
    <row r="53">
      <c r="A53" s="41" t="inlineStr">
        <is>
          <t>• PitchBook LULU is ~4.7x TTM. Gordon ~7.4x is a partial recovery, not a re-rate to WSM ~15x</t>
        </is>
      </c>
    </row>
    <row r="54"/>
    <row r="55">
      <c r="A55" s="14" t="inlineStr">
        <is>
          <t>Methodology / multiple ranges (FY2030E terminal EBITDA — football field)</t>
        </is>
      </c>
    </row>
    <row r="56">
      <c r="A56" s="113" t="inlineStr">
        <is>
          <t>Method</t>
        </is>
      </c>
      <c r="B56" s="114" t="inlineStr">
        <is>
          <t>Low mult.</t>
        </is>
      </c>
      <c r="C56" s="114" t="inlineStr">
        <is>
          <t>High mult.</t>
        </is>
      </c>
      <c r="D56" s="114" t="inlineStr">
        <is>
          <t>Implied px (low)</t>
        </is>
      </c>
      <c r="E56" s="114" t="inlineStr">
        <is>
          <t>Implied px (high)</t>
        </is>
      </c>
    </row>
    <row r="57" ht="42" customHeight="1">
      <c r="A57" s="16" t="inlineStr">
        <is>
          <t>EV / EBITDA (FY2030E terminal)</t>
        </is>
      </c>
      <c r="B57" s="120" t="n">
        <v>5</v>
      </c>
      <c r="C57" s="120" t="n">
        <v>8</v>
      </c>
      <c r="D57" s="121">
        <f>(B6*B57+B8)/B9</f>
        <v/>
      </c>
      <c r="E57" s="121">
        <f>(B6*C57+B8)/B9</f>
        <v/>
      </c>
    </row>
    <row r="58" ht="28" customHeight="1">
      <c r="A58" s="68" t="inlineStr">
        <is>
          <t>DCF exit method (Gordon-implied on FY2030E EBITDA)</t>
        </is>
      </c>
      <c r="B58" s="118">
        <f>DCF!B82</f>
        <v/>
      </c>
      <c r="D58" s="122">
        <f>(B6*B58+B8)/B9</f>
        <v/>
      </c>
    </row>
    <row r="59" ht="42" customHeight="1">
      <c r="A59" s="16" t="inlineStr">
        <is>
          <t>P / E (FY2026E EPS)</t>
        </is>
      </c>
      <c r="B59" s="120" t="n">
        <v>10</v>
      </c>
      <c r="C59" s="120" t="n">
        <v>18</v>
      </c>
      <c r="D59" s="121">
        <f>B7*B59</f>
        <v/>
      </c>
      <c r="E59" s="121">
        <f>B7*C59</f>
        <v/>
      </c>
    </row>
    <row r="60">
      <c r="A60" s="16" t="inlineStr">
        <is>
          <t>DCF (bear – bull)</t>
        </is>
      </c>
      <c r="B60" s="123" t="inlineStr">
        <is>
          <t>—</t>
        </is>
      </c>
      <c r="C60" s="123" t="inlineStr">
        <is>
          <t>—</t>
        </is>
      </c>
      <c r="D60" s="121">
        <f>Scenarios!C132</f>
        <v/>
      </c>
      <c r="E60" s="121">
        <f>Scenarios!E132</f>
        <v/>
      </c>
    </row>
    <row r="61"/>
    <row r="62" ht="28" customHeight="1">
      <c r="A62" s="124" t="inlineStr">
        <is>
          <t>Current price</t>
        </is>
      </c>
      <c r="B62" s="125" t="n">
        <v>100</v>
      </c>
    </row>
    <row r="63">
      <c r="A63" s="26" t="inlineStr">
        <is>
          <t>Note: pubcomps are PitchBook 04-Sep-2026 (EV/EBITDA = daily EV / TTM EBITDA). UAA excluded from the mean. Selected TV is Gordon implied, not the PitchBook average. Alo EV/EBITDA is n.a.</t>
        </is>
      </c>
    </row>
  </sheetData>
  <hyperlinks>
    <hyperlink xmlns:r="http://schemas.openxmlformats.org/officeDocument/2006/relationships" ref="E4" r:id="rId1"/>
    <hyperlink xmlns:r="http://schemas.openxmlformats.org/officeDocument/2006/relationships" ref="E7" r:id="rId2"/>
    <hyperlink xmlns:r="http://schemas.openxmlformats.org/officeDocument/2006/relationships" ref="E8" r:id="rId3"/>
    <hyperlink xmlns:r="http://schemas.openxmlformats.org/officeDocument/2006/relationships" ref="E9" r:id="rId4"/>
    <hyperlink xmlns:r="http://schemas.openxmlformats.org/officeDocument/2006/relationships" ref="E10" r:id="rId5"/>
    <hyperlink xmlns:r="http://schemas.openxmlformats.org/officeDocument/2006/relationships" ref="E33" r:id="rId6"/>
    <hyperlink xmlns:r="http://schemas.openxmlformats.org/officeDocument/2006/relationships" ref="E34" r:id="rId7"/>
    <hyperlink xmlns:r="http://schemas.openxmlformats.org/officeDocument/2006/relationships" ref="E62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2026-09-09T15:52:21Z</dcterms:created>
  <dcterms:modified xsi:type="dcterms:W3CDTF">2026-09-10T01:36:52Z</dcterms:modified>
</cp:coreProperties>
</file>
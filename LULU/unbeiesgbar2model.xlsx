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B36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outlineLevel="1" width="28" customWidth="1" min="2" max="2"/>
    <col outlineLevel="1" width="18" customWidth="1" min="3" max="3"/>
    <col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100.61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/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E19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outlineLevel="1" width="26" customWidth="1" min="2" max="2"/>
    <col outlineLevel="1" width="16" customWidth="1" min="3" max="3"/>
    <col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0"/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H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outlineLevel="1" width="40" customWidth="1" min="9" max="9"/>
    <col outlineLevel="1" width="28" customWidth="1" min="10" max="10"/>
    <col outlineLevel="1" width="16" customWidth="1" min="11" max="11"/>
    <col outlineLevel="1"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G52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outlineLevel="1" width="22" customWidth="1" min="2" max="2"/>
    <col outlineLevel="1" width="28" customWidth="1" min="3" max="3"/>
    <col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4"/>
    <row r="15" outlineLevel="1">
      <c r="A15" s="73" t="inlineStr">
        <is>
          <t>EBIT adjustments</t>
        </is>
      </c>
    </row>
    <row r="16" outlineLevel="1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outlineLevel="1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outlineLevel="1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outlineLevel="1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outlineLevel="1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outlineLevel="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 outlineLevel="1">
      <c r="A22" s="73" t="inlineStr">
        <is>
          <t>Lease &amp; capitalization</t>
        </is>
      </c>
    </row>
    <row r="23" outlineLevel="1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outlineLevel="1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outlineLevel="1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outlineLevel="1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 outlineLevel="1">
      <c r="A27" s="73" t="inlineStr">
        <is>
          <t>Segment EBIT bridge</t>
        </is>
      </c>
    </row>
    <row r="28" outlineLevel="1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outlineLevel="1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outlineLevel="1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outlineLevel="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outlineLevel="1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outlineLevel="1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outlineLevel="1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outlineLevel="1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outlineLevel="1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 outlineLevel="1">
      <c r="A37" s="16" t="inlineStr">
        <is>
          <t>Check vs Scenarios EBIT (base case)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 outlineLevel="1">
      <c r="A38" s="73" t="inlineStr">
        <is>
          <t>Tax normalization</t>
        </is>
      </c>
    </row>
    <row r="39" outlineLevel="1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outlineLevel="1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outlineLevel="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2"/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inlineStr">
        <is>
          <t>Steps 1-4: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H10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6" customWidth="1" min="2" max="2"/>
    <col outlineLevel="1" width="16" customWidth="1" min="3" max="3"/>
    <col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outlineLevel="1" width="16" customWidth="1" min="12" max="12"/>
    <col outlineLevel="1"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  <c r="H2" s="81" t="inlineStr">
        <is>
          <t>Check</t>
        </is>
      </c>
    </row>
    <row r="3" ht="28" customHeight="1">
      <c r="A3" s="82" t="n"/>
      <c r="B3" s="83" t="n"/>
      <c r="H3" s="84" t="n"/>
    </row>
    <row r="4" ht="36" customHeight="1">
      <c r="A4" s="38" t="n"/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  <c r="H5" s="86">
        <f>IF(MAX(ABS(C5-Scenarios!$D$25),ABS(D5-Scenarios!$D$26),ABS(E5-Scenarios!$D$27),ABS(F5-Scenarios!$D$28),ABS(G5-Scenarios!$D$29))&lt;0.5,"OK","CHECK")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86">
        <f>IF(MAX(ABS(C8-Scenarios!$D$35),ABS(D8-Scenarios!$D$36),ABS(E8-Scenarios!$D$37),ABS(F8-Scenarios!$D$38),ABS(G8-Scenarios!$D$39))&lt;0.5,"OK","CHECK")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86">
        <f>IF(MAX(ABS(C9-Scenarios!$D$40),ABS(D9-Scenarios!$D$41),ABS(E9-Scenarios!$D$42),ABS(F9-Scenarios!$D$43),ABS(G9-Scenarios!$D$44))&lt;0.0001,"OK","CHECK")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  <c r="H11" s="87">
        <f>IF(MAX(ABS(C11-Scenarios!$D$45),ABS(D11-Scenarios!$D$46),ABS(E11-Scenarios!$D$47),ABS(F11-Scenarios!$D$48),ABS(G11-Scenarios!$D$49))&lt;0.5,"OK","CHECK")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  <c r="H14" s="87">
        <f>IF(MAX(ABS(C14-Scenarios!$D$50),ABS(D14-Scenarios!$D$51),ABS(E14-Scenarios!$D$52),ABS(F14-Scenarios!$D$53),ABS(G14-Scenarios!$D$54))&lt;0.5,"OK","CHECK")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  <c r="H16" s="86">
        <f>IF(MAX(ABS(C16-Scenarios!$D$55),ABS(D16-Scenarios!$D$56),ABS(E16-Scenarios!$D$57),ABS(F16-Scenarios!$D$58),ABS(G16-Scenarios!$D$59))&lt;0.5,"OK","CHECK")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  <c r="H18" s="86">
        <f>IF(MAX(ABS(C18+Scenarios!$D$60),ABS(D18+Scenarios!$D$61),ABS(E18+Scenarios!$D$62),ABS(F18+Scenarios!$D$63),ABS(G18+Scenarios!$D$64))&lt;0.5,"OK","CHECK")</f>
        <v/>
      </c>
    </row>
    <row r="19">
      <c r="A19" s="52" t="inlineStr">
        <is>
          <t>Working capital schedule</t>
        </is>
      </c>
    </row>
    <row r="20" outlineLevel="1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  <c r="H20" s="86">
        <f>IF(MAX(ABS(C20-Scenarios!$D$65),ABS(D20-Scenarios!$D$66),ABS(E20-Scenarios!$D$67),ABS(F20-Scenarios!$D$68),ABS(G20-Scenarios!$D$69))&lt;0.5,"OK","CHECK")</f>
        <v/>
      </c>
    </row>
    <row r="21" outlineLevel="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  <c r="H21" s="86">
        <f>IF(MAX(ABS(C21-Scenarios!$D$70),ABS(D21-Scenarios!$D$71),ABS(E21-Scenarios!$D$72),ABS(F21-Scenarios!$D$73),ABS(G21-Scenarios!$D$74))&lt;0.5,"OK","CHECK")</f>
        <v/>
      </c>
    </row>
    <row r="22" outlineLevel="1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  <c r="H22" s="86">
        <f>IF(MAX(ABS(C22-Scenarios!$D$75),ABS(D22-Scenarios!$D$76),ABS(E22-Scenarios!$D$77),ABS(F22-Scenarios!$D$78),ABS(G22-Scenarios!$D$79))&lt;0.5,"OK","CHECK")</f>
        <v/>
      </c>
    </row>
    <row r="23" outlineLevel="1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  <c r="H23" s="86">
        <f>IF(MAX(ABS(C23-Scenarios!$D$80),ABS(D23-Scenarios!$D$81),ABS(E23-Scenarios!$D$82),ABS(F23-Scenarios!$D$83),ABS(G23-Scenarios!$D$84))&lt;0.5,"OK","CHECK")</f>
        <v/>
      </c>
    </row>
    <row r="24" outlineLevel="1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  <c r="H24" s="86">
        <f>IF(MAX(ABS(C24-Scenarios!$D$85),ABS(D24-Scenarios!$D$86),ABS(E24-Scenarios!$D$87),ABS(F24-Scenarios!$D$88),ABS(G24-Scenarios!$D$89))&lt;0.5,"OK","CHECK")</f>
        <v/>
      </c>
    </row>
    <row r="25" outlineLevel="1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  <c r="H25" s="86">
        <f>IF(MAX(ABS(C25-Scenarios!$D$90),ABS(D25-Scenarios!$D$91),ABS(E25-Scenarios!$D$92),ABS(F25-Scenarios!$D$93),ABS(G25-Scenarios!$D$94))&lt;0.5,"OK","CHECK")</f>
        <v/>
      </c>
    </row>
    <row r="26" outlineLevel="1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outlineLevel="1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  <c r="H27" s="86">
        <f>IF(MAX(ABS(C27-Scenarios!$D$95),ABS(D27-Scenarios!$D$96),ABS(E27-Scenarios!$D$97),ABS(F27-Scenarios!$D$98),ABS(G27-Scenarios!$D$99))&lt;0.5,"OK","CHECK")</f>
        <v/>
      </c>
    </row>
    <row r="28" outlineLevel="1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outlineLevel="1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  <c r="H29" s="86">
        <f>IF(MAX(ABS(C29-Scenarios!$D$100),ABS(D29-Scenarios!$D$101),ABS(E29-Scenarios!$D$102),ABS(F29-Scenarios!$D$103),ABS(G29-Scenarios!$D$104))&lt;0.5,"OK","CHECK")</f>
        <v/>
      </c>
    </row>
    <row r="30" outlineLevel="1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  <c r="H30" s="86">
        <f>IF(MAX(ABS(C30-Scenarios!$D$105),ABS(D30-Scenarios!$D$106),ABS(E30-Scenarios!$D$107),ABS(F30-Scenarios!$D$108),ABS(G30-Scenarios!$D$109))&lt;0.5,"OK","CHECK")</f>
        <v/>
      </c>
    </row>
    <row r="31" outlineLevel="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  <c r="H31" s="86">
        <f>IF(MAX(ABS(C31-Scenarios!$D$110),ABS(D31-Scenarios!$D$111),ABS(E31-Scenarios!$D$112),ABS(F31-Scenarios!$D$113),ABS(G31-Scenarios!$D$114))&lt;0.5,"OK","CHECK")</f>
        <v/>
      </c>
    </row>
    <row r="32" outlineLevel="1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  <c r="H32" s="87">
        <f>IF(MAX(ABS(C32-Scenarios!$D$115),ABS(D32-Scenarios!$D$116),ABS(E32-Scenarios!$D$117),ABS(F32-Scenarios!$D$118),ABS(G32-Scenarios!$D$119))&lt;0.5,"OK","CHECK")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  <c r="H33" s="87">
        <f>IF(MAX(ABS(C33-Scenarios!$D$120),ABS(D33-Scenarios!$D$121),ABS(E33-Scenarios!$D$122),ABS(F33-Scenarios!$D$123),ABS(G33-Scenarios!$D$124))&lt;0.5,"OK","CHECK")</f>
        <v/>
      </c>
    </row>
    <row r="34">
      <c r="A34" s="26" t="inlineStr">
        <is>
          <t>driver-based NWC. Delta NWC = prior-year NWC - current-year NWC; added to UFCF (NWC build = cash outflow).</t>
        </is>
      </c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  <c r="H35" s="87">
        <f>IF(MAX(ABS(C35-Scenarios!$D$125),ABS(D35-Scenarios!$D$126),ABS(E35-Scenarios!$D$127),ABS(F35-Scenarios!$D$128),ABS(G35-Scenarios!$D$129))&lt;0.5,"OK","CHECK")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39"/>
    <row r="40">
      <c r="A40" s="15" t="inlineStr">
        <is>
          <t>Scenarios linkage</t>
        </is>
      </c>
      <c r="H40" s="92">
        <f>IF(COUNTIF(H5:H35,"CHECK")=0,"ALL OK","REVIEW")</f>
        <v/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</row>
    <row r="51" ht="28" customHeight="1">
      <c r="A51" s="16" t="inlineStr">
        <is>
          <t>Less: total debt &amp; operating leases</t>
        </is>
      </c>
      <c r="B51" s="74" t="n">
        <v>-1798441</v>
      </c>
    </row>
    <row r="52">
      <c r="A52" s="26" t="inlineStr">
        <is>
          <t>funded term debt $0. Operating leases $298,724k current + $1,499,717k non-current = $1,798,441k (ASC 842 debt equivalent).</t>
        </is>
      </c>
    </row>
    <row r="53">
      <c r="A53" s="26" t="inlineStr">
        <is>
          <t>UFCF pre-interest; ASC 842 lease debt in EV bridge.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</row>
    <row r="56">
      <c r="A56" s="23" t="inlineStr">
        <is>
          <t>Implied value per share</t>
        </is>
      </c>
      <c r="B56" s="96">
        <f>B54/B55</f>
        <v/>
      </c>
      <c r="H56" s="87">
        <f>IF(ABS(B56-Scenarios!$D$132)&lt;0.05,"OK","CHECK")</f>
        <v/>
      </c>
    </row>
    <row r="57" ht="28" customHeight="1">
      <c r="A57" s="16" t="inlineStr">
        <is>
          <t>Current share price</t>
        </is>
      </c>
      <c r="B57" s="97" t="n">
        <v>100.61</v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0"/>
    <row r="61"/>
    <row r="62">
      <c r="A62" s="93" t="inlineStr">
        <is>
          <t>SHARE REPURCHASE &amp; EPS ACCRETION SCHEDULE</t>
        </is>
      </c>
      <c r="B62" s="13" t="n"/>
    </row>
    <row r="63">
      <c r="A63" s="26" t="n"/>
    </row>
    <row r="64"/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7"/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/>
    <row r="72">
      <c r="A72" s="16" t="inlineStr">
        <is>
          <t>Projected share price ($)</t>
        </is>
      </c>
      <c r="B72" s="99" t="n">
        <v>100.61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6"/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79"/>
    <row r="80">
      <c r="A80" s="93" t="inlineStr">
        <is>
          <t>CROSS-CHECK - EXIT MULTIPLE METHOD</t>
        </is>
      </c>
    </row>
    <row r="81">
      <c r="A81" s="15" t="inlineStr">
        <is>
          <t>Exit multiple is the Gordon identity - not a peer pick or an average</t>
        </is>
      </c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5"/>
    <row r="96"/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G6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8" customWidth="1" min="2" max="2"/>
    <col outlineLevel="1" width="18" customWidth="1" min="3" max="3"/>
    <col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2"/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</row>
    <row r="8" ht="28" customHeight="1">
      <c r="A8" s="16" t="inlineStr">
        <is>
          <t>Cash &amp; equivalents</t>
        </is>
      </c>
      <c r="B8" s="74" t="n">
        <v>1807202</v>
      </c>
    </row>
    <row r="9" ht="28" customHeight="1">
      <c r="A9" s="16" t="inlineStr">
        <is>
          <t>Shares outstanding (000)</t>
        </is>
      </c>
      <c r="B9" s="74" t="n">
        <v>111380</v>
      </c>
    </row>
    <row r="10" ht="28" customHeight="1">
      <c r="A10" s="16" t="inlineStr">
        <is>
          <t>Current share price</t>
        </is>
      </c>
      <c r="B10" s="97" t="n">
        <v>100.61</v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-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0"/>
    <row r="31">
      <c r="A31" s="14" t="inlineStr">
        <is>
          <t>ALO YOGA BUILD - no source prints EV/EBITDA (Reuters + Forbes)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117" t="n">
        <v>10</v>
      </c>
    </row>
    <row r="34" ht="28" customHeight="1">
      <c r="A34" s="16" t="inlineStr">
        <is>
          <t>Color Image parent sales, Forbes est. ($bn)</t>
        </is>
      </c>
      <c r="B34" s="117" t="n">
        <v>2</v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7"/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inlineStr">
        <is>
          <t>Peer multiples illustrative; terminal value from DCF exit multiple.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/ Selected exit = Gordon TV / FY30 EBITDA. Identity: (UFCF/EBITDA)x(1+g)/(WACC-g). Live formula, not a typed 8.0x</t>
        </is>
      </c>
    </row>
    <row r="49">
      <c r="A49" s="41" t="inlineStr">
        <is>
          <t>/ At base WACC ~9.0% and g 2.25% that identity is ~7.4x FY30 EBITDA - not a peer average</t>
        </is>
      </c>
    </row>
    <row r="50">
      <c r="A50" s="41" t="inlineStr">
        <is>
          <t>/ PitchBook pubcomps (04-Sep-2026) are the current tape: each multiple is daily EV / TTM EBITDA</t>
        </is>
      </c>
    </row>
    <row r="51">
      <c r="A51" s="41" t="inlineStr">
        <is>
          <t>/ That tape is a check, not the exit. A 2.25% g / 15.5% OM year is not today's NKE/WSM multiple</t>
        </is>
      </c>
    </row>
    <row r="52">
      <c r="A52" s="41" t="inlineStr">
        <is>
          <t>/ Alo has no EV/EBITDA print. Implied 5.0x is EV/Sales (unclosed $10bn ask / ~$2bn parent sales) - not the FY30 exit</t>
        </is>
      </c>
    </row>
    <row r="53">
      <c r="A53" s="41" t="inlineStr">
        <is>
          <t>/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1"/>
    <row r="62" ht="28" customHeight="1">
      <c r="A62" s="124" t="inlineStr">
        <is>
          <t>Current price</t>
        </is>
      </c>
      <c r="B62" s="125" t="n">
        <v>100.61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2026-09-10T01:59:52Z</dcterms:modified>
</cp:coreProperties>
</file>
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 /><Relationship Type="http://schemas.openxmlformats.org/officeDocument/2006/relationships/hyperlink" Target="https://www.sec.gov/edgar/browse/?CIK=1397187&amp;owner=exclude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nasdaq.com/market-activity/stocks/lulu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 /><Relationship Type="http://schemas.openxmlformats.org/officeDocument/2006/relationships/hyperlink" Target="https://www.stern.nyu.edu/~adamodar/New_Home_Page/datafile/histimpl.html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finance.yahoo.com/quote/LULU/key-statistics/" TargetMode="External" Id="rId8" /><Relationship Type="http://schemas.openxmlformats.org/officeDocument/2006/relationships/hyperlink" Target="https://finance.yahoo.com/quote/LULU/key-statistics/" TargetMode="External" Id="rId9" /><Relationship Type="http://schemas.openxmlformats.org/officeDocument/2006/relationships/hyperlink" Target="https://finance.yahoo.com/quote/LULU/key-statistics/" TargetMode="External" Id="rId10" /><Relationship Type="http://schemas.openxmlformats.org/officeDocument/2006/relationships/hyperlink" Target="https://finance.yahoo.com/quote/LULU/key-statistics/" TargetMode="External" Id="rId11" /><Relationship Type="http://schemas.openxmlformats.org/officeDocument/2006/relationships/hyperlink" Target="https://finance.yahoo.com/quote/LULU/key-statistics/" TargetMode="External" Id="rId12" /><Relationship Type="http://schemas.openxmlformats.org/officeDocument/2006/relationships/hyperlink" Target="https://www.stern.nyu.edu/~adamodar/New_Home_Page/datafile/Betas.html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LULU_Assumptions_Memo.pdf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corporate.lululemon.com/newsroom/press-releases/2026/09-03-2026-210528733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www.sec.gov/Archives/edgar/data/1397187/000139718726000020/lulu-20260201.htm" TargetMode="External" Id="rId36" /><Relationship Type="http://schemas.openxmlformats.org/officeDocument/2006/relationships/hyperlink" Target="https://fred.stlouisfed.org/series/GDPC1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sec.gov/Archives/edgar/data/1397187/000139718726000020/lulu-20260201.htm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www.nasdaq.com/market-activity/stocks/lulu" TargetMode="External" Id="rId45" /><Relationship Type="http://schemas.openxmlformats.org/officeDocument/2006/relationships/hyperlink" Target="https://fred.stlouisfed.org/series/GDPC1" TargetMode="External" Id="rId46" /><Relationship Type="http://schemas.openxmlformats.org/officeDocument/2006/relationships/hyperlink" Target="https://www.stern.nyu.edu/~adamodar/New_Home_Page/datafile/histimpl.html" TargetMode="External" Id="rId47" /><Relationship Type="http://schemas.openxmlformats.org/officeDocument/2006/relationships/hyperlink" Target="https://fred.stlouisfed.org/series/GDPC1" TargetMode="External" Id="rId4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www.reuters.com/markets/deals/alo-yoga-parent-seeks-investment-10-bln-valuation-sources-2023-10-30/" TargetMode="External" Id="rId11" /><Relationship Type="http://schemas.openxmlformats.org/officeDocument/2006/relationships/hyperlink" Target="https://www.reuters.com/markets/deals/alo-yoga-parent-seeks-investment-10-bln-valuation-sources-2023-10-30/" TargetMode="External" Id="rId12" /><Relationship Type="http://schemas.openxmlformats.org/officeDocument/2006/relationships/hyperlink" Target="https://www.forbes.com/sites/jemimamcevoy/2025/04/01/the-founders-of-this-lululemon-rival-are-worth-nearly-5-billion-each/" TargetMode="External" Id="rId13" /><Relationship Type="http://schemas.openxmlformats.org/officeDocument/2006/relationships/hyperlink" Target="https://www.forbes.com/sites/jemimamcevoy/2025/04/01/the-founders-of-this-lululemon-rival-are-worth-nearly-5-billion-each/" TargetMode="External" Id="rId14" /><Relationship Type="http://schemas.openxmlformats.org/officeDocument/2006/relationships/hyperlink" Target="https://stockanalysis.com/stocks/lulu/statistics/" TargetMode="External" Id="rId15" /><Relationship Type="http://schemas.openxmlformats.org/officeDocument/2006/relationships/hyperlink" Target="https://stockanalysis.com/stocks/lulu/statistics/" TargetMode="External" Id="rId16" /><Relationship Type="http://schemas.openxmlformats.org/officeDocument/2006/relationships/hyperlink" Target="https://www.nasdaq.com/market-activity/stocks/lulu" TargetMode="External" Id="rId17" /><Relationship Type="http://schemas.openxmlformats.org/officeDocument/2006/relationships/hyperlink" Target="https://www.nasdaq.com/market-activity/stocks/lulu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GLOBAL INVESTMENT SOCIETY  |  INVESTMENT RESEARCH DIVISION</t>
        </is>
      </c>
    </row>
    <row r="3"/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6"/>
    <row r="7">
      <c r="B7" s="4" t="inlineStr">
        <is>
          <t>Recommendation:  LONG / OVERWEIGHT</t>
        </is>
      </c>
    </row>
    <row r="8"/>
    <row r="9">
      <c r="B9" s="5" t="inlineStr">
        <is>
          <t>FONT / COLOR CONVENTION</t>
        </is>
      </c>
    </row>
    <row r="10">
      <c r="B10" s="6" t="inlineStr">
        <is>
          <t>Blue font  =  figures reported by the company (click value or source link)</t>
        </is>
      </c>
    </row>
    <row r="11">
      <c r="B11" s="7" t="inlineStr">
        <is>
          <t>Black font  =  calculations / formulas</t>
        </is>
      </c>
    </row>
    <row r="12">
      <c r="B12" s="8" t="inlineStr">
        <is>
          <t>Red font  =  analyst assumptions — cols B/C/D on every tab: Justification | Source | Ctrl+F</t>
        </is>
      </c>
    </row>
    <row r="13"/>
    <row r="14">
      <c r="B14" s="5" t="inlineStr">
        <is>
          <t>TABS</t>
        </is>
      </c>
    </row>
    <row r="15">
      <c r="B15" s="9" t="inlineStr">
        <is>
          <t>WACC  •  Revenue Drivers  •  NOPAT Bridge  •  Scenarios  •  DCF  • 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
Ctrl+F: Open for justification, clickable source links, and Ctrl+F proof for every assumption.</t>
        </is>
      </c>
    </row>
    <row r="18"/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
Ctrl+F: Ctrl+F "10-K" → FY2025 accession 0001397187-26-000020</t>
        </is>
      </c>
    </row>
    <row r="21" ht="36" customHeight="1">
      <c r="B21" s="10" t="inlineStr">
        <is>
          <t>FY2025 Form 10-K (ended Feb 1, 2026)
Ctrl+F: Ctrl+F "Net revenue" → 11,102,600 or "Depreciation and amortization" → 496,228 on this 10-K HTML file</t>
        </is>
      </c>
    </row>
    <row r="22" ht="36" customHeight="1">
      <c r="B22" s="10" t="inlineStr">
        <is>
          <t>Market data &amp; Q2 FY2026 results (Sep 3, 2026 earnings release)
Ctrl+F: Ctrl+F "decline of 5% to 7%" | "$10.350 billion to $10.500 billion" | "$9.48 to $9.73"</t>
        </is>
      </c>
    </row>
    <row r="23" ht="36" customHeight="1">
      <c r="B23" s="10" t="inlineStr">
        <is>
          <t>Current share price (NASDAQ: LULU)
Ctrl+F: Ctrl+F "closed at $100.61" → Last Sale on NASDAQ quote page</t>
        </is>
      </c>
    </row>
    <row r="24"/>
    <row r="25">
      <c r="B25" s="11" t="n"/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hidden="1" outlineLevel="1"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 ht="28" customHeight="1">
      <c r="A3" s="16" t="inlineStr">
        <is>
          <t>Risk-free rate (10-yr UST)</t>
        </is>
      </c>
      <c r="B3" s="17" t="inlineStr">
        <is>
          <t>4.8% risk-free = FRED DGS10 on 2026-09-03 (4.77%) rounded; replaces the stale 4.3% input.</t>
        </is>
      </c>
      <c r="C3" s="18" t="inlineStr">
        <is>
          <t>FRED: 10Y Treasury (DGS10)</t>
        </is>
      </c>
      <c r="D3" s="19" t="inlineStr">
        <is>
          <t>Ctrl+F "2026-09-03" → observation 4.77. Model uses 4.8%. Also Ctrl+F "DGS10" for the series title.</t>
        </is>
      </c>
      <c r="E3" s="20" t="n">
        <v>0.048</v>
      </c>
    </row>
    <row r="4" ht="28" customHeight="1">
      <c r="A4" s="16" t="inlineStr">
        <is>
          <t>Equity risk premium</t>
        </is>
      </c>
      <c r="B4" s="17" t="inlineStr">
        <is>
          <t>6.0% ERP is a conservative overlay vs Damodaran Jan-2026 implied 4.23%; used to keep CoE above the risk-free 4.8%.</t>
        </is>
      </c>
      <c r="C4" s="18" t="inlineStr">
        <is>
          <t>Damodaran: Historical Implied ERP</t>
        </is>
      </c>
      <c r="D4" s="19" t="inlineStr">
        <is>
          <t>Ctrl+F "4.23%" on the 2025 row (last data row). Header is "Implied ERP (FCFE)". Model uses 6.0%.</t>
        </is>
      </c>
      <c r="E4" s="20" t="n">
        <v>0.06</v>
      </c>
    </row>
    <row r="5" ht="28" customHeight="1">
      <c r="A5" s="16" t="inlineStr">
        <is>
          <t>Tax rate</t>
        </is>
      </c>
      <c r="B5" s="17" t="inlineStr">
        <is>
          <t>30% cash tax matches FY2026 guidance (“approximately 30%”). Also sets (1−T) = 0.70 in the Hamada β unlever/relever formulas.</t>
        </is>
      </c>
      <c r="C5" s="18" t="inlineStr">
        <is>
          <t>Q2 FY2026 outlook: tax rate ≈ 30%</t>
        </is>
      </c>
      <c r="D5" s="19" t="inlineStr">
        <is>
          <t>Ctrl+F "a tax rate of approximately 30%" on the FY2026 outlook paragraph.</t>
        </is>
      </c>
      <c r="E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$100 share price ≈ NASDAQ Last Sale after Q2 FY2026 guide cut; rounded from $100.61 close.</t>
        </is>
      </c>
      <c r="C8" s="18" t="inlineStr">
        <is>
          <t>NASDAQ LULU last sale (current price)</t>
        </is>
      </c>
      <c r="D8" s="19" t="inlineStr">
        <is>
          <t>Ctrl+F "closed at $100.61" → Last Sale $100.61 (NASDAQ). Model uses $100 rounded.</t>
        </is>
      </c>
      <c r="E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111,380k class A shares outstanding at FY25 year-end (10-K cover). Diluted WA 119,068 is for EPS, not market cap.</t>
        </is>
      </c>
      <c r="C9" s="18" t="inlineStr">
        <is>
          <t>LULU FY2025 10-K: shares outstanding</t>
        </is>
      </c>
      <c r="D9" s="19" t="inlineStr">
        <is>
          <t>Ctrl+F "111,380 and 116,166 issued and outstanding" → 111,380k class A shares (FY25 10-K cover).</t>
        </is>
      </c>
      <c r="E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Market equity = share price × shares outstanding. Capital-structure weighting numerator for relevered β and WACC weights.</t>
        </is>
      </c>
      <c r="C10" s="24" t="inlineStr">
        <is>
          <t>WACC tab: price × shares</t>
        </is>
      </c>
      <c r="D10" s="19" t="inlineStr">
        <is>
          <t>Share price row × shares outstanding row on this tab.</t>
        </is>
      </c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operating lease liabilities = current + non-current ($1,798,441k FY25). Treated as debt equivalent in WACC and EV bridge.</t>
        </is>
      </c>
      <c r="C11" s="18" t="inlineStr">
        <is>
          <t>LULU FY2025 10-K: operating lease liabilities</t>
        </is>
      </c>
      <c r="D11" s="19" t="inlineStr">
        <is>
          <t>Ctrl+F "Current lease liabilities" → 298,724 | "Non-current lease liabilities" → 1,499,717 | sum = 1,798,441 ($000)</t>
        </is>
      </c>
      <c r="E11" s="22" t="n">
        <v>1798441</v>
      </c>
    </row>
    <row r="12">
      <c r="A12" s="26" t="inlineStr">
        <is>
          <t xml:space="preserve">  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inlineStr">
        <is>
          <t>Funded term debt $0; 10-K: no borrowings outstanding on the revolver. Leases are the only debt equivalent here.</t>
        </is>
      </c>
      <c r="C13" s="18" t="inlineStr">
        <is>
          <t>LULU FY2025 10-K (no funded debt)</t>
        </is>
      </c>
      <c r="D13" s="19" t="inlineStr">
        <is>
          <t>Ctrl+F "no borrowings were outstanding under this facility" → funded debt $0</t>
        </is>
      </c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inlineStr">
        <is>
          <t>Yahoo Beta (5Y Monthly) = 0.86. Levered equity βL from ~60 monthly returns vs S&amp;P 500; not unlevered.</t>
        </is>
      </c>
      <c r="C17" s="18" t="inlineStr">
        <is>
          <t>Yahoo Finance: LULU Beta (5Y Monthly)</t>
        </is>
      </c>
      <c r="D17" s="19" t="inlineStr">
        <is>
          <t>Ctrl+F "Beta (5Y Monthly)" → 0.86. Levered βL (Yahoo Key Statistics).</t>
        </is>
      </c>
      <c r="E17" s="27" t="n">
        <v>0.86</v>
      </c>
    </row>
    <row r="18" ht="28" customHeight="1">
      <c r="A18" s="16" t="inlineStr">
        <is>
          <t>Yahoo Total Debt (mrq)</t>
        </is>
      </c>
      <c r="B18" s="17" t="inlineStr">
        <is>
          <t>Yahoo Total Debt (mrq) = $2.14B on the same Key Statistics page as βL. Most recent quarter balance sheet.</t>
        </is>
      </c>
      <c r="C18" s="18" t="inlineStr">
        <is>
          <t>Yahoo Finance: LULU Total Debt (mrq)</t>
        </is>
      </c>
      <c r="D18" s="19" t="inlineStr">
        <is>
          <t>Ctrl+F "Total Debt (mrq)" → 2.14B. Same page as beta.</t>
        </is>
      </c>
      <c r="E18" s="22" t="n">
        <v>2140000</v>
      </c>
    </row>
    <row r="19" ht="28" customHeight="1">
      <c r="A19" s="16" t="inlineStr">
        <is>
          <t>Yahoo Market Cap (same page as βL)</t>
        </is>
      </c>
      <c r="B19" s="17" t="inlineStr">
        <is>
          <t>Yahoo Market Cap = $11.14B on the same page as βL and Total Debt (mrq). Market value of equity.</t>
        </is>
      </c>
      <c r="C19" s="18" t="inlineStr">
        <is>
          <t>Yahoo Finance: LULU Market Cap</t>
        </is>
      </c>
      <c r="D19" s="19" t="inlineStr">
        <is>
          <t>Ctrl+F "Market Cap" → 11.14B. Same page as beta and debt.</t>
        </is>
      </c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inlineStr">
        <is>
          <t>Unlever D/E = Yahoo debt (mrq) ÷ Yahoo market cap ≈ 0.19. Market-value D/E from the beta source page (Hamada convention).</t>
        </is>
      </c>
      <c r="C20" s="18" t="inlineStr">
        <is>
          <t>Yahoo Finance: debt (mrq) ÷ market cap</t>
        </is>
      </c>
      <c r="D20" s="19" t="inlineStr">
        <is>
          <t>Formula: D/E = E[Yahoo debt mrq] ÷ E[Yahoo market cap]. 2.14B ÷ 11.14B ≈ 0.19.</t>
        </is>
      </c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inlineStr">
        <is>
          <t>Yahoo Total Debt/Equity (mrq) = 44.69% is book D/E on the same page; shown for reference, not used in Hamada.</t>
        </is>
      </c>
      <c r="C21" s="18" t="inlineStr">
        <is>
          <t>Yahoo Finance: Total Debt/Equity (mrq)</t>
        </is>
      </c>
      <c r="D21" s="19" t="inlineStr">
        <is>
          <t>Ctrl+F "Total Debt/Equity (mrq)" → 44.69%. Book D/E; reference only, not in Hamada.</t>
        </is>
      </c>
      <c r="E21" s="27" t="n">
        <v>0.4469</v>
      </c>
    </row>
    <row r="22" ht="28" customHeight="1">
      <c r="A22" s="16" t="inlineStr">
        <is>
          <t>Unlevered βu</t>
        </is>
      </c>
      <c r="B22" s="17" t="inlineStr">
        <is>
          <t>βu = 0.86 ÷ [1 + 0.70 × 0.19]. Strip Yahoo market D/E from βL → βu ≈ 0.76. No vendor publishes D/E inside the regression.</t>
        </is>
      </c>
      <c r="C22" s="24" t="inlineStr">
        <is>
          <t>WACC tab: Hamada unlever (Yahoo market D/E)</t>
        </is>
      </c>
      <c r="D22" s="19" t="inlineStr">
        <is>
          <t>βu = E[βL] ÷ (1 + 0.70 × E[D/E Yahoo]). 0.86 ÷ 1.134 ≈ 0.76. Regression does not publish embedded D/E.</t>
        </is>
      </c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inlineStr">
        <is>
          <t>Relever D/E = FY25 10-K lease debt ÷ our market cap ≈ 0.16; WACC capital structure we model.</t>
        </is>
      </c>
      <c r="C23" s="24" t="inlineStr">
        <is>
          <t>WACC tab: FY25 lease debt / market equity</t>
        </is>
      </c>
      <c r="D23" s="19" t="inlineStr">
        <is>
          <t>D/E = E[FY25 lease debt] ÷ E[market cap]. 1,798,441 ÷ 11,138,000 ≈ 0.16 (10-K + model).</t>
        </is>
      </c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inlineStr">
        <is>
          <t>Benchmark only: Damodaran unlevered Retail (Special Lines) βu = 0.95. Not used; we derive βu from Yahoo βL.</t>
        </is>
      </c>
      <c r="C24" s="18" t="inlineStr">
        <is>
          <t>Damodaran: US betas by sector (Jan 2026)</t>
        </is>
      </c>
      <c r="D24" s="19" t="inlineStr">
        <is>
          <t>Ctrl+F "Retail (Special Lines)" → 0.95 βu. Sector benchmark; not used in WACC.</t>
        </is>
      </c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inlineStr">
        <is>
          <t>β used = βu × [1 + 0.70 × WACC D/E] ≈ 0.84. Relevered βL feeds CAPM: CoE = rf + β×ERP.</t>
        </is>
      </c>
      <c r="C25" s="24" t="inlineStr">
        <is>
          <t>WACC tab: Hamada relever (total D/E incl. leases)</t>
        </is>
      </c>
      <c r="D25" s="19" t="inlineStr">
        <is>
          <t>YAHOO KEY STATISTICS; βL + debt + equity on ONE page
(No vendor publishes the D/E embedded inside the regression.)
Observed levered βL
  Ctrl+F "Beta (5Y Monthly)"  →  0.86
  ~60 monthly returns vs S&amp;P 500 (Yahoo label)
Paired inputs on same page (mrq = most recent quarter)
  Ctrl+F "Total Debt (mrq)"  →  2.14B
  Ctrl+F "Market Cap"  →  11.14B
  Ctrl+F "Total Debt/Equity (mrq)"  →  44.69%  (book; reference only)
STEP 1 — UNLEVER (market D/E from Yahoo page)
  D/E = Total Debt (mrq) ÷ Market Cap = 2.14 ÷ 11.14 ≈  0.19
  βu = 0.86 ÷ [1 + 0.70 × 0.19] = 0.86 ÷ 1.134  ≈  0.76
  (1−T) = 0.70 at 30% tax on this tab
STEP 2 — RELEVER (WACC: FY25 10-K lease debt / our market cap)
  Ctrl+F "Current lease liabilities"  →  298,724
  Ctrl+F "Non-current lease liabilities"  →  1,499,717
  D/E ≈ 0.16.  β used = 0.76 × 1.113  ≈  0.84
Benchmark (not used): Damodaran Retail βu 0.95</t>
        </is>
      </c>
      <c r="E25" s="29">
        <f>E22*(1+(1-E5)*E23)</f>
        <v/>
      </c>
    </row>
    <row r="26">
      <c r="A26" s="26" t="inlineStr">
        <is>
          <t xml:space="preserve">  β walkthrough (Hamada; Yahoo Key Statistics source):</t>
        </is>
      </c>
    </row>
    <row r="27">
      <c r="A27" s="26" t="inlineStr">
        <is>
          <t xml:space="preserve">  (0) Yahoo βL = 0.86 (Beta 5Y Monthly). No vendor publishes D/E inside the regression.</t>
        </is>
      </c>
    </row>
    <row r="28">
      <c r="A28" s="26" t="inlineStr">
        <is>
          <t xml:space="preserve">  (1) Unlever at Yahoo market D/E = $2.14B debt (mrq) ÷ $11.14B mkt cap ≈ 0.19 → βu ≈ 0.76.</t>
        </is>
      </c>
    </row>
    <row r="29">
      <c r="A29" s="26" t="inlineStr">
        <is>
          <t xml:space="preserve">  (2) Relever at WACC D/E = FY25 10-K leases ÷ our market cap ≈ 0.16 → β used ≈ 0.84.</t>
        </is>
      </c>
    </row>
    <row r="30">
      <c r="A30" s="26" t="inlineStr">
        <is>
          <t xml:space="preserve">  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inlineStr">
        <is>
          <t>5.0% pre-tax lease-equivalent borrowing cost; cheaper than equity. No funded revolver borrowings per FY25 10-K.</t>
        </is>
      </c>
      <c r="C35" s="18" t="inlineStr">
        <is>
          <t>LULU FY2025 10-K: lease liabilities &amp; no funded debt</t>
        </is>
      </c>
      <c r="D35" s="19" t="inlineStr">
        <is>
          <t>Ctrl+F "Current lease liabilities" + "Non-current lease liabilities" → debt equiv. 5.0% illustrative lease borrowing cost.</t>
        </is>
      </c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inlineStr">
        <is>
          <t>Equity weight = market cap ÷ (market cap + lease debt). ~86% at $100 and FY25 lease balance.</t>
        </is>
      </c>
      <c r="C39" s="24" t="inlineStr">
        <is>
          <t>WACC tab: capital structure</t>
        </is>
      </c>
      <c r="D39" s="19" t="inlineStr">
        <is>
          <t>Equity weight = market cap ÷ (market cap + lease debt). Live formula on this tab.</t>
        </is>
      </c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inlineStr">
        <is>
          <t>Debt weight = lease liabilities ÷ (market cap + lease debt). ~14%; ASC 842 leases, not bank debt.</t>
        </is>
      </c>
      <c r="C40" s="18" t="inlineStr">
        <is>
          <t>LULU FY2025 10-K: operating lease liabilities</t>
        </is>
      </c>
      <c r="D40" s="19" t="inlineStr">
        <is>
          <t>Debt weight = lease liabilities ÷ (market cap + lease debt). ~14% at FY25 balances.</t>
        </is>
      </c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showOutlineSymbols="1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hidden="1" outlineLevel="1"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 [cols B–D: click + to expand]</t>
        </is>
      </c>
      <c r="C3" s="15" t="inlineStr">
        <is>
          <t>Source (click)</t>
        </is>
      </c>
      <c r="D3" s="15" t="inlineStr">
        <is>
          <t>Ctrl+F (prove number)</t>
        </is>
      </c>
    </row>
    <row r="4" ht="28" customHeight="1">
      <c r="A4" s="16" t="inlineStr">
        <is>
          <t>FY2026E revenue growth</t>
        </is>
      </c>
      <c r="B4" s="17" t="inlineStr">
        <is>
          <t>−6.1% FY2026 revenue growth matches company guidance midpoint of −5% to −7% after Q2 FY2026 print.</t>
        </is>
      </c>
      <c r="C4" s="18" t="inlineStr">
        <is>
          <t>LULU Q2 FY2026 earnings release</t>
        </is>
      </c>
      <c r="D4" s="19" t="inlineStr">
        <is>
          <t>Ctrl+F "decline of 5% to 7%" → FY2026 revenue guide; model −6.1% midpoint</t>
        </is>
      </c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2.3% FY27–30 growth matches StockAnalysis Revenue Growth Forecast (3Y) of 2.26%; next-year consensus is +2.64%.</t>
        </is>
      </c>
      <c r="C5" s="18" t="inlineStr">
        <is>
          <t>StockAnalysis: LULU 3Y revenue forecast</t>
        </is>
      </c>
      <c r="D5" s="19" t="inlineStr">
        <is>
          <t>Ctrl+F "Revenue Growth Forecast (3Y)" → 2.26%. That is the unique line (do not search "Net revenue"). Model FY27–30 uses 2.3%.</t>
        </is>
      </c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13.2% is the real/run-rate OM: Q2 18.8% minus 560bps of tariff refunds. FY26 then adds the $134.5M refund once on top.</t>
        </is>
      </c>
      <c r="C6" s="18" t="inlineStr">
        <is>
          <t>Q2 FY2026 release: 18.8% OM minus 560bps tariffs</t>
        </is>
      </c>
      <c r="D6" s="19" t="inlineStr">
        <is>
          <t>Ctrl+F "18.8%" (Q2 OM) and "560 basis points" (tariff boost). Real run-rate = 18.8% − 5.6% = 13.2%. Do not use "decreased 13%".</t>
        </is>
      </c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Add back $134.5M in FY26 only; already recognized (reduced COGS). +130bps on FY26 sales, not +560bps (that was Q2-only).</t>
        </is>
      </c>
      <c r="C7" s="18" t="inlineStr">
        <is>
          <t>Q2 FY2026 release: $134.5M IEEPA tariff refunds</t>
        </is>
      </c>
      <c r="D7" s="19" t="inlineStr">
        <is>
          <t>Ctrl+F "134.5 million" → IEEPA tariff refunds reduced COGS. Add this dollar amount to FY26 EBIT only. Full-year boost = 134.5 / FY26 sales ≈ 1.3ppt, not 5.6ppt.</t>
        </is>
      </c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FY30 15.5% is a partial recovery vs the FY25 10-K OM of 19.9% (unique Ctrl+F). Still well below the FY24 23.7% peak.</t>
        </is>
      </c>
      <c r="C8" s="18" t="inlineStr">
        <is>
          <t>FY2025 10-K: Operating margin 19.9% (one hit)</t>
        </is>
      </c>
      <c r="D8" s="19" t="inlineStr">
        <is>
          <t>Ctrl+F "19.9%" (one hit) → Operating margin decreased 380 basis points to 19.9%. That is FY25 OM. Do not search the words Income from operations (17 hits). Model FY30 15.5% is a partial-recovery assumption.</t>
        </is>
      </c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inlineStr">
        <is>
          <t>Base WACC from WACC tab (lease-adjusted CAPM). Bear/bull bracket ±100bps around the calculated base.</t>
        </is>
      </c>
      <c r="C9" s="18" t="inlineStr">
        <is>
          <t>WACC tab: CAPM build</t>
        </is>
      </c>
      <c r="D9" s="19" t="inlineStr">
        <is>
          <t>WACC tab → green cell = rf 4.8% + relevered β × ERP 6.0%</t>
        </is>
      </c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inlineStr">
        <is>
          <t>2.25% terminal g sits next to FRED GDPC1 Q2/Q2 real GDP ≈ 2.1% (24,269.613 / 23,770.976 − 1).</t>
        </is>
      </c>
      <c r="C10" s="18" t="inlineStr">
        <is>
          <t>FRED: Real GDP (GDPC1)</t>
        </is>
      </c>
      <c r="D10" s="19" t="inlineStr">
        <is>
          <t>Ctrl+F "Q2 2026" → 24,269.613 and "Q2 2025" → 23,770.976. YoY = 2.1%. Model terminal g 2.25%.</t>
        </is>
      </c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inlineStr">
        <is>
          <t>30% cash tax from FY2026 outlook; FY25 10-K effective is 29.5% (659,784 / 2,238,967).</t>
        </is>
      </c>
      <c r="C11" s="18" t="inlineStr">
        <is>
          <t>Q2 FY2026 outlook: tax rate ≈ 30%</t>
        </is>
      </c>
      <c r="D11" s="19" t="inlineStr">
        <is>
          <t>Ctrl+F "a tax rate of approximately 30%" on the earnings outlook. FY25 10-K: "Income tax expense" 659,784 ÷ "Income before income tax expense" 2,238,967 = 29.5%.</t>
        </is>
      </c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4.5% D&amp;A / sales = FY25 496,228 / 11,102,600 on the 10-K cash-flow statement.</t>
        </is>
      </c>
      <c r="C12" s="18" t="inlineStr">
        <is>
          <t>LULU CF statement (10-K)</t>
        </is>
      </c>
      <c r="D12" s="19" t="inlineStr">
        <is>
          <t>Ctrl+F "Depreciation and amortization" → 496,228 on this 10-K HTML (not the SEC viewer). ÷ "Net revenue" 11,102,600 = 4.5%.</t>
        </is>
      </c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3" s="38" t="inlineStr">
        <is>
          <t>LULU 10-K: 2026 capex guide $725–745M
Also: Q2 FY2026 outlook: $10.350B–$10.500B sales</t>
        </is>
      </c>
      <c r="D13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inlineStr">
        <is>
          <t>56.6% of revenue (gross margin). Isolates COGS for inventory/AP drivers; base case held near FY25 reported GM.</t>
        </is>
      </c>
      <c r="C14" s="18" t="inlineStr">
        <is>
          <t>LULU FY2025 10-K: Gross profit &amp; COGS</t>
        </is>
      </c>
      <c r="D14" s="19" t="inlineStr">
        <is>
          <t>56.6% of revenue (gross margin).
Ctrl+F "Gross profit"
→ 6,284,132 ($000)
Ctrl+F "Net revenue"
→ 11,102,600 ($000)
Ctrl+F "Cost of goods sold"
→ 4,818,468 ($000)</t>
        </is>
      </c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Not % of revenue; DSO (days), flat ~6.3. Mostly own stores/DTC (cash at register); AR is small wholesale residual; predictable ~6 days FY22–25.</t>
        </is>
      </c>
      <c r="C15" s="18" t="inlineStr">
        <is>
          <t>LULU FY2025 10-K: Accounts receivable, net</t>
        </is>
      </c>
      <c r="D15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Not % of revenue; DIO (days).
FY25 anchor: DIO = (Inventories ÷ COGS) × 365
  = (1,700,753 ÷ 4,818,468) × 365 ≈ 129 days (FY24 inv: 1,442,081).
Forecast path: DIO_t = FY25 DIO − (1 day × year t); flat across scenarios.</t>
        </is>
      </c>
      <c r="C16" s="18" t="inlineStr">
        <is>
          <t>LULU FY2025 10-K: Inventories &amp; COGS</t>
        </is>
      </c>
      <c r="D16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</t>
        </is>
      </c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Not % of revenue; subtract 1 DIO day per forecast year (−5 days FY26–30).
Feeds Inventories = (DIO_t ÷ 365) × COGS_t.
Ctrl+F "reduce the percentage of markdowns"
Ctrl+F "On a unit basis, we expect inventories to slightly decrease"</t>
        </is>
      </c>
      <c r="C17" s="18" t="inlineStr">
        <is>
          <t>LULU FY2025 10-K: inventory &amp; markdown outlook</t>
        </is>
      </c>
      <c r="D17" s="19" t="inlineStr">
        <is>
          <t>Not % of revenue; DIO −1 day/yr (−5 days FY26–30).
Feeds Inventories_t = (DIO_t ÷ 365) × COGS_t.
Ctrl+F "reduce the percentage of markdowns"
Ctrl+F "On a unit basis, we expect inventories to slightly decrease"</t>
        </is>
      </c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Not % of revenue; DPO (days), flat ~25.1. Implied AP ≈3.0% of sales / 6.9% of COGS.</t>
        </is>
      </c>
      <c r="C18" s="18" t="inlineStr">
        <is>
          <t>LULU FY2025 10-K: Accounts payable &amp; COGS</t>
        </is>
      </c>
      <c r="D18" s="19" t="inlineStr">
        <is>
          <t>Ctrl+F "Accounts payable"
→ 331,421 ($000)
Ctrl+F "Cost of goods sold"
→ 4,818,468 ($000)
Not % of revenue; DPO ≈ 25.1 days. Implied AP ≈ 3.0% of sales / 6.9% of COGS.</t>
        </is>
      </c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5.1% of revenue (flat). FY25 other current assets (prepaids + tax receivables) ÷ net revenue.</t>
        </is>
      </c>
      <c r="C19" s="18" t="inlineStr">
        <is>
          <t>LULU FY2025 10-K: other current assets (residual)</t>
        </is>
      </c>
      <c r="D19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6.0% of revenue (flat). FY25 accrued liabilities ÷ net revenue; comp/marketing accrual mix.</t>
        </is>
      </c>
      <c r="C20" s="18" t="inlineStr">
        <is>
          <t>LULU FY2025 10-K: Accrued liabilities and other</t>
        </is>
      </c>
      <c r="D20" s="19" t="inlineStr">
        <is>
          <t>Ctrl+F "Accrued liabilities and other"
→ 662,982 ($000)
Ctrl+F "Net revenue"
→ 11,102,600 ($000)
6.0% of revenue (flat). 662,982 ÷ 11,102,600.</t>
        </is>
      </c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500000</v>
      </c>
      <c r="G21" s="37" t="n">
        <v>500000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4">
      <c r="A24" s="14" t="inlineStr">
        <is>
          <t>5-year forecast paths (by scenario)</t>
        </is>
      </c>
    </row>
    <row r="25">
      <c r="A25" s="41" t="inlineStr">
        <is>
          <t xml:space="preserve">  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 xml:space="preserve">  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 xml:space="preserve">  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 xml:space="preserve">  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 xml:space="preserve">  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 xml:space="preserve">  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 xml:space="preserve">  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 xml:space="preserve">  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 xml:space="preserve">  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 xml:space="preserve">  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 xml:space="preserve">  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 xml:space="preserve">  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 xml:space="preserve">  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 xml:space="preserve">  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 xml:space="preserve">  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 xml:space="preserve">  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 xml:space="preserve">  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 xml:space="preserve">  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 xml:space="preserve">  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 xml:space="preserve">  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 xml:space="preserve">  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 xml:space="preserve">  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 xml:space="preserve">  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 xml:space="preserve">  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 xml:space="preserve">  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 xml:space="preserve">  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 xml:space="preserve">  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 xml:space="preserve">  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 xml:space="preserve">  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 xml:space="preserve">  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 xml:space="preserve">  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 xml:space="preserve">  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 xml:space="preserve">  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 xml:space="preserve">  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 xml:space="preserve">  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 xml:space="preserve">  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 xml:space="preserve">  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 xml:space="preserve">  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 xml:space="preserve">  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 xml:space="preserve">  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 xml:space="preserve">  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 xml:space="preserve">  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 xml:space="preserve">  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 xml:space="preserve">  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 xml:space="preserve">  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 xml:space="preserve">  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 xml:space="preserve">  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 xml:space="preserve">  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 xml:space="preserve">  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 xml:space="preserve">  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 xml:space="preserve">  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 xml:space="preserve">  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 xml:space="preserve">  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 xml:space="preserve">  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 xml:space="preserve">  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 xml:space="preserve">  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 xml:space="preserve">  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 xml:space="preserve">  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 xml:space="preserve">  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 xml:space="preserve">  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 xml:space="preserve">  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 xml:space="preserve">  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 xml:space="preserve">  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 xml:space="preserve">  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 xml:space="preserve">  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 xml:space="preserve">  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 xml:space="preserve">  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 xml:space="preserve">  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 xml:space="preserve">  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 xml:space="preserve">  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 xml:space="preserve">  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 xml:space="preserve">  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 xml:space="preserve">  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 xml:space="preserve">  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 xml:space="preserve">  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 xml:space="preserve">  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 xml:space="preserve">  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 xml:space="preserve">  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 xml:space="preserve">  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 xml:space="preserve">  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 xml:space="preserve">  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 xml:space="preserve">  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 xml:space="preserve">  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 xml:space="preserve">  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 xml:space="preserve">  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 xml:space="preserve">  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 xml:space="preserve">  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 xml:space="preserve">  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 xml:space="preserve">  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 xml:space="preserve">  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 xml:space="preserve">  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 xml:space="preserve">  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 xml:space="preserve">  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 xml:space="preserve">  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 xml:space="preserve">  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 xml:space="preserve">  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 xml:space="preserve">  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 xml:space="preserve">  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 xml:space="preserve">  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 xml:space="preserve">  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 xml:space="preserve">  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 xml:space="preserve">  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 xml:space="preserve">  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 xml:space="preserve">  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 xml:space="preserve">  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5">
      <c r="A135" s="26" t="inlineStr">
        <is>
          <t>Current price $100.00; cash $1,807,202 k; lease debt $1,798,441 k; funded debt $0; net cash $8,761 k.</t>
        </is>
      </c>
    </row>
    <row r="137">
      <c r="A137" s="14" t="inlineStr">
        <is>
          <t>Pitch deck bridge (IS / CFS / BS)</t>
        </is>
      </c>
    </row>
    <row r="138">
      <c r="A138" s="41" t="inlineStr">
        <is>
          <t xml:space="preserve">  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 xml:space="preserve">  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 xml:space="preserve">  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 xml:space="preserve">  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 xml:space="preserve">  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 xml:space="preserve">  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 xml:space="preserve">  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 xml:space="preserve">  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 xml:space="preserve">  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 xml:space="preserve">  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 xml:space="preserve">  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 xml:space="preserve">  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 xml:space="preserve">  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 xml:space="preserve">  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 xml:space="preserve">  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 xml:space="preserve">  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 xml:space="preserve">  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 xml:space="preserve">  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 xml:space="preserve">  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 xml:space="preserve">  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 xml:space="preserve">  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 xml:space="preserve">  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 xml:space="preserve">  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 xml:space="preserve">  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 xml:space="preserve">  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 xml:space="preserve">  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 xml:space="preserve">  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 xml:space="preserve">  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 xml:space="preserve">  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 xml:space="preserve">  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 xml:space="preserve">  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 xml:space="preserve">  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 xml:space="preserve">  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 xml:space="preserve">  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 xml:space="preserve">  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 xml:space="preserve">  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 xml:space="preserve">  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 xml:space="preserve">  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 xml:space="preserve">  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 xml:space="preserve">  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 xml:space="preserve">  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 xml:space="preserve">  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 xml:space="preserve">  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 xml:space="preserve">  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 xml:space="preserve">  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 xml:space="preserve">  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 xml:space="preserve">  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 xml:space="preserve">  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 xml:space="preserve">  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 xml:space="preserve">  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 xml:space="preserve">  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 xml:space="preserve">  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 xml:space="preserve">  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 xml:space="preserve">  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 xml:space="preserve">  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inlineStr">
        <is>
          <t xml:space="preserve">  memo: pitch deck pulls cols G (base) &amp; H (bull) from this block via pitch_values.py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hidden="1" outlineLevel="1" width="40" customWidth="1" min="9" max="9"/>
    <col hidden="1" outlineLevel="1" width="28" customWidth="1" min="10" max="10"/>
    <col hidden="1" outlineLevel="1" width="16" customWidth="1" min="11" max="11"/>
    <col hidden="1" outlineLevel="1"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Firecrawl-ingested 10-K anchors (blue). FY26–30 = red operational assumptions. Consolidated revenue cross-checks to Scenarios base case.</t>
        </is>
      </c>
    </row>
    <row r="3">
      <c r="I3" s="51" t="inlineStr">
        <is>
          <t>Equation (every formula row)</t>
        </is>
      </c>
      <c r="J3" s="51" t="inlineStr">
        <is>
          <t>Justification (~20 words)</t>
        </is>
      </c>
      <c r="K3" s="51" t="inlineStr">
        <is>
          <t>Source (click)</t>
        </is>
      </c>
      <c r="L3" s="51" t="inlineStr">
        <is>
          <t>Ctrl+F (prove number)</t>
        </is>
      </c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5" t="inlineStr">
        <is>
          <t>Equation</t>
        </is>
      </c>
      <c r="J5" s="56" t="inlineStr">
        <is>
          <t>Justification  [cols I–L: click + to expand]</t>
        </is>
      </c>
      <c r="K5" s="56" t="inlineStr">
        <is>
          <t>Source</t>
        </is>
      </c>
      <c r="L5" s="56" t="inlineStr">
        <is>
          <t>Ctrl+F</t>
        </is>
      </c>
    </row>
    <row r="6" ht="28" customHeight="1">
      <c r="A6" s="41" t="inlineStr">
        <is>
          <t xml:space="preserve">  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59" t="inlineStr">
        <is>
          <t>prior-year ending stores. Same count, new column; that's where the year starts.</t>
        </is>
      </c>
      <c r="J6" s="17" t="inlineStr">
        <is>
          <t>Beginning stores = last year's ending count. Same number, just carried forward into the new fiscal year.</t>
        </is>
      </c>
      <c r="K6" s="24" t="inlineStr">
        <is>
          <t>Revenue Drivers: beginning-stores formula</t>
        </is>
      </c>
    </row>
    <row r="7" ht="28" customHeight="1">
      <c r="A7" s="41" t="inlineStr">
        <is>
          <t xml:space="preserve">  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J7" s="17" t="inlineStr">
        <is>
          <t>Store openings skew to China (+20 FY26) vs mature Americas (+8). Anchored to FY25 +44 net stores and 11% sq-ft growth.</t>
        </is>
      </c>
      <c r="K7" s="18" t="inlineStr">
        <is>
          <t>FY2025 10-K: store count &amp; expansion</t>
        </is>
      </c>
      <c r="L7" s="19" t="inlineStr">
        <is>
          <t>Ctrl+F "Total company-operated stores" → 811 (FY25). FY25 added 44 net stores; model skews openings to China.</t>
        </is>
      </c>
    </row>
    <row r="8" ht="28" customHeight="1">
      <c r="A8" s="41" t="inlineStr">
        <is>
          <t xml:space="preserve">  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J8" s="17" t="inlineStr">
        <is>
          <t>Closures assume 2–3 per mature region annually as leases roll; immaterial vs openings in expansion markets.</t>
        </is>
      </c>
      <c r="K8" s="18" t="inlineStr">
        <is>
          <t>FY2025 10-K: lease renewal / fleet</t>
        </is>
      </c>
      <c r="L8" s="19" t="inlineStr">
        <is>
          <t>Ctrl+F "lease" / store fleet; immaterial closures vs expansion; 2–3 per mature region.</t>
        </is>
      </c>
    </row>
    <row r="9" ht="28" customHeight="1">
      <c r="A9" s="61" t="inlineStr">
        <is>
          <t xml:space="preserve">  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59" t="inlineStr">
        <is>
          <t>beginning stores + openings − closures. Roll-forward; nothing fancy, just how many doors you end with.</t>
        </is>
      </c>
      <c r="J9" s="17" t="inlineStr">
        <is>
          <t>Simple roll-forward: where you started, plus openings, minus closures. That's your ending store count for the year.</t>
        </is>
      </c>
      <c r="K9" s="24" t="inlineStr">
        <is>
          <t>Revenue Drivers: ending-stores formula</t>
        </is>
      </c>
    </row>
    <row r="10" ht="28" customHeight="1">
      <c r="A10" s="41" t="inlineStr">
        <is>
          <t xml:space="preserve">  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59" t="inlineStr">
        <is>
          <t>prior-year ending stores. Same count, new column; that's where the year starts.</t>
        </is>
      </c>
      <c r="J10" s="17" t="inlineStr">
        <is>
          <t>Beginning stores = last year's ending count. Same number, just carried forward into the new fiscal year.</t>
        </is>
      </c>
      <c r="K10" s="24" t="inlineStr">
        <is>
          <t>Revenue Drivers: beginning-stores formula</t>
        </is>
      </c>
    </row>
    <row r="11" ht="28" customHeight="1">
      <c r="A11" s="41" t="inlineStr">
        <is>
          <t xml:space="preserve">  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J11" s="17" t="inlineStr">
        <is>
          <t>Store openings skew to China (+20 FY26) vs mature Americas (+8). Anchored to FY25 +44 net stores and 11% sq-ft growth.</t>
        </is>
      </c>
      <c r="K11" s="18" t="inlineStr">
        <is>
          <t>FY2025 10-K: store count &amp; expansion</t>
        </is>
      </c>
      <c r="L11" s="19" t="inlineStr">
        <is>
          <t>Ctrl+F "Total company-operated stores" → 811 (FY25). FY25 added 44 net stores; model skews openings to China.</t>
        </is>
      </c>
    </row>
    <row r="12" ht="28" customHeight="1">
      <c r="A12" s="41" t="inlineStr">
        <is>
          <t xml:space="preserve">  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J12" s="17" t="inlineStr">
        <is>
          <t>Closures assume 2–3 per mature region annually as leases roll; immaterial vs openings in expansion markets.</t>
        </is>
      </c>
      <c r="K12" s="18" t="inlineStr">
        <is>
          <t>FY2025 10-K: lease renewal / fleet</t>
        </is>
      </c>
      <c r="L12" s="19" t="inlineStr">
        <is>
          <t>Ctrl+F "lease" / store fleet; immaterial closures vs expansion; 2–3 per mature region.</t>
        </is>
      </c>
    </row>
    <row r="13" ht="28" customHeight="1">
      <c r="A13" s="61" t="inlineStr">
        <is>
          <t xml:space="preserve">  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59" t="inlineStr">
        <is>
          <t>beginning stores + openings − closures. Roll-forward; nothing fancy, just how many doors you end with.</t>
        </is>
      </c>
      <c r="J13" s="17" t="inlineStr">
        <is>
          <t>Simple roll-forward: where you started, plus openings, minus closures. That's your ending store count for the year.</t>
        </is>
      </c>
      <c r="K13" s="24" t="inlineStr">
        <is>
          <t>Revenue Drivers: ending-stores formula</t>
        </is>
      </c>
    </row>
    <row r="14" ht="28" customHeight="1">
      <c r="A14" s="41" t="inlineStr">
        <is>
          <t xml:space="preserve">  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59" t="inlineStr">
        <is>
          <t>prior-year ending stores. Same count, new column; that's where the year starts.</t>
        </is>
      </c>
      <c r="J14" s="17" t="inlineStr">
        <is>
          <t>Beginning stores = last year's ending count. Same number, just carried forward into the new fiscal year.</t>
        </is>
      </c>
      <c r="K14" s="24" t="inlineStr">
        <is>
          <t>Revenue Drivers: beginning-stores formula</t>
        </is>
      </c>
    </row>
    <row r="15" ht="28" customHeight="1">
      <c r="A15" s="41" t="inlineStr">
        <is>
          <t xml:space="preserve">  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J15" s="17" t="inlineStr">
        <is>
          <t>Store openings skew to China (+20 FY26) vs mature Americas (+8). Anchored to FY25 +44 net stores and 11% sq-ft growth.</t>
        </is>
      </c>
      <c r="K15" s="18" t="inlineStr">
        <is>
          <t>FY2025 10-K: store count &amp; expansion</t>
        </is>
      </c>
      <c r="L15" s="19" t="inlineStr">
        <is>
          <t>Ctrl+F "Total company-operated stores" → 811 (FY25). FY25 added 44 net stores; model skews openings to China.</t>
        </is>
      </c>
    </row>
    <row r="16" ht="28" customHeight="1">
      <c r="A16" s="41" t="inlineStr">
        <is>
          <t xml:space="preserve">  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J16" s="17" t="inlineStr">
        <is>
          <t>Closures assume 2–3 per mature region annually as leases roll; immaterial vs openings in expansion markets.</t>
        </is>
      </c>
      <c r="K16" s="18" t="inlineStr">
        <is>
          <t>FY2025 10-K: lease renewal / fleet</t>
        </is>
      </c>
      <c r="L16" s="19" t="inlineStr">
        <is>
          <t>Ctrl+F "lease" / store fleet; immaterial closures vs expansion; 2–3 per mature region.</t>
        </is>
      </c>
    </row>
    <row r="17" ht="28" customHeight="1">
      <c r="A17" s="61" t="inlineStr">
        <is>
          <t xml:space="preserve">  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59" t="inlineStr">
        <is>
          <t>beginning stores + openings − closures. Roll-forward; nothing fancy, just how many doors you end with.</t>
        </is>
      </c>
      <c r="J17" s="17" t="inlineStr">
        <is>
          <t>Simple roll-forward: where you started, plus openings, minus closures. That's your ending store count for the year.</t>
        </is>
      </c>
      <c r="K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59" t="inlineStr">
        <is>
          <t>Americas ending + China ending + RoW ending. Should foot to total company-operated stores.</t>
        </is>
      </c>
      <c r="J18" s="17" t="inlineStr">
        <is>
          <t>Add up Americas + China + RoW ending stores. Should tie to the 10-K total company-operated count.</t>
        </is>
      </c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J19" s="17" t="inlineStr">
        <is>
          <t>4,367 avg sq ft/store = implied FY25 total sq ft / 811 stores. Modest expansion to 4,500 by FY30.</t>
        </is>
      </c>
      <c r="K19" s="18" t="inlineStr">
        <is>
          <t>FY2025 10-K: sales per square foot</t>
        </is>
      </c>
      <c r="L19" s="19" t="inlineStr">
        <is>
          <t>Ctrl+F "sales per square foot were $1,426" → implied 3.54M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59" t="inlineStr">
        <is>
          <t>total ending stores × avg sq ft per store. Fleet size in square feet for the productivity lines.</t>
        </is>
      </c>
      <c r="J20" s="17" t="inlineStr">
        <is>
          <t>Ending stores times avg sq ft per box. Gives you total fleet square footage for the productivity math.</t>
        </is>
      </c>
      <c r="K20" s="24" t="inlineStr">
        <is>
          <t>Revenue Drivers: total-sqft formula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5" t="inlineStr">
        <is>
          <t>Equation</t>
        </is>
      </c>
      <c r="J23" s="56" t="inlineStr">
        <is>
          <t>Justification  [cols I–L: click + to expand]</t>
        </is>
      </c>
      <c r="K23" s="56" t="inlineStr">
        <is>
          <t>Source</t>
        </is>
      </c>
      <c r="L23" s="56" t="inlineStr">
        <is>
          <t>Ctrl+F</t>
        </is>
      </c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J24" s="17" t="inlineStr">
        <is>
          <t>FY26 SPSF $1,380 reflects Americas traffic/conversion pressure; recovers toward $1,440 by FY30.</t>
        </is>
      </c>
      <c r="K24" s="18" t="inlineStr">
        <is>
          <t>FY2025 10-K: comparable sales &amp; SPSF</t>
        </is>
      </c>
      <c r="L24" s="19" t="inlineStr">
        <is>
          <t>Ctrl+F "sales per square foot were $1,426" → FY25 reported $1,426; FY26 model $1,380 on traffic pressure.</t>
        </is>
      </c>
    </row>
    <row r="25" ht="28" customHeight="1">
      <c r="A25" s="41" t="inlineStr">
        <is>
          <t xml:space="preserve">  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J25" s="17" t="inlineStr">
        <is>
          <t>FY25 Americas comp −3% per 10-K (traffic, conversion, AOV down). FY26 −4%: modest step-down before flat FY27 as promo clears.</t>
        </is>
      </c>
      <c r="K25" s="18" t="inlineStr">
        <is>
          <t>FY2025 10-K: Americas comparable sales</t>
        </is>
      </c>
      <c r="L25" s="19" t="inlineStr">
        <is>
          <t>Ctrl+F "Americas comparable sales decreased 3%" → FY25 anchor. FY26 model −4% before stabilization.</t>
        </is>
      </c>
    </row>
    <row r="26" ht="28" customHeight="1">
      <c r="A26" s="41" t="inlineStr">
        <is>
          <t xml:space="preserve">  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J26" s="17" t="inlineStr">
        <is>
          <t>FY25 China comp +20% (+19% CCY) per 10-K. FY26 +14%: still fastest region but moderating as the store base scales.</t>
        </is>
      </c>
      <c r="K26" s="18" t="inlineStr">
        <is>
          <t>FY2025 10-K: China Mainland comparable sales</t>
        </is>
      </c>
      <c r="L26" s="19" t="inlineStr">
        <is>
          <t>Ctrl+F "China Mainland comparable sales increased 20%" → FY25 anchor. FY26 model +14% on a larger base.</t>
        </is>
      </c>
    </row>
    <row r="27" ht="28" customHeight="1">
      <c r="A27" s="41" t="inlineStr">
        <is>
          <t xml:space="preserve">  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J27" s="17" t="inlineStr">
        <is>
          <t>FY25 RoW comp +9% (+7% CCY) per 10-K. FY26 +7%: hold above CCY, fade to +4% by FY30 as APAC/Europe base matures.</t>
        </is>
      </c>
      <c r="K27" s="18" t="inlineStr">
        <is>
          <t>FY2025 10-K: Rest of World comparable sales</t>
        </is>
      </c>
      <c r="L27" s="19" t="inlineStr">
        <is>
          <t>Ctrl+F "Rest of World comparable sales increased 9%" → FY25 +9% (+7% CCY).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59" t="inlineStr">
        <is>
          <t>prior column's total store-channel revenue. Base you're applying comps to; not new-store contribution.</t>
        </is>
      </c>
      <c r="J28" s="17" t="inlineStr">
        <is>
          <t>Last year's total store-channel revenue; the base you're growing comps off of, not the new boxes.</t>
        </is>
      </c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9" t="inlineStr">
        <is>
          <t>prior store rev×(71%×(1+Am comp)+16%×(1+China)+13%×(1+RoW)). Existing base only; new stores are on the next row.</t>
        </is>
      </c>
      <c r="J29" s="17" t="inlineStr">
        <is>
          <t>Existing-store sales only; prior store rev grown by geo comp %. New doors are a separate line, not in here.</t>
        </is>
      </c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9" t="inlineStr">
        <is>
          <t>(open−close each geo)×sq ft×$/sq ft → raw annual $. /1000 flips that to $000 (this whole tab is thousands). ×0.55 = year-one haircut; new boxes don't run at full SPSF yet. FY27 ex: (D7−D8+D11−D12+D15−D16)×D19×D24/1000×0.55.</t>
        </is>
      </c>
      <c r="J30" s="17" t="inlineStr">
        <is>
          <t>Net new doors × sq ft × $/sq ft is plain dollars. /1000 → $000 on this tab. ×0.55 'cause year-one stores don't run full.</t>
        </is>
      </c>
      <c r="K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59" t="inlineStr">
        <is>
          <t>comparable store revenue + net new store revenue. Full brick-and-mortar channel for the year.</t>
        </is>
      </c>
      <c r="J31" s="17" t="inlineStr">
        <is>
          <t>Brick-and-mortar channel = comp store sales plus whatever the net new stores contributed. That's the whole store line.</t>
        </is>
      </c>
      <c r="K31" s="24" t="inlineStr">
        <is>
          <t>Revenue Drivers: store-channel formula</t>
        </is>
      </c>
    </row>
    <row r="32" ht="28" customHeight="1">
      <c r="A32" s="41" t="inlineStr">
        <is>
          <t xml:space="preserve">  memo: 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J32" s="17" t="inlineStr">
        <is>
          <t>Fleet traffic memo line; not a separate FCF item. Calibrated to FY25 store productivity commentary.</t>
        </is>
      </c>
      <c r="K32" s="18" t="inlineStr">
        <is>
          <t>FY2025 10-K: store traffic commentary</t>
        </is>
      </c>
      <c r="L32" s="19" t="inlineStr">
        <is>
          <t>Ctrl+F "store traffic" → lower traffic in Americas; memo line only.</t>
        </is>
      </c>
    </row>
    <row r="33" ht="28" customHeight="1">
      <c r="A33" s="41" t="inlineStr">
        <is>
          <t xml:space="preserve">  memo: 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J33" s="17" t="inlineStr">
        <is>
          <t>In-store conversion memo; 10-K cites lower conversion in Americas; FY26 27% improving to 29%.</t>
        </is>
      </c>
      <c r="K33" s="18" t="inlineStr">
        <is>
          <t>FY2025 10-K: conversion rate commentary</t>
        </is>
      </c>
      <c r="L33" s="19" t="inlineStr">
        <is>
          <t>Ctrl+F "conversion rates" → lower in Americas; in-store memo 27%→29%.</t>
        </is>
      </c>
    </row>
    <row r="34" ht="28" customHeight="1">
      <c r="A34" s="41" t="inlineStr">
        <is>
          <t xml:space="preserve">  memo: 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J34" s="17" t="inlineStr">
        <is>
          <t>In-store average transaction $115–$122; supports SPSF and comp-sales bridge on the driver tab.</t>
        </is>
      </c>
      <c r="K34" s="18" t="inlineStr">
        <is>
          <t>FY2025 10-K: average order value commentary</t>
        </is>
      </c>
      <c r="L34" s="19" t="inlineStr">
        <is>
          <t>Ctrl+F "average order value" → lower AOV in Americas; memo $115–$122.</t>
        </is>
      </c>
    </row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5" t="inlineStr">
        <is>
          <t>Equation</t>
        </is>
      </c>
      <c r="J37" s="56" t="inlineStr">
        <is>
          <t>Justification  [cols I–L: click + to expand]</t>
        </is>
      </c>
      <c r="K37" s="56" t="inlineStr">
        <is>
          <t>Source</t>
        </is>
      </c>
      <c r="L37" s="56" t="inlineStr">
        <is>
          <t>Ctrl+F</t>
        </is>
      </c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J38" s="17" t="inlineStr">
        <is>
          <t>485M FY25 sessions implied from reported e-comm revenue / conv / AOV. FY26 −3% on Americas softness.</t>
        </is>
      </c>
      <c r="K38" s="18" t="inlineStr">
        <is>
          <t>FY2025 10-K: e-commerce revenue</t>
        </is>
      </c>
      <c r="L38" s="19" t="inlineStr">
        <is>
          <t>Ctrl+F "E-commerce" → 4,918,697 ($000). Sessions implied from revenue / conv / AOV.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J39" s="17" t="inlineStr">
        <is>
          <t>3.3% FY26 digital conversion vs 3.5% pressure cited in 10-K Americas; gradual recovery to 3.6%.</t>
        </is>
      </c>
      <c r="K39" s="18" t="inlineStr">
        <is>
          <t>FY2025 10-K: digital / traffic commentary</t>
        </is>
      </c>
      <c r="L39" s="19" t="inlineStr">
        <is>
          <t>Ctrl+F "lower conversion rates" (Americas MD&amp;A). FY26 model 3.3% digital conversion.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J40" s="17" t="inlineStr">
        <is>
          <t>AOV $305 FY26 on promo intensity; steps to $315 by FY30 as mix normalizes.</t>
        </is>
      </c>
      <c r="K40" s="18" t="inlineStr">
        <is>
          <t>FY2025 10-K: e-commerce revenue</t>
        </is>
      </c>
      <c r="L40" s="19" t="inlineStr">
        <is>
          <t>Ctrl+F "average order value" (Americas MD&amp;A). FY26 model $305 AOV.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59" t="inlineStr">
        <is>
          <t>sessions×1,000,000×conversion×AOV/1000 → e-comm $000. ×1M 'cause sessions are millions; /1000 matches tab units.</t>
        </is>
      </c>
      <c r="J41" s="17" t="inlineStr">
        <is>
          <t>Traffic × conversion × AOV is dollars. ×1M 'cause sessions are in millions; /1000 puts it in $000 like everything else.</t>
        </is>
      </c>
      <c r="K41" s="24" t="inlineStr">
        <is>
          <t>Revenue Drivers: e-comm formula</t>
        </is>
      </c>
    </row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5" t="inlineStr">
        <is>
          <t>Equation</t>
        </is>
      </c>
      <c r="J44" s="56" t="inlineStr">
        <is>
          <t>Justification  [cols I–L: click + to expand]</t>
        </is>
      </c>
      <c r="K44" s="56" t="inlineStr">
        <is>
          <t>Source</t>
        </is>
      </c>
      <c r="L44" s="56" t="inlineStr">
        <is>
          <t>Ctrl+F</t>
        </is>
      </c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59" t="inlineStr">
        <is>
          <t>prior other-channel rev × (1 + growth %). Wholesale/license/outlets; grown off last year.</t>
        </is>
      </c>
      <c r="J45" s="17" t="inlineStr">
        <is>
          <t>Other channels (wholesale/license/outlets) held at FY25 $1.13B base; low-single-digit growth thereafter.</t>
        </is>
      </c>
      <c r="K45" s="18" t="inlineStr">
        <is>
          <t>FY2025 10-K: channel revenue table</t>
        </is>
      </c>
      <c r="L45" s="19" t="inlineStr">
        <is>
          <t>Ctrl+F "Company-operated stores" and "E-commerce" → residual other channels ≈ $1.13B.</t>
        </is>
      </c>
    </row>
    <row r="46" ht="70" customHeight="1">
      <c r="A46" s="41" t="inlineStr">
        <is>
          <t xml:space="preserve">  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59" t="inlineStr">
        <is>
          <t>FY26 geo rev = FY25 geo rev × (FY26 total rev ÷ FY25 total rev).
Total rev = store channel + e-comm + other. Keeps FY25 geo mix; scales with consolidated growth.
FY26E plugged: B46 × (C31+C41+C45) ÷ (B31+B41+B45)</t>
        </is>
      </c>
      <c r="J46" s="17" t="inlineStr">
        <is>
          <t>Geographic split scales with consolidated growth; FY25 Americas 70.7% of revenue per 10-K segment table.</t>
        </is>
      </c>
      <c r="K46" s="18" t="inlineStr">
        <is>
          <t>FY2025 10-K: segmented net revenue</t>
        </is>
      </c>
      <c r="L46" s="19" t="inlineStr">
        <is>
          <t>Ctrl+F "Americas" segment table → $7,847,044 net revenue (70.7%).</t>
        </is>
      </c>
    </row>
    <row r="47" ht="70" customHeight="1">
      <c r="A47" s="41" t="inlineStr">
        <is>
          <t xml:space="preserve">  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59" t="inlineStr">
        <is>
          <t>FY26 geo rev = FY25 geo rev × (FY26 total rev ÷ FY25 total rev).
Total rev = store channel + e-comm + other. Keeps FY25 geo mix; scales with consolidated growth.
FY26E plugged: B47 × (C31+C41+C45) ÷ (B31+B41+B45)</t>
        </is>
      </c>
      <c r="J47" s="17" t="inlineStr">
        <is>
          <t>China 15.8% of FY25 revenue; fastest comp and store growth; expansion market in the driver schedule.</t>
        </is>
      </c>
      <c r="K47" s="18" t="inlineStr">
        <is>
          <t>FY2025 10-K: segmented net revenue</t>
        </is>
      </c>
      <c r="L47" s="19" t="inlineStr">
        <is>
          <t>Ctrl+F "China Mainland" segment → $1,754,799 net revenue (15.8%).</t>
        </is>
      </c>
    </row>
    <row r="48" ht="70" customHeight="1">
      <c r="A48" s="41" t="inlineStr">
        <is>
          <t xml:space="preserve">  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59" t="inlineStr">
        <is>
          <t>FY26 geo rev = FY25 geo rev × (FY26 total rev ÷ FY25 total rev).
Total rev = store channel + e-comm + other. Keeps FY25 geo mix; scales with consolidated growth.
FY26E plugged: B48 × (C31+C41+C45) ÷ (B31+B41+B45)</t>
        </is>
      </c>
      <c r="J48" s="17" t="inlineStr">
        <is>
          <t>Rest of World 13.5% of FY25 revenue; mid-single-digit comps and steady openings.</t>
        </is>
      </c>
      <c r="K48" s="18" t="inlineStr">
        <is>
          <t>FY2025 10-K: segmented net revenue</t>
        </is>
      </c>
      <c r="L48" s="19" t="inlineStr">
        <is>
          <t>Ctrl+F "Rest of World" segment → $1,500,757 net revenue (13.5%).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J49" s="17" t="inlineStr">
        <is>
          <t>Women's mix fades 62.5%→60% as men's penetrates; FY25 reported 63% women's per 10-K category disclosure.</t>
        </is>
      </c>
      <c r="K49" s="18" t="inlineStr">
        <is>
          <t>FY2025 10-K: product category mix</t>
        </is>
      </c>
      <c r="L49" s="19" t="inlineStr">
        <is>
          <t>Ctrl+F "women's, men's, and accessories" → 63% / 24% / 13% of net revenue.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J50" s="17" t="inlineStr">
        <is>
          <t>Men's mix rises 24.5%→27%; FY25 men's grew 4% vs women's 5% per 10-K category commentary.</t>
        </is>
      </c>
      <c r="K50" s="18" t="inlineStr">
        <is>
          <t>FY2025 10-K: product category mix</t>
        </is>
      </c>
      <c r="L50" s="19" t="inlineStr">
        <is>
          <t>Ctrl+F "men's" category growth 4% in MD&amp;A; mix rises to 27% by FY30.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J51" s="17" t="inlineStr">
        <is>
          <t>Accessories steady at 13% of revenue; FY25 accessories +8% per 10-K category disclosure.</t>
        </is>
      </c>
      <c r="K51" s="18" t="inlineStr">
        <is>
          <t>FY2025 10-K: product category mix</t>
        </is>
      </c>
      <c r="L51" s="19" t="inlineStr">
        <is>
          <t>Ctrl+F "accessories" +8% category growth; hold 13% mix.</t>
        </is>
      </c>
    </row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5" t="inlineStr">
        <is>
          <t>Equation</t>
        </is>
      </c>
      <c r="J54" s="56" t="inlineStr">
        <is>
          <t>Justification  [cols I–L: click + to expand]</t>
        </is>
      </c>
      <c r="K54" s="56" t="inlineStr">
        <is>
          <t>Source</t>
        </is>
      </c>
      <c r="L54" s="56" t="inlineStr">
        <is>
          <t>Ctrl+F</t>
        </is>
      </c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59" t="inlineStr">
        <is>
          <t>store channel + e-commerce + other. Bottom-up top line before you reconcile to Scenarios.</t>
        </is>
      </c>
      <c r="J55" s="17" t="inlineStr">
        <is>
          <t>Bottom-up total = store channel + e-comm + other. That's your driver-built revenue before you check Scenarios.</t>
        </is>
      </c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59" t="inlineStr">
        <is>
          <t>Scenarios! base-case revenue. DCF still runs off this path; not the driver total.</t>
        </is>
      </c>
      <c r="J56" s="17" t="inlineStr">
        <is>
          <t>Pulls the Scenarios base-case revenue path; that's still the number the DCF actually uses, not the driver total.</t>
        </is>
      </c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9" t="inlineStr">
        <is>
          <t>bottom-up total − Scenarios revenue. Positive = drivers above Scenarios; negative = below.</t>
        </is>
      </c>
      <c r="J57" s="17" t="inlineStr">
        <is>
          <t>Driver-built revenue minus Scenarios revenue. Shows you how far off the bottom-up path is from what you're valuing on.</t>
        </is>
      </c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9" t="inlineStr">
        <is>
          <t>variance ÷ Scenarios revenue. Quick % read on how far the driver build is from the valuation path.</t>
        </is>
      </c>
      <c r="J58" s="17" t="inlineStr">
        <is>
          <t>Variance as a percent of Scenarios revenue. Easy read on whether the driver schedule is close or way out of line.</t>
        </is>
      </c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52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hidden="1" outlineLevel="1"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inlineStr">
        <is>
          <t>Justification  [cols B–D: click + to expand]</t>
        </is>
      </c>
      <c r="C2" s="51" t="inlineStr">
        <is>
          <t>Source (click)</t>
        </is>
      </c>
      <c r="D2" s="51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inlineStr">
        <is>
          <t>Phases 1–4 clean and forecast operating profit; Phase 5 is the agent workflow summary below.</t>
        </is>
      </c>
    </row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7" s="18" t="inlineStr">
        <is>
          <t>LULU CF statement (10-K): stock-based compensation</t>
        </is>
      </c>
      <c r="D7" s="19" t="inlineStr">
        <is>
          <t>Ctrl+F "Stock-based compensation expense"
→ 62,203 ($000) FY25 reference. Flag = 0: SBC stays in EBIT (Convention A); DCF IV uses basic 111,380k shares.</t>
        </is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Not % of consolidated revenue; EBIT as % of store-channel revenue only (not the Scenarios 13.2%–15.5% consolidated margin).
18.6% margin assumption.
EBIT_store = Rev_store × Margin_store
FY25 check: 5,049,744 × 18.6% ≈ 939,252 ($000).
Calibrated so Σ channel EBIT ≈ consolidated EBIT 2,210,615 (10-K).</t>
        </is>
      </c>
      <c r="C9" s="18" t="inlineStr">
        <is>
          <t>FY2025 10-K: company-operated stores net revenue</t>
        </is>
      </c>
      <c r="D9" s="19" t="inlineStr">
        <is>
          <t>Not consolidated EBIT margin; EBIT ÷ store revenue only (cf. Scenarios 13.2%–15.5%).
Ctrl+F "Company-operated stores"
→ 5,049,744 ($000) net revenue
× 18.6% margin assumption → store EBIT ≈ 939,252 ($000)</t>
        </is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Not % of consolidated revenue; EBIT as % of e-commerce revenue only (not the Scenarios 13.2%–15.5% consolidated margin).
23.6% margin assumption.
EBIT_e-comm = Rev_e-comm × Margin_e-comm
FY25 check: 4,918,697 × 23.6% ≈ 1,160,812 ($000).
Higher than stores; no occupancy; fulfillment + digital marketing only.</t>
        </is>
      </c>
      <c r="C10" s="18" t="inlineStr">
        <is>
          <t>FY2025 10-K: e-commerce net revenue</t>
        </is>
      </c>
      <c r="D10" s="19" t="inlineStr">
        <is>
          <t>Not consolidated EBIT margin; EBIT ÷ e-commerce revenue only (cf. Scenarios 13.2%–15.5%).
Ctrl+F "E-commerce"
→ 4,918,697 ($000) net revenue
× 23.6% margin assumption → e-comm EBIT ≈ 1,160,812 ($000)</t>
        </is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Not % of consolidated revenue; EBIT as % of other-channel revenue only (not the Scenarios 13.2%–15.5% consolidated margin).
9.1% margin assumption.
EBIT_other = Rev_other × Margin_other
FY25 check: 1,134,159 × 9.1% ≈ 103,209 ($000).
Wholesale/license/outlets; lower-margin residual channel.</t>
        </is>
      </c>
      <c r="C11" s="18" t="inlineStr">
        <is>
          <t>FY2025 10-K: other channels (residual)</t>
        </is>
      </c>
      <c r="D11" s="19" t="inlineStr">
        <is>
          <t>Not consolidated EBIT margin; EBIT ÷ other-channel revenue only (cf. Scenarios 13.2%–15.5%).
Ctrl+F "Net revenue" → 11,102,600
Minus stores + e-comm → other channels ≈ 1,134,159 ($000)
× 9.1% margin assumption → other EBIT ≈ 103,209 ($000)</t>
        </is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30% statutory marginal rate. t_operating transitions here over the 5-year forecast.</t>
        </is>
      </c>
      <c r="C12" s="18" t="inlineStr">
        <is>
          <t>Q2 FY2026 outlook: tax rate ≈ 30%</t>
        </is>
      </c>
      <c r="D12" s="19" t="inlineStr">
        <is>
          <t>Ctrl+F "a tax rate of approximately 30%" → terminal marginal rate for t_operating glide path.</t>
        </is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Not % of revenue; amortization period (years) if R&amp;D/software is capitalized. LULU: no separate R&amp;D cap.</t>
        </is>
      </c>
      <c r="C13" s="24" t="inlineStr">
        <is>
          <t>NOPAT Bridge: capitalization convention</t>
        </is>
      </c>
      <c r="D13" s="19" t="inlineStr">
        <is>
          <t>Amortization period if R&amp;D capitalized (3–5 yr convention). LULU: no separate R&amp;D capitalization.</t>
        </is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FY25: reported operating income from 10-K. Forecast: Scenarios base-case EBIT (margin path).</t>
        </is>
      </c>
      <c r="C16" s="18" t="inlineStr">
        <is>
          <t>LULU FY2025 10-K: Income from operations</t>
        </is>
      </c>
      <c r="D16" s="19" t="inlineStr">
        <is>
          <t>Ctrl+F "Income from operations" → 2,210,615 ($000). Forecast links to Scenarios EBIT.</t>
        </is>
      </c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Add back intangible amortization / impairments. FY25 = other operating expense amortization run-rate.</t>
        </is>
      </c>
      <c r="C17" s="18" t="inlineStr">
        <is>
          <t>LULU FY2025 10-K: amortization of intangible assets</t>
        </is>
      </c>
      <c r="D17" s="19" t="inlineStr">
        <is>
          <t>Ctrl+F "Amortization of intangible assets" → other operating expense run-rate (add-back).</t>
        </is>
      </c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Add back restructuring (severance, store closures). LULU FY25: none identified.</t>
        </is>
      </c>
      <c r="C18" s="18" t="inlineStr">
        <is>
          <t>LULU FY2025 10-K: restructuring charges</t>
        </is>
      </c>
      <c r="D18" s="19" t="inlineStr">
        <is>
          <t>Ctrl+F "restructuring" → none material in FY25 10-K.</t>
        </is>
      </c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Strip one-off legal / M&amp;A advisory fees. LULU FY25: none identified.</t>
        </is>
      </c>
      <c r="C19" s="18" t="inlineStr">
        <is>
          <t>LULU FY2025 10-K: SG&amp;A one-offs</t>
        </is>
      </c>
      <c r="D19" s="19" t="inlineStr">
        <is>
          <t>One-off legal/M&amp;A fees in SG&amp;A; none identified FY25.</t>
        </is>
      </c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20" s="18" t="inlineStr">
        <is>
          <t>LULU CF statement (10-K): stock-based compensation</t>
        </is>
      </c>
      <c r="D20" s="19" t="inlineStr">
        <is>
          <t>Ctrl+F "Stock-based compensation expense"
→ 62,203 ($000) FY25 reference. Flag = 0: SBC stays in EBIT (Convention A); DCF IV uses basic 111,380k shares.</t>
        </is>
      </c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>
        <f> Adjusted EBIT (Phase 1)</f>
        <v/>
      </c>
      <c r="B21" s="17" t="inlineStr">
        <is>
          <t>Phase 1 adjusted EBIT = reported + non-recurring add-backs. SBC add-back = 0 when flag = 0.</t>
        </is>
      </c>
      <c r="C21" s="24" t="inlineStr">
        <is>
          <t>NOPAT Bridge tab: Phase 1 subtotal</t>
        </is>
      </c>
      <c r="D21" s="19" t="inlineStr">
        <is>
          <t>Sum of reported EBIT + Phase 1 add-backs on this tab.</t>
        </is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Not % of revenue; implied lease interest ($1,028k FY25). Reclass from rent to unlevered EBIT; scales with revenue in forecast.</t>
        </is>
      </c>
      <c r="C23" s="18" t="inlineStr">
        <is>
          <t>LULU FY2025 10-K: interest on lease liabilities (supplemental)</t>
        </is>
      </c>
      <c r="D23" s="19" t="inlineStr">
        <is>
          <t>Ctrl+F "Interest paid on lease liabilities"
→ 1,028 ($000) supplemental cash-flow disclosure. Reclass to unlevered EBIT.</t>
        </is>
      </c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Capitalize multi-year software/R&amp;D. LULU: immaterial separate R&amp;D line; held at $0.</t>
        </is>
      </c>
      <c r="C24" s="18" t="inlineStr">
        <is>
          <t>LULU FY2025 10-K: R&amp;D / software expense</t>
        </is>
      </c>
      <c r="D24" s="19" t="inlineStr">
        <is>
          <t>R&amp;D / software capitalization; LULU immaterial; held at $0.</t>
        </is>
      </c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Amortization of prior capitalized intangibles. LULU: flows through existing D&amp;A.</t>
        </is>
      </c>
      <c r="C25" s="18" t="inlineStr">
        <is>
          <t>LULU FY2025 10-K: intangible amortization</t>
        </is>
      </c>
      <c r="D25" s="19" t="inlineStr">
        <is>
          <t>Amortization of prior capitalized intangibles; netted in D&amp;A line.</t>
        </is>
      </c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2 EBIT = Phase 1 + lease interest reclass + R&amp;D cap − amortization.</t>
        </is>
      </c>
      <c r="C26" s="24" t="inlineStr">
        <is>
          <t>NOPAT Bridge tab: Phase 2 subtotal</t>
        </is>
      </c>
      <c r="D26" s="19" t="inlineStr">
        <is>
          <t>Phase 1 + lease interest + R&amp;D cap − amortization.</t>
        </is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 xml:space="preserve">  Store-channel revenue</t>
        </is>
      </c>
      <c r="B28" s="17" t="inlineStr">
        <is>
          <t>Not % of revenue; store-channel revenue from Revenue Drivers tab.</t>
        </is>
      </c>
      <c r="C28" s="18" t="inlineStr">
        <is>
          <t>Revenue Drivers tab: store-channel revenue</t>
        </is>
      </c>
      <c r="D28" s="19" t="inlineStr">
        <is>
          <t>Revenue Drivers tab → store-channel revenue row.</t>
        </is>
      </c>
      <c r="E28" s="74" t="n">
        <v>5049744</v>
      </c>
      <c r="F28" s="75">
        <f>'Revenue Drivers'!F31</f>
        <v/>
      </c>
      <c r="G28" s="75">
        <f>'Revenue Drivers'!G31</f>
        <v/>
      </c>
      <c r="H28" s="75">
        <f>'Revenue Drivers'!H31</f>
        <v/>
      </c>
      <c r="I28" s="75">
        <f>'Revenue Drivers'!I31</f>
        <v/>
      </c>
      <c r="J28" s="75">
        <f>'Revenue Drivers'!J31</f>
        <v/>
      </c>
    </row>
    <row r="29" hidden="1" outlineLevel="1" ht="28" customHeight="1">
      <c r="A29" s="16" t="inlineStr">
        <is>
          <t xml:space="preserve">  E-commerce revenue</t>
        </is>
      </c>
      <c r="B29" s="17" t="inlineStr">
        <is>
          <t>Not % of revenue; e-commerce revenue from Revenue Drivers tab.</t>
        </is>
      </c>
      <c r="C29" s="18" t="inlineStr">
        <is>
          <t>Revenue Drivers tab: e-commerce revenue</t>
        </is>
      </c>
      <c r="D29" s="19" t="inlineStr">
        <is>
          <t>Revenue Drivers tab → e-commerce revenue row.</t>
        </is>
      </c>
      <c r="E29" s="74" t="n">
        <v>4918697</v>
      </c>
      <c r="F29" s="75">
        <f>'Revenue Drivers'!F41</f>
        <v/>
      </c>
      <c r="G29" s="75">
        <f>'Revenue Drivers'!G41</f>
        <v/>
      </c>
      <c r="H29" s="75">
        <f>'Revenue Drivers'!H41</f>
        <v/>
      </c>
      <c r="I29" s="75">
        <f>'Revenue Drivers'!I41</f>
        <v/>
      </c>
      <c r="J29" s="75">
        <f>'Revenue Drivers'!J41</f>
        <v/>
      </c>
    </row>
    <row r="30" hidden="1" outlineLevel="1" ht="28" customHeight="1">
      <c r="A30" s="16" t="inlineStr">
        <is>
          <t xml:space="preserve">  Other channels revenue</t>
        </is>
      </c>
      <c r="B30" s="17" t="inlineStr">
        <is>
          <t>Not % of revenue; wholesale/license/outlet revenue from Revenue Drivers tab.</t>
        </is>
      </c>
      <c r="C30" s="18" t="inlineStr">
        <is>
          <t>Revenue Drivers tab: other channels revenue</t>
        </is>
      </c>
      <c r="D30" s="19" t="inlineStr">
        <is>
          <t>Revenue Drivers tab → other channels revenue row.</t>
        </is>
      </c>
      <c r="E30" s="74" t="n">
        <v>1134159</v>
      </c>
      <c r="F30" s="75">
        <f>'Revenue Drivers'!F45</f>
        <v/>
      </c>
      <c r="G30" s="75">
        <f>'Revenue Drivers'!G45</f>
        <v/>
      </c>
      <c r="H30" s="75">
        <f>'Revenue Drivers'!H45</f>
        <v/>
      </c>
      <c r="I30" s="75">
        <f>'Revenue Drivers'!I45</f>
        <v/>
      </c>
      <c r="J30" s="75">
        <f>'Revenue Drivers'!J45</f>
        <v/>
      </c>
    </row>
    <row r="31" hidden="1" outlineLevel="1" ht="70" customHeight="1">
      <c r="A31" s="16" t="inlineStr">
        <is>
          <t xml:space="preserve">  Store-channel EBIT (= Rev × store margin)</t>
        </is>
      </c>
      <c r="B31" s="17" t="inlineStr">
        <is>
          <t>Not % of consolidated revenue; store EBIT ÷ store revenue only (not Scenarios consolidated EBIT margin).
EBIT_store,t = Rev_store,t × 18.6%
FY25: 5,049,744 × 18.6% ≈ 939,252 ($000).
Margin from driver assumptions row above; ties to 10-K store revenue.</t>
        </is>
      </c>
      <c r="C31" s="18" t="inlineStr">
        <is>
          <t>FY2025 10-K: company-operated stores net revenue</t>
        </is>
      </c>
      <c r="D31" s="19" t="inlineStr">
        <is>
          <t>Not consolidated EBIT margin; store EBIT ÷ store revenue only.
Ctrl+F "Company-operated stores"
→ 5,049,744 ($000)
EBIT = Rev × 18.6% → ≈ 939,252 ($000)</t>
        </is>
      </c>
      <c r="E31" s="75" t="n">
        <v>939252.384</v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 xml:space="preserve">  E-commerce EBIT (= Rev × e-comm margin)</t>
        </is>
      </c>
      <c r="B32" s="17" t="inlineStr">
        <is>
          <t>Not % of consolidated revenue; e-commerce EBIT ÷ e-commerce revenue only (not Scenarios consolidated EBIT margin).
EBIT_e-comm,t = Rev_e-comm,t × 23.6%
FY25: 4,918,697 × 23.6% ≈ 1,160,812 ($000).
Higher than stores; no brick-and-mortar occupancy drag.</t>
        </is>
      </c>
      <c r="C32" s="18" t="inlineStr">
        <is>
          <t>FY2025 10-K: e-commerce net revenue</t>
        </is>
      </c>
      <c r="D32" s="19" t="inlineStr">
        <is>
          <t>Not consolidated EBIT margin; e-commerce EBIT ÷ e-commerce revenue only.
Ctrl+F "E-commerce"
→ 4,918,697 ($000)
EBIT = Rev × 23.6% → ≈ 1,160,812 ($000)</t>
        </is>
      </c>
      <c r="E32" s="75" t="n">
        <v>1160812.492</v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 xml:space="preserve">  Other-channels EBIT (= Rev × other margin)</t>
        </is>
      </c>
      <c r="B33" s="17" t="inlineStr">
        <is>
          <t>Not % of consolidated revenue; other-channel EBIT ÷ other revenue only (not Scenarios consolidated EBIT margin).
EBIT_other,t = Rev_other,t × 9.1%
FY25: 1,134,159 × 9.1% ≈ 103,209 ($000).
Wholesale/license/outlets; lowest channel margin.</t>
        </is>
      </c>
      <c r="C33" s="18" t="inlineStr">
        <is>
          <t>FY2025 10-K: other channels (residual)</t>
        </is>
      </c>
      <c r="D33" s="19" t="inlineStr">
        <is>
          <t>Not consolidated EBIT margin; other-channel EBIT ÷ other revenue only.
Other rev = 11,102,600 − 5,049,744 − 4,918,697 ≈ 1,134,159 ($000)
EBIT = Rev × 9.1% → ≈ 103,209 ($000)</t>
        </is>
      </c>
      <c r="E33" s="75" t="n">
        <v>103208.469</v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 xml:space="preserve">  Channel EBIT (sum of sector EBIT)</t>
        </is>
      </c>
      <c r="B34" s="17" t="inlineStr">
        <is>
          <t>Phase 3 channel EBIT = Σ sector EBIT_i. FY26 adds Scenarios tariff refund.</t>
        </is>
      </c>
      <c r="C34" s="24" t="inlineStr">
        <is>
          <t>NOPAT Bridge tab: sector EBIT subtotal</t>
        </is>
      </c>
      <c r="D34" s="19" t="inlineStr">
        <is>
          <t>Sum of sector EBIT rows. FY26 adds Scenarios tariff refund cell.</t>
        </is>
      </c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3). Check row vs Scenarios shows channel vs margin-path gap.</t>
        </is>
      </c>
      <c r="C35" s="24" t="inlineStr">
        <is>
          <t>NOPAT Bridge tab: Phase 3 subtotal</t>
        </is>
      </c>
      <c r="D35" s="19" t="inlineStr">
        <is>
          <t>Channel EBIT subtotal (Phase 3). Compare Check row vs Scenarios.</t>
        </is>
      </c>
      <c r="E35" s="76" t="n">
        <v>2203273.345</v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FY25: Phases 1–2 walk-through (SBC not added back; flag = 0). Forecast: Scenarios base EBIT; tax base for NOPAT.</t>
        </is>
      </c>
      <c r="C36" s="24" t="inlineStr">
        <is>
          <t>Scenarios tab: base-case EBIT (forecast)</t>
        </is>
      </c>
      <c r="D36" s="19" t="inlineStr">
        <is>
          <t>FY25: Phase 1–2 formula. Forecast: Scenarios base EBIT (tax base).</t>
        </is>
      </c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 xml:space="preserve">  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effective tax rate: (tax + interest shield) ÷ (EBT + interest). Transitions from FY25 t_operating toward 30% marginal over 5 years.</t>
        </is>
      </c>
      <c r="C39" s="18" t="inlineStr">
        <is>
          <t>LULU FY2025 10-K: income tax &amp; interest expense</t>
        </is>
      </c>
      <c r="D39" s="19" t="inlineStr">
        <is>
          <t>t_operating = (tax + interest×30%) ÷ (EBT + interest).
Ctrl+F "Income tax expense" → 659,784
Ctrl+F "Income before income tax expense" → 2,238,967
Ctrl+F "Interest paid on lease liabilities" → 1,028</t>
        </is>
      </c>
      <c r="E39" s="77" t="n">
        <v>0.2946847649213503</v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Unlevered tax = normalized EBIT × t_operating. Strips debt-interest tax shield from GAAP rate.</t>
        </is>
      </c>
      <c r="C40" s="24" t="inlineStr">
        <is>
          <t>NOPAT Bridge tab: unlevered tax expense</t>
        </is>
      </c>
      <c r="D40" s="19" t="inlineStr">
        <is>
          <t>Normalized EBIT × t_operating; unlevered tax (no debt shield).</t>
        </is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hidden="1" outlineLevel="1" ht="28" customHeight="1">
      <c r="A41" s="23" t="inlineStr">
        <is>
          <t>NORMALIZED NOPAT</t>
        </is>
      </c>
      <c r="B41" s="17" t="inlineStr">
        <is>
          <t>NORMALIZED NOPAT = EBIT_norm × (1 − t_operating). Scenarios base case links here.</t>
        </is>
      </c>
      <c r="C41" s="24" t="inlineStr">
        <is>
          <t>NOPAT Bridge tab: normalized NOPAT</t>
        </is>
      </c>
      <c r="D41" s="19" t="inlineStr">
        <is>
          <t>EBIT_norm − unlevered tax. Scenarios base-case NOPAT links to this row.</t>
        </is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3">
      <c r="A43" s="73" t="inlineStr">
        <is>
          <t>Phase 5 — Agent workflow (execution steps)</t>
        </is>
      </c>
    </row>
    <row r="44">
      <c r="B44" s="78" t="inlineStr">
        <is>
          <t>Source</t>
        </is>
      </c>
      <c r="C44" s="78" t="inlineStr">
        <is>
          <t>Without applied (FY26 DCF)</t>
        </is>
      </c>
      <c r="D44" s="78" t="inlineStr">
        <is>
          <t>With applied (FY26 DCF)</t>
        </is>
      </c>
      <c r="F44" s="78" t="inlineStr">
        <is>
          <t>Output</t>
        </is>
      </c>
    </row>
    <row r="45">
      <c r="A45" s="61" t="inlineStr">
        <is>
          <t>1. Clean base</t>
        </is>
      </c>
      <c r="B45" s="79" t="inlineStr">
        <is>
          <t>SEC 10-K income statement</t>
        </is>
      </c>
      <c r="C45" s="79" t="inlineStr">
        <is>
          <t>EBIT = 13.2% × rev + tariff; SBC stays expensed (flag = 0).</t>
        </is>
      </c>
      <c r="D45" s="79" t="inlineStr">
        <is>
          <t>DCF unchanged.</t>
        </is>
      </c>
      <c r="F45" s="80" t="inlineStr">
        <is>
          <t>EBIT_adj (Phase 1)</t>
        </is>
      </c>
    </row>
    <row r="46">
      <c r="A46" s="61" t="inlineStr">
        <is>
          <t>2. Capitalize R&amp;D</t>
        </is>
      </c>
      <c r="B46" s="79" t="inlineStr">
        <is>
          <t>SG&amp;A footnotes</t>
        </is>
      </c>
      <c r="C46" s="79" t="inlineStr">
        <is>
          <t>R&amp;D/software expensed in full each year ($0 for LULU).</t>
        </is>
      </c>
      <c r="D46" s="79" t="inlineStr">
        <is>
          <t>DCF unchanged.</t>
        </is>
      </c>
      <c r="F46" s="80" t="inlineStr">
        <is>
          <t>EBIT_capitalized (Phase 2)</t>
        </is>
      </c>
    </row>
    <row r="47">
      <c r="A47" s="61" t="inlineStr">
        <is>
          <t>3. Lease shift</t>
        </is>
      </c>
      <c r="B47" s="79" t="inlineStr">
        <is>
          <t>ASC 842 lease footnote</t>
        </is>
      </c>
      <c r="C47" s="79" t="inlineStr">
        <is>
          <t>Rent in opex; no implied lease-interest add-back.</t>
        </is>
      </c>
      <c r="D47" s="79" t="inlineStr">
        <is>
          <t>DCF unchanged.</t>
        </is>
      </c>
      <c r="F47" s="80" t="inlineStr">
        <is>
          <t>EBIT_lease-adj (Phase 2)</t>
        </is>
      </c>
    </row>
    <row r="48">
      <c r="A48" s="61" t="inlineStr">
        <is>
          <t>4. Segment mix</t>
        </is>
      </c>
      <c r="B48" s="79" t="inlineStr">
        <is>
          <t>Revenue Drivers tab</t>
        </is>
      </c>
      <c r="C48" s="79" t="inlineStr">
        <is>
          <t>DCF uses consolidated 13.2% on total revenue (+ tariff).</t>
        </is>
      </c>
      <c r="D48" s="79" t="inlineStr">
        <is>
          <t>DCF unchanged.</t>
        </is>
      </c>
      <c r="F48" s="80" t="inlineStr">
        <is>
          <t>Forecast EBIT (Phase 3)</t>
        </is>
      </c>
    </row>
    <row r="49">
      <c r="A49" s="61" t="inlineStr">
        <is>
          <t>5. NOPAT bridge</t>
        </is>
      </c>
      <c r="B49" s="79" t="inlineStr">
        <is>
          <t>Normalized EBIT &amp; t_operating</t>
        </is>
      </c>
      <c r="C49" s="79" t="inlineStr">
        <is>
          <t>NOPAT = EBIT × (1 − 30%) flat sc_tax.</t>
        </is>
      </c>
      <c r="D49" s="79" t="inlineStr">
        <is>
          <t>NOPAT = EBIT × (1 − t_operating) — same EBIT, slightly higher NOPAT.</t>
        </is>
      </c>
      <c r="F49" s="80" t="inlineStr">
        <is>
          <t>Normalized NOPAT</t>
        </is>
      </c>
    </row>
    <row r="50">
      <c r="A50" s="61" t="inlineStr">
        <is>
          <t>6. Tariff refund (Scenarios)</t>
        </is>
      </c>
      <c r="B50" s="79" t="inlineStr">
        <is>
          <t>Q2 FY2026 earnings release</t>
        </is>
      </c>
      <c r="C50" s="79" t="inlineStr">
        <is>
          <t>EBIT = Rev × 13.2% only (no refund).</t>
        </is>
      </c>
      <c r="D50" s="79" t="inlineStr">
        <is>
          <t>+ $134,500k in FY26 — DCF uses this.</t>
        </is>
      </c>
      <c r="F50" s="80" t="inlineStr">
        <is>
          <t>Scenarios EBIT (FY26)</t>
        </is>
      </c>
    </row>
    <row r="51">
      <c r="A51" s="26" t="inlineStr">
        <is>
          <t>Steps 1–4: DCF unchanged on FY26. Step 5 changes NOPAT only (tax). Step 6 changes FY26 EBIT (+ tariff).</t>
        </is>
      </c>
    </row>
    <row r="52">
      <c r="A52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M104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hidden="1" outlineLevel="1"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hidden="1" outlineLevel="1" width="16" customWidth="1" min="12" max="12"/>
    <col hidden="1" outlineLevel="1" width="36" customWidth="1" min="13" max="13"/>
  </cols>
  <sheetData>
    <row r="1" ht="16" customHeight="1">
      <c r="A1" s="12" t="inlineStr">
        <is>
          <t>DISCOUNTED CASH FLOW — BASE CASE 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inlineStr">
        <is>
          <t>Justification (~20 words)  [cols B–D: click + to expand]</t>
        </is>
      </c>
      <c r="C2" s="78" t="inlineStr">
        <is>
          <t>Source (click)</t>
        </is>
      </c>
      <c r="D2" s="78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 [cols L–M: click + to expand]</t>
        </is>
      </c>
      <c r="M2" s="78" t="inlineStr">
        <is>
          <t>Alt. Ctrl+F</t>
        </is>
      </c>
    </row>
    <row r="3" ht="28" customHeight="1">
      <c r="A3" s="82" t="inlineStr">
        <is>
          <t>Forecast drivers linked to Scenarios tab → Base case (column G)</t>
        </is>
      </c>
      <c r="C3" s="19" t="inlineStr">
        <is>
          <t>Ctrl+F "Net revenue" → 11,102,600 or "Depreciation and amortization" → 496,228 on this 10-K HTML file</t>
        </is>
      </c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inlineStr">
        <is>
          <t>Full Assumptions Guide (PDF)
Ctrl+F: Every red assumption on every tab — justification, source link, Ctrl+F proof.</t>
        </is>
      </c>
      <c r="C4" s="85" t="inlineStr">
        <is>
          <t>NOPAT Bridge tab
Ctrl+F: 5-phase EBIT normalization → normalized NOPAT (base case).</t>
        </is>
      </c>
      <c r="D4" s="85" t="inlineStr">
        <is>
          <t>Revenue Drivers tab
Ctrl+F: Bottom-up store / DTC / category schedule (FY26–30).</t>
        </is>
      </c>
    </row>
    <row r="5">
      <c r="A5" s="16" t="inlineStr">
        <is>
          <t>Net revenue</t>
        </is>
      </c>
      <c r="E5" s="74" t="n">
        <v>11102600</v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  <c r="K5" s="86">
        <f>IF(MAX(ABS(F5-Scenarios!$G$25),ABS(G5-Scenarios!$G$26),ABS(H5-Scenarios!$G$27),ABS(I5-Scenarios!$G$28),ABS(J5-Scenarios!$G$29))&lt;0.5,"OK","CHECK")</f>
        <v/>
      </c>
    </row>
    <row r="6" ht="42" customHeight="1">
      <c r="A6" s="16" t="inlineStr">
        <is>
          <t>Revenue growth %</t>
        </is>
      </c>
      <c r="B6" s="19" t="inlineStr">
        <is>
          <t>−6.1% FY2026 revenue growth matches company guidance midpoint of −5% to −7% after Q2 FY2026 print.
Also: 2.3% FY27–30 growth matches StockAnalysis Revenue Growth Forecast (3Y) of 2.26%; next-year consensus is +2.64%.</t>
        </is>
      </c>
      <c r="C6" s="38" t="inlineStr">
        <is>
          <t>LULU Q2 FY2026 earnings release
Also: StockAnalysis: LULU 3Y revenue forecast</t>
        </is>
      </c>
      <c r="D6" s="19" t="inlineStr">
        <is>
          <t>Ctrl+F "decline of 5% to 7%" → FY2026 revenue guide; model −6.1% midpoint
Also: Ctrl+F "Revenue Growth Forecast (3Y)" → 2.26%. That is the unique line (do not search "Net revenue"). Model FY27–30 uses 2.3%.</t>
        </is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inlineStr">
        <is>
          <t>56.6% of revenue (gross margin). Isolates COGS for inventory/AP drivers; base case held near FY25 reported GM.</t>
        </is>
      </c>
      <c r="C7" s="18" t="inlineStr">
        <is>
          <t>LULU FY2025 10-K: Gross profit &amp; COGS</t>
        </is>
      </c>
      <c r="D7" s="19" t="inlineStr">
        <is>
          <t>56.6% of revenue (gross margin).
Ctrl+F "Gross profit"
→ 6,284,132 ($000)
Ctrl+F "Net revenue"
→ 11,102,600 ($000)
Ctrl+F "Cost of goods sold"
→ 4,818,468 ($000)</t>
        </is>
      </c>
      <c r="E7" s="77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  <c r="K8" s="86">
        <f>IF(MAX(ABS(F8-Scenarios!$G$35),ABS(G8-Scenarios!$G$36),ABS(H8-Scenarios!$G$37),ABS(I8-Scenarios!$G$38),ABS(J8-Scenarios!$G$39))&lt;0.5,"OK","CHECK")</f>
        <v/>
      </c>
    </row>
    <row r="9" ht="42" customHeight="1">
      <c r="A9" s="16" t="inlineStr">
        <is>
          <t>Clean / run-rate EBIT margin %</t>
        </is>
      </c>
      <c r="B9" s="19" t="inlineStr">
        <is>
          <t>13.2% is the real/run-rate OM: Q2 18.8% minus 560bps of tariff refunds. FY26 then adds the $134.5M refund once on top.
Also: FY30 15.5% is a partial recovery vs the FY25 10-K OM of 19.9% (unique Ctrl+F). Still well below the FY24 23.7% peak.</t>
        </is>
      </c>
      <c r="C9" s="38" t="inlineStr">
        <is>
          <t>Q2 FY2026 release: 18.8% OM minus 560bps tariffs
Also: FY2025 10-K: Operating margin 19.9% (one hit)</t>
        </is>
      </c>
      <c r="D9" s="19" t="inlineStr">
        <is>
          <t>Ctrl+F "18.8%" (Q2 OM) and "560 basis points" (tariff boost). Real run-rate = 18.8% − 5.6% = 13.2%. Do not use "decreased 13%".
Also: Ctrl+F "19.9%" (one hit) → Operating margin decreased 380 basis points to 19.9%. That is FY25 OM. Do not search the words Income from operations (17 hits). Model FY30 15.5% is a partial-recovery assumption.</t>
        </is>
      </c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  <c r="K9" s="86">
        <f>IF(MAX(ABS(F9-Scenarios!$G$40),ABS(G9-Scenarios!$G$41),ABS(H9-Scenarios!$G$42),ABS(I9-Scenarios!$G$43),ABS(J9-Scenarios!$G$44))&lt;0.0001,"OK","CHECK")</f>
        <v/>
      </c>
    </row>
    <row r="10" ht="28" customHeight="1">
      <c r="A10" s="16" t="inlineStr">
        <is>
          <t>Plus: FY26 IEEPA tariff refunds (one-time)</t>
        </is>
      </c>
      <c r="B10" s="17" t="inlineStr">
        <is>
          <t>Add back $134.5M in FY26 only; already recognized (reduced COGS). +130bps on FY26 sales, not +560bps (that was Q2-only).</t>
        </is>
      </c>
      <c r="C10" s="18" t="inlineStr">
        <is>
          <t>Q2 FY2026 release: $134.5M IEEPA tariff refunds</t>
        </is>
      </c>
      <c r="D10" s="19" t="inlineStr">
        <is>
          <t>Ctrl+F "134.5 million" → IEEPA tariff refunds reduced COGS. Add this dollar amount to FY26 EBIT only. Full-year boost = 134.5 / FY26 sales ≈ 1.3ppt, not 5.6ppt.</t>
        </is>
      </c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  <c r="K11" s="87">
        <f>IF(MAX(ABS(F11-Scenarios!$G$45),ABS(G11-Scenarios!$G$46),ABS(H11-Scenarios!$G$47),ABS(I11-Scenarios!$G$48),ABS(J11-Scenarios!$G$49))&lt;0.5,"OK","CHECK")</f>
        <v/>
      </c>
    </row>
    <row r="12">
      <c r="A12" s="16" t="inlineStr">
        <is>
          <t>Reported EBIT margin % (incl. FY26 refund)</t>
        </is>
      </c>
      <c r="E12" s="77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  <c r="K14" s="87">
        <f>IF(MAX(ABS(F14-Scenarios!$G$50),ABS(G14-Scenarios!$G$51),ABS(H14-Scenarios!$G$52),ABS(I14-Scenarios!$G$53),ABS(J14-Scenarios!$G$54))&lt;0.5,"OK","CHECK")</f>
        <v/>
      </c>
    </row>
    <row r="15" ht="28" customHeight="1">
      <c r="A15" s="16" t="inlineStr">
        <is>
          <t xml:space="preserve">  D&amp;A % of revenue</t>
        </is>
      </c>
      <c r="B15" s="17" t="inlineStr">
        <is>
          <t>4.5% D&amp;A / sales = FY25 496,228 / 11,102,600 on the 10-K cash-flow statement.</t>
        </is>
      </c>
      <c r="C15" s="18" t="inlineStr">
        <is>
          <t>LULU CF statement (10-K)</t>
        </is>
      </c>
      <c r="D15" s="19" t="inlineStr">
        <is>
          <t>Ctrl+F "Depreciation and amortization" → 496,228 on this 10-K HTML (not the SEC viewer). ÷ "Net revenue" 11,102,600 = 4.5%.</t>
        </is>
      </c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  <c r="K16" s="86">
        <f>IF(MAX(ABS(F16-Scenarios!$G$55),ABS(G16-Scenarios!$G$56),ABS(H16-Scenarios!$G$57),ABS(I16-Scenarios!$G$58),ABS(J16-Scenarios!$G$59))&lt;0.5,"OK","CHECK")</f>
        <v/>
      </c>
    </row>
    <row r="17" ht="150" customHeight="1">
      <c r="A17" s="16" t="inlineStr">
        <is>
          <t xml:space="preserve">  Capex % of revenue</t>
        </is>
      </c>
      <c r="B17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7" s="38" t="inlineStr">
        <is>
          <t>LULU 10-K: 2026 capex guide $725–745M
Also: Q2 FY2026 outlook: $10.350B–$10.500B sales</t>
        </is>
      </c>
      <c r="D17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  <c r="K18" s="86">
        <f>IF(MAX(ABS(F18+Scenarios!$G$60),ABS(G18+Scenarios!$G$61),ABS(H18+Scenarios!$G$62),ABS(I18+Scenarios!$G$63),ABS(J18+Scenarios!$G$64))&lt;0.5,"OK","CHECK")</f>
        <v/>
      </c>
    </row>
    <row r="19">
      <c r="A19" s="52" t="inlineStr">
        <is>
          <t>Working capital schedule (driver-based)  [click − to collapse detail]</t>
        </is>
      </c>
    </row>
    <row r="20" hidden="1" outlineLevel="1" ht="150" customHeight="1">
      <c r="A20" s="16" t="inlineStr">
        <is>
          <t xml:space="preserve">  DSO (days) — flat vs FY25</t>
        </is>
      </c>
      <c r="B20" s="17" t="inlineStr">
        <is>
          <t>Not % of revenue; DSO (days), flat ~6.3. Mostly own stores/DTC (cash at register); AR is small wholesale residual; predictable ~6 days FY22–25.</t>
        </is>
      </c>
      <c r="C20" s="18" t="inlineStr">
        <is>
          <t>LULU FY2025 10-K: Accounts receivable, net</t>
        </is>
      </c>
      <c r="D20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E20" s="88" t="n">
        <v>6.267883648875038</v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  <c r="K20" s="86">
        <f>IF(MAX(ABS(F20-Scenarios!$G$65),ABS(G20-Scenarios!$G$66),ABS(H20-Scenarios!$G$67),ABS(I20-Scenarios!$G$68),ABS(J20-Scenarios!$G$69))&lt;0.5,"OK","CHECK")</f>
        <v/>
      </c>
    </row>
    <row r="21" hidden="1" outlineLevel="1" ht="98" customHeight="1">
      <c r="A21" s="16" t="inlineStr">
        <is>
          <t xml:space="preserve">  Accounts receivable, net</t>
        </is>
      </c>
      <c r="B21" s="17" t="inlineStr">
        <is>
          <t>Implied ~1.7% of revenue (not a direct % plug). AR = (DSO÷365)×revenue; flat DSO because sales are mostly own-store/DTC, not credit wholesale.</t>
        </is>
      </c>
      <c r="C21" s="18" t="inlineStr">
        <is>
          <t>LULU FY2025 10-K: Accounts receivable, net</t>
        </is>
      </c>
      <c r="D21" s="19" t="inlineStr">
        <is>
          <t>Implied ~1.7% of revenue (= 190,657 ÷ 11,102,600); not a direct % plug.
AR_t = (DSO ÷ 365) × Revenue_t. DSO flat because own-store/DTC dominates; AR scales predictably with sales.
Ctrl+F "Accounts receivable, net"
→ 190,657 ($000)
Ctrl+F "Net revenue"
→ 11,102,600 ($000)</t>
        </is>
      </c>
      <c r="E21" s="74" t="n">
        <v>190657</v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  <c r="K21" s="86">
        <f>IF(MAX(ABS(F21-Scenarios!$G$70),ABS(G21-Scenarios!$G$71),ABS(H21-Scenarios!$G$72),ABS(I21-Scenarios!$G$73),ABS(J21-Scenarios!$G$74))&lt;0.5,"OK","CHECK")</f>
        <v/>
      </c>
    </row>
    <row r="22" hidden="1" outlineLevel="1" ht="150" customHeight="1">
      <c r="A22" s="16" t="inlineStr">
        <is>
          <t xml:space="preserve">  DIO (days) — FY25 anchor, −1 day/yr</t>
        </is>
      </c>
      <c r="B22" s="19" t="inlineStr">
        <is>
          <t>Not % of revenue; DIO (days).
FY25 anchor: DIO = (Inventories ÷ COGS) × 365
  = (1,700,753 ÷ 4,818,468) × 365 ≈ 129 days (FY24 inv: 1,442,081).
Forecast path: DIO_t = FY25 DIO − (1 day × year t); flat across scenarios.
Also: Not % of revenue; subtract 1 DIO day per forecast year (−5 days FY26–30).
Feeds Inventories = (DIO_t ÷ 365) × COGS_t.
Ctrl+F "reduce the percentage of markdowns"
Ctrl+F "On a unit basis, we expect inventories to slightly decrease"</t>
        </is>
      </c>
      <c r="C22" s="38" t="inlineStr">
        <is>
          <t>LULU FY2025 10-K: Inventories &amp; COGS
Also: LULU FY2025 10-K: inventory &amp; markdown outlook</t>
        </is>
      </c>
      <c r="D22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
Also: Not % of revenue; DIO −1 day/yr (−5 days FY26–30).
Feeds Inventories_t = (DIO_t ÷ 365) × COGS_t.
Ctrl+F "reduce the percentage of markdowns"
Ctrl+F "On a unit basis, we expect inventories to slightly decrease"</t>
        </is>
      </c>
      <c r="E22" s="88" t="n">
        <v>128.8324100108167</v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  <c r="K22" s="86">
        <f>IF(MAX(ABS(F22-Scenarios!$G$75),ABS(G22-Scenarios!$G$76),ABS(H22-Scenarios!$G$77),ABS(I22-Scenarios!$G$78),ABS(J22-Scenarios!$G$79))&lt;0.5,"OK","CHECK")</f>
        <v/>
      </c>
    </row>
    <row r="23" hidden="1" outlineLevel="1" ht="112" customHeight="1">
      <c r="A23" s="16" t="inlineStr">
        <is>
          <t xml:space="preserve">  Inventories</t>
        </is>
      </c>
      <c r="B23" s="17" t="inlineStr">
        <is>
          <t>Not % of revenue; $ balance (not a direct % plug).
Inventories_t = (DIO_t ÷ 365) × COGS_t
COGS_t = Revenue_t × (1 − GM%). FY25 check: (129 ÷ 365) × 4,818,468 ≈ 1,700,753.
Ctrl+F "Inventories"
→ 1,700,753 ($000)
Ctrl+F "Cost of goods sold"
→ 4,818,468 ($000)</t>
        </is>
      </c>
      <c r="C23" s="18" t="inlineStr">
        <is>
          <t>LULU FY2025 10-K: Inventories</t>
        </is>
      </c>
      <c r="D23" s="19" t="inlineStr">
        <is>
          <t>Not % of revenue; Inventories_t = (DIO_t ÷ 365) × COGS_t.
COGS_t = Revenue_t × (1 − GM%).
Ctrl+F "Inventories"
→ 1,700,753 ($000)
Ctrl+F "Cost of goods sold"
→ 4,818,468 ($000)
FY25 proof: (129 ÷ 365) × 4,818,468 ≈ 1,700,753</t>
        </is>
      </c>
      <c r="E23" s="74" t="n">
        <v>1700753</v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  <c r="K23" s="86">
        <f>IF(MAX(ABS(F23-Scenarios!$G$80),ABS(G23-Scenarios!$G$81),ABS(H23-Scenarios!$G$82),ABS(I23-Scenarios!$G$83),ABS(J23-Scenarios!$G$84))&lt;0.5,"OK","CHECK")</f>
        <v/>
      </c>
    </row>
    <row r="24" hidden="1" outlineLevel="1" ht="84" customHeight="1">
      <c r="A24" s="16" t="inlineStr">
        <is>
          <t xml:space="preserve">  DPO (days) — flat vs FY25</t>
        </is>
      </c>
      <c r="B24" s="17" t="inlineStr">
        <is>
          <t>Not % of revenue; DPO (days), flat ~25.1. Implied AP ≈3.0% of sales / 6.9% of COGS.</t>
        </is>
      </c>
      <c r="C24" s="18" t="inlineStr">
        <is>
          <t>LULU FY2025 10-K: Accounts payable &amp; COGS</t>
        </is>
      </c>
      <c r="D24" s="19" t="inlineStr">
        <is>
          <t>Ctrl+F "Accounts payable"
→ 331,421 ($000)
Ctrl+F "Cost of goods sold"
→ 4,818,468 ($000)
Not % of revenue; DPO ≈ 25.1 days. Implied AP ≈ 3.0% of sales / 6.9% of COGS.</t>
        </is>
      </c>
      <c r="E24" s="88" t="n">
        <v>25.10521290169407</v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  <c r="K24" s="86">
        <f>IF(MAX(ABS(F24-Scenarios!$G$85),ABS(G24-Scenarios!$G$86),ABS(H24-Scenarios!$G$87),ABS(I24-Scenarios!$G$88),ABS(J24-Scenarios!$G$89))&lt;0.5,"OK","CHECK")</f>
        <v/>
      </c>
    </row>
    <row r="25" hidden="1" outlineLevel="1" ht="84" customHeight="1">
      <c r="A25" s="16" t="inlineStr">
        <is>
          <t xml:space="preserve">  Accounts payable</t>
        </is>
      </c>
      <c r="B25" s="17" t="inlineStr">
        <is>
          <t>Implied ~3.0% of revenue (not a direct % plug). Balance = (DPO÷365)×COGS; DPO flat at FY25.</t>
        </is>
      </c>
      <c r="C25" s="18" t="inlineStr">
        <is>
          <t>LULU FY2025 10-K: Accounts payable</t>
        </is>
      </c>
      <c r="D25" s="19" t="inlineStr">
        <is>
          <t>Ctrl+F "Accounts payable"
→ 331,421 ($000)
Ctrl+F "Net revenue"
→ 11,102,600 ($000)
Implied ~3.0% of revenue (= 331,421 ÷ 11,102,600); forecast via DPO×COGS.</t>
        </is>
      </c>
      <c r="E25" s="74" t="n">
        <v>331421</v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  <c r="K25" s="86">
        <f>IF(MAX(ABS(F25-Scenarios!$G$90),ABS(G25-Scenarios!$G$91),ABS(H25-Scenarios!$G$92),ABS(I25-Scenarios!$G$93),ABS(J25-Scenarios!$G$94))&lt;0.5,"OK","CHECK")</f>
        <v/>
      </c>
    </row>
    <row r="26" hidden="1" outlineLevel="1" ht="84" customHeight="1">
      <c r="A26" s="16" t="inlineStr">
        <is>
          <t xml:space="preserve">  Prepaid expenses (% of revenue)</t>
        </is>
      </c>
      <c r="B26" s="17" t="inlineStr">
        <is>
          <t>5.1% of revenue (flat). FY25 other current assets (prepaids + tax receivables) ÷ net revenue.</t>
        </is>
      </c>
      <c r="C26" s="18" t="inlineStr">
        <is>
          <t>LULU FY2025 10-K: other current assets (residual)</t>
        </is>
      </c>
      <c r="D26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6" s="77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 xml:space="preserve">  Prepaid expenses (other current assets)</t>
        </is>
      </c>
      <c r="B27" s="17" t="inlineStr">
        <is>
          <t>5.1% of revenue (flat). FY25 other current assets (prepaids + tax receivables) ÷ net revenue.</t>
        </is>
      </c>
      <c r="C27" s="18" t="inlineStr">
        <is>
          <t>LULU FY2025 10-K: other current assets (residual)</t>
        </is>
      </c>
      <c r="D27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7" s="74" t="n">
        <v>564089</v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  <c r="K27" s="86">
        <f>IF(MAX(ABS(F27-Scenarios!$G$95),ABS(G27-Scenarios!$G$96),ABS(H27-Scenarios!$G$97),ABS(I27-Scenarios!$G$98),ABS(J27-Scenarios!$G$99))&lt;0.5,"OK","CHECK")</f>
        <v/>
      </c>
    </row>
    <row r="28" hidden="1" outlineLevel="1" ht="84" customHeight="1">
      <c r="A28" s="16" t="inlineStr">
        <is>
          <t xml:space="preserve">  Accrued liabilities (% of revenue)</t>
        </is>
      </c>
      <c r="B28" s="17" t="inlineStr">
        <is>
          <t>6.0% of revenue (flat). FY25 accrued liabilities ÷ net revenue; comp/marketing accrual mix.</t>
        </is>
      </c>
      <c r="C28" s="18" t="inlineStr">
        <is>
          <t>LULU FY2025 10-K: Accrued liabilities and other</t>
        </is>
      </c>
      <c r="D28" s="19" t="inlineStr">
        <is>
          <t>Ctrl+F "Accrued liabilities and other"
→ 662,982 ($000)
Ctrl+F "Net revenue"
→ 11,102,600 ($000)
6.0% of revenue (flat). 662,982 ÷ 11,102,600.</t>
        </is>
      </c>
      <c r="E28" s="77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 xml:space="preserve">  Accrued liabilities and other</t>
        </is>
      </c>
      <c r="B29" s="17" t="inlineStr">
        <is>
          <t>6.0% of revenue (flat). FY25 accrued liabilities ÷ net revenue; comp/marketing accrual mix.</t>
        </is>
      </c>
      <c r="C29" s="18" t="inlineStr">
        <is>
          <t>LULU FY2025 10-K: Accrued liabilities and other</t>
        </is>
      </c>
      <c r="D29" s="19" t="inlineStr">
        <is>
          <t>Ctrl+F "Accrued liabilities and other"
→ 662,982 ($000)
Ctrl+F "Net revenue"
→ 11,102,600 ($000)
6.0% of revenue (flat). 662,982 ÷ 11,102,600.</t>
        </is>
      </c>
      <c r="E29" s="74" t="n">
        <v>662982</v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  <c r="K29" s="86">
        <f>IF(MAX(ABS(F29-Scenarios!$G$100),ABS(G29-Scenarios!$G$101),ABS(H29-Scenarios!$G$102),ABS(I29-Scenarios!$G$103),ABS(J29-Scenarios!$G$104))&lt;0.5,"OK","CHECK")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inlineStr">
        <is>
          <t>Not one %; sum ≈22.1% of FY25 sales (AR ~1.7% + inventory ~15.3% + prepaids 5.1%).</t>
        </is>
      </c>
      <c r="C30" s="18" t="inlineStr">
        <is>
          <t>Scenarios tab: AR + inventory + prepaids</t>
        </is>
      </c>
      <c r="D30" s="19" t="inlineStr">
        <is>
          <t>Not one % of revenue; sum of line items.
FY25: AR ~1.7% + inventory ~15.3% + prepaids 5.1% ≈ 22.1% of sales.</t>
        </is>
      </c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  <c r="K30" s="86">
        <f>IF(MAX(ABS(F30-Scenarios!$G$105),ABS(G30-Scenarios!$G$106),ABS(H30-Scenarios!$G$107),ABS(I30-Scenarios!$G$108),ABS(J30-Scenarios!$G$109))&lt;0.5,"OK","CHECK")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inlineStr">
        <is>
          <t>Not one %; sum ≈9.0% of FY25 sales (AP ~3.0% + accrued liabilities 6.0%).</t>
        </is>
      </c>
      <c r="C31" s="18" t="inlineStr">
        <is>
          <t>Scenarios tab: AP + accrued liabilities</t>
        </is>
      </c>
      <c r="D31" s="19" t="inlineStr">
        <is>
          <t>Not one % of revenue; sum of line items.
FY25: AP ~3.0% + accrued liabilities 6.0% ≈ 9.0% of sales.</t>
        </is>
      </c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  <c r="K31" s="86">
        <f>IF(MAX(ABS(F31-Scenarios!$G$110),ABS(G31-Scenarios!$G$111),ABS(H31-Scenarios!$G$112),ABS(I31-Scenarios!$G$113),ABS(J31-Scenarios!$G$114))&lt;0.5,"OK","CHECK")</f>
        <v/>
      </c>
    </row>
    <row r="32" hidden="1" outlineLevel="1" ht="42" customHeight="1">
      <c r="A32" s="23" t="inlineStr">
        <is>
          <t>Net working capital</t>
        </is>
      </c>
      <c r="B32" s="17" t="inlineStr">
        <is>
          <t>Not one %; net ≈13.2% of FY25 sales ($1,461,096k). COA minus COL; rolls forward each year.</t>
        </is>
      </c>
      <c r="C32" s="18" t="inlineStr">
        <is>
          <t>LULU FY2025 10-K: working-capital components</t>
        </is>
      </c>
      <c r="D32" s="19" t="inlineStr">
        <is>
          <t>Not one % of revenue; net balance.
FY25 NWC ≈ 13.2% of sales ($1,461,096k = COA − COL).</t>
        </is>
      </c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  <c r="K32" s="87">
        <f>IF(MAX(ABS(F32-Scenarios!$G$115),ABS(G32-Scenarios!$G$116),ABS(H32-Scenarios!$G$117),ABS(I32-Scenarios!$G$118),ABS(J32-Scenarios!$G$119))&lt;0.5,"OK","CHECK")</f>
        <v/>
      </c>
    </row>
    <row r="33" ht="56" customHeight="1">
      <c r="A33" s="23" t="inlineStr">
        <is>
          <t>ΔNWC (prior yr − current yr)</t>
        </is>
      </c>
      <c r="B33" s="17" t="inlineStr">
        <is>
          <t>Not % of revenue; $ change in NWC year-over-year. Prior-year NWC minus current-year NWC for the FCF bridge.</t>
        </is>
      </c>
      <c r="C33" s="18" t="inlineStr">
        <is>
          <t>Scenarios tab: NWC roll-forward (driver schedule)</t>
        </is>
      </c>
      <c r="D33" s="19" t="inlineStr">
        <is>
          <t>Not % of revenue; $ change year-over-year.
FY26: revenue −6.1% + DIO −1 day → NWC falls → ΔNWC positive (WC release).
FY27–30: revenue +2.3%/yr → AR &amp; inventory rebuild → ΔNWC negative (WC build).</t>
        </is>
      </c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  <c r="K33" s="87">
        <f>IF(MAX(ABS(F33-Scenarios!$G$120),ABS(G33-Scenarios!$G$121),ABS(H33-Scenarios!$G$122),ABS(I33-Scenarios!$G$123),ABS(J33-Scenarios!$G$124))&lt;0.5,"OK","CHECK")</f>
        <v/>
      </c>
    </row>
    <row r="34">
      <c r="A34" s="26" t="inlineStr">
        <is>
          <t xml:space="preserve">  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  <c r="K35" s="87">
        <f>IF(MAX(ABS(F35-Scenarios!$G$125),ABS(G35-Scenarios!$G$126),ABS(H35-Scenarios!$G$127),ABS(I35-Scenarios!$G$128),ABS(J35-Scenarios!$G$129))&lt;0.5,"OK","CHECK")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40">
      <c r="A40" s="15" t="inlineStr">
        <is>
          <t>Scenarios linkage summary (column K should all read OK)</t>
        </is>
      </c>
      <c r="K40" s="92">
        <f>IF(COUNTIF(K5:K35,"CHECK")=0,"ALL OK","REVIEW")</f>
        <v/>
      </c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inlineStr">
        <is>
          <t>2.25% terminal g sits next to FRED GDPC1 Q2/Q2 real GDP ≈ 2.1% (24,269.613 / 23,770.976 − 1).</t>
        </is>
      </c>
      <c r="C43" s="18" t="inlineStr">
        <is>
          <t>FRED: Real GDP (GDPC1)</t>
        </is>
      </c>
      <c r="D43" s="19" t="inlineStr">
        <is>
          <t>Ctrl+F "Q2 2026" → 24,269.613 and "Q2 2025" → 23,770.976. YoY = 2.1%. Model terminal g 2.25%.</t>
        </is>
      </c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 xml:space="preserve">  Implied exit EV/EBITDA = Gordon TV / FY30 EBITDA</t>
        </is>
      </c>
      <c r="E46" s="94">
        <f>E45/E44</f>
        <v/>
      </c>
    </row>
    <row r="47">
      <c r="A47" s="16" t="inlineStr">
        <is>
          <t xml:space="preserve">  memo: (UFCF₃₀ / EBITDA₃₀) × (1+g) / (WACC−g)</t>
        </is>
      </c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inlineStr">
        <is>
          <t>Ctrl+F "Cash and cash equivalents" → 1,807,202 ($000) FY2025</t>
        </is>
      </c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inlineStr">
        <is>
          <t>Subtract ASC 842 operating lease liabilities as debt equivalent. Funded term debt $0 per FY25 10-K; leases ≈ $1.80B.</t>
        </is>
      </c>
      <c r="C51" s="18" t="inlineStr">
        <is>
          <t>LULU FY2025 10-K: operating lease liabilities</t>
        </is>
      </c>
      <c r="D51" s="19" t="inlineStr">
        <is>
          <t>Ctrl+F "Current lease liabilities" → 298,724 | "Non-current lease liabilities" → 1,499,717 | sum 1,798,441 ($000). Funded debt: "no borrowings were outstanding"</t>
        </is>
      </c>
      <c r="E51" s="74" t="n">
        <v>-1798441</v>
      </c>
    </row>
    <row r="52">
      <c r="A52" s="26" t="inlineStr">
        <is>
          <t xml:space="preserve">  memo: funded term debt $0. Operating leases $298,724k current + $1,499,717k non-current = $1,798,441k (ASC 842 debt equivalent).</t>
        </is>
      </c>
    </row>
    <row r="53">
      <c r="A53" s="26" t="inlineStr">
        <is>
          <t xml:space="preserve">  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inlineStr">
        <is>
          <t>Ctrl+F "111,380 and 116,166 issued and outstanding" → 111,380k class A (FY25 10-K cover)</t>
        </is>
      </c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  <c r="K56" s="87">
        <f>IF(ABS(E56-Scenarios!$G$132)&lt;0.05,"OK","CHECK")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inlineStr">
        <is>
          <t>Ctrl+F "closed at $100.61" → Last Sale on NASDAQ quote page</t>
        </is>
      </c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inlineStr">
        <is>
          <t xml:space="preserve">  memo: % of EV from terminal value</t>
        </is>
      </c>
      <c r="E59" s="32">
        <f>E48/E49</f>
        <v/>
      </c>
    </row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5">
      <c r="A65" s="16" t="inlineStr">
        <is>
          <t>Annual repurchase budget ($000) — base case</t>
        </is>
      </c>
      <c r="E65" s="37" t="n">
        <v>500000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inlineStr">
        <is>
          <t>Selected exit is Gordon TV / FY30 EBITDA. Identity: (UFCF/EBITDA)×(1+g)/(WACC−g). Not Deckers and not a peer average.</t>
        </is>
      </c>
      <c r="C82" s="18" t="inlineStr">
        <is>
          <t>DCF: Gordon implied exit (TV / FY30 EBITDA)</t>
        </is>
      </c>
      <c r="D82" s="19" t="inlineStr">
        <is>
          <t>No peer Ctrl+F. This cell = Gordon TV / FY30 EBITDA = (UFCF/EBITDA)×(1+g)/(WACC−g). WACC and g are sourced on those rows.</t>
        </is>
      </c>
      <c r="E82" s="94">
        <f>E46</f>
        <v/>
      </c>
      <c r="M82" s="95" t="inlineStr">
        <is>
          <t>Comps: Exit Multiple Build</t>
        </is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inlineStr">
        <is>
          <t>Gordon Growth</t>
        </is>
      </c>
      <c r="C89" s="54" t="inlineStr">
        <is>
          <t>Exit Multiple</t>
        </is>
      </c>
      <c r="D89" s="54" t="inlineStr">
        <is>
          <t>Variance</t>
        </is>
      </c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inlineStr">
        <is>
          <t>Selected exit is the Gordon identity, so spread should be 0</t>
        </is>
      </c>
    </row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inlineStr">
        <is>
          <t>Terminal-g axis 1.5–3.0% brackets 2.25% base; bounded by long-run real GDP and inflation benchmarks.</t>
        </is>
      </c>
      <c r="C98" s="18" t="inlineStr">
        <is>
          <t>FRED: Real GDP (GDPC1)</t>
        </is>
      </c>
      <c r="D98" s="19" t="inlineStr">
        <is>
          <t>Ctrl+F "GDPC1" → bounds terminal-g sensitivity grid 1.5%–3.0%</t>
        </is>
      </c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  <c r="L98" s="95" t="inlineStr">
        <is>
          <t>Scenarios: terminal g</t>
        </is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inlineStr">
        <is>
          <t>WACC tab → green WACC cell ~9.0%. Sensitivity WACC axis brackets base ±100bps.</t>
        </is>
      </c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  <c r="L99" s="95" t="inlineStr">
        <is>
          <t>WACC tab</t>
        </is>
      </c>
    </row>
    <row r="100" ht="28" customHeight="1">
      <c r="A100" s="109" t="n">
        <v>0.1</v>
      </c>
      <c r="D100" s="19" t="inlineStr">
        <is>
          <t>WACC tab → green WACC cell ~9.0%. Sensitivity WACC axis brackets base ±100bps.</t>
        </is>
      </c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  <c r="L100" s="95" t="inlineStr">
        <is>
          <t>WACC tab</t>
        </is>
      </c>
    </row>
    <row r="101" ht="28" customHeight="1">
      <c r="A101" s="109" t="n">
        <v>0.105</v>
      </c>
      <c r="D101" s="19" t="inlineStr">
        <is>
          <t>WACC tab → green WACC cell ~9.0%. Sensitivity WACC axis brackets base ±100bps.</t>
        </is>
      </c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  <c r="L101" s="95" t="inlineStr">
        <is>
          <t>WACC tab</t>
        </is>
      </c>
    </row>
    <row r="102" ht="28" customHeight="1">
      <c r="A102" s="109" t="n">
        <v>0.11</v>
      </c>
      <c r="D102" s="19" t="inlineStr">
        <is>
          <t>WACC tab → green WACC cell ~9.0%. Sensitivity WACC axis brackets base ±100bps.</t>
        </is>
      </c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  <c r="L102" s="95" t="inlineStr">
        <is>
          <t>WACC tab</t>
        </is>
      </c>
    </row>
    <row r="103" ht="28" customHeight="1">
      <c r="A103" s="109" t="n">
        <v>0.115</v>
      </c>
      <c r="D103" s="19" t="inlineStr">
        <is>
          <t>WACC tab → green WACC cell ~9.0%. Sensitivity WACC axis brackets base ±100bps.</t>
        </is>
      </c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  <c r="L103" s="95" t="inlineStr">
        <is>
          <t>WACC tab</t>
        </is>
      </c>
    </row>
    <row r="104" ht="28" customHeight="1">
      <c r="B104" s="17" t="inlineStr">
        <is>
          <t>Red WACC and g grid values bracket base case ±100bps discount rate and ±75bps terminal growth for sensitivity.</t>
        </is>
      </c>
      <c r="C104" s="18" t="inlineStr">
        <is>
          <t>Scenarios: WACC &amp; terminal g</t>
        </is>
      </c>
      <c r="D104" s="19" t="inlineStr">
        <is>
          <t>Scenarios tab → Ctrl+F "WACC" and "Terminal growth" rows (base-case inputs)</t>
        </is>
      </c>
      <c r="L104" s="95" t="inlineStr">
        <is>
          <t>FRED: Real GDP (GDPC1)</t>
        </is>
      </c>
      <c r="M104" s="19" t="inlineStr">
        <is>
          <t>Ctrl+F "GDPC1" → bounds terminal-g sensitivity grid 1.5%–3.0%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hidden="1" outlineLevel="1"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inlineStr">
        <is>
          <t>Ctrl+F "Net revenue" → 11,102,600 ($000) in FY2025 column</t>
        </is>
      </c>
      <c r="E4" s="74" t="n">
        <v>11102600</v>
      </c>
    </row>
    <row r="5">
      <c r="A5" s="16" t="inlineStr">
        <is>
          <t>FY2025A EBITDA (EBIT + D&amp;A)</t>
        </is>
      </c>
      <c r="E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inlineStr">
        <is>
          <t>Ctrl+F "$9.48 to $9.73" → FY2026 diluted EPS guidance; model midpoint $9.61</t>
        </is>
      </c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inlineStr">
        <is>
          <t>Ctrl+F "Cash and cash equivalents" → 1,807,202 ($000) FY2025</t>
        </is>
      </c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inlineStr">
        <is>
          <t>Ctrl+F "111,380 and 116,166 issued and outstanding" → 111,380k class A (FY25 10-K cover)</t>
        </is>
      </c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inlineStr">
        <is>
          <t>Ctrl+F "closed at $100.61" → Last Sale on NASDAQ quote page</t>
        </is>
      </c>
      <c r="E10" s="97" t="n">
        <v>100</v>
      </c>
    </row>
    <row r="11">
      <c r="A11" s="107" t="inlineStr">
        <is>
          <t xml:space="preserve">  memo: current EV / EBITDA</t>
        </is>
      </c>
      <c r="E11" s="112">
        <f>(E10*E9-E8)/E5</f>
        <v/>
      </c>
    </row>
    <row r="12">
      <c r="A12" s="107" t="inlineStr">
        <is>
          <t xml:space="preserve">  memo: current P / E (FY2026E)</t>
        </is>
      </c>
      <c r="E12" s="112">
        <f>E10/E7</f>
        <v/>
      </c>
    </row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3" t="inlineStr">
        <is>
          <t>Justification</t>
        </is>
      </c>
      <c r="C18" s="113" t="inlineStr">
        <is>
          <t>Source</t>
        </is>
      </c>
      <c r="D18" s="113" t="inlineStr">
        <is>
          <t>Ctrl+F / proof</t>
        </is>
      </c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9" t="inlineStr">
        <is>
          <t>No public HTML. PitchBook Comps Set 04-Sep-2026. Prove daily EV and TTM EBITDA on that screen; E = I/J.</t>
        </is>
      </c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9" t="inlineStr">
        <is>
          <t>No public HTML. PitchBook Comps Set 04-Sep-2026. Prove daily EV and TTM EBITDA on that screen; E = I/J.</t>
        </is>
      </c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9" t="inlineStr">
        <is>
          <t>No public HTML. PitchBook Comps Set 04-Sep-2026. Prove daily EV and TTM EBITDA on that screen; E = I/J.</t>
        </is>
      </c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9" t="inlineStr">
        <is>
          <t>No public HTML. PitchBook Comps Set 04-Sep-2026. Prove daily EV and TTM EBITDA on that screen; E = I/J.</t>
        </is>
      </c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9" t="inlineStr">
        <is>
          <t>No public HTML. PitchBook Comps Set 04-Sep-2026. Prove daily EV and TTM EBITDA on that screen; E = I/J.</t>
        </is>
      </c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9" t="inlineStr">
        <is>
          <t>No public HTML. PitchBook Comps Set 04-Sep-2026. Prove daily EV and TTM EBITDA on that screen; E = I/J.</t>
        </is>
      </c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9" t="inlineStr">
        <is>
          <t>No public HTML. PitchBook Comps Set 04-Sep-2026. Prove daily EV and TTM EBITDA on that screen; E = I/J.</t>
        </is>
      </c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9" t="inlineStr">
        <is>
          <t>No public HTML. PitchBook Comps Set 04-Sep-2026. Prove daily EV and TTM EBITDA on that screen; E = I/J.</t>
        </is>
      </c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9" t="inlineStr">
        <is>
          <t>No public HTML. PitchBook Comps Set 04-Sep-2026. Prove daily EV and TTM EBITDA on that screen; E = I/J.</t>
        </is>
      </c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inlineStr">
        <is>
          <t>PitchBook Comps Set 04-Sep-2026. Multiple = daily EV / TTM EBITDA. UAA excluded from the mean (negative EBITDA).</t>
        </is>
      </c>
      <c r="C28" s="24" t="inlineStr">
        <is>
          <t>PitchBook Comps Set 04-Sep-2026</t>
        </is>
      </c>
      <c r="D28" s="19" t="inlineStr">
        <is>
          <t>No public HTML. PitchBook Comps Set 04-Sep-2026. Prove daily EV and TTM EBITDA on that screen; E = I/J.</t>
        </is>
      </c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inlineStr">
        <is>
          <t>PitchBook Comps Set 04-Sep-2026. Multiple = daily EV / TTM EBITDA. UAA excluded from the mean (negative EBITDA).</t>
        </is>
      </c>
      <c r="C29" s="24" t="inlineStr">
        <is>
          <t>PitchBook Comps Set 04-Sep-2026</t>
        </is>
      </c>
      <c r="D29" s="19" t="inlineStr">
        <is>
          <t>No public HTML. PitchBook Comps Set 04-Sep-2026. Prove daily EV and TTM EBITDA on that screen; E = I/J.</t>
        </is>
      </c>
      <c r="E29" s="115">
        <f>IF(J29&lt;=0,"n.m.",I29/J29)</f>
        <v/>
      </c>
      <c r="I29" s="116" t="n">
        <v>5236269</v>
      </c>
      <c r="J29" s="116" t="n">
        <v>407521</v>
      </c>
    </row>
    <row r="31">
      <c r="A31" s="14" t="inlineStr">
        <is>
          <t>ALO YOGA BUILD — no source prints EV/EBITDA (Firecrawl: 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inlineStr">
        <is>
          <t>Reuters: about $10 billion Moelis ask for Color Image. 2026 follow-up: no deal announced. Ask, not a print.
Also: Reuters June 2026: no deal was announced on the 2023 process. The $10bn is still an ask.</t>
        </is>
      </c>
      <c r="C33" s="38" t="inlineStr">
        <is>
          <t>Reuters: Alo parent $10bn Moelis ask
Also: Reuters: Alo 2023 process; no deal</t>
        </is>
      </c>
      <c r="D33" s="19" t="inlineStr">
        <is>
          <t>Ctrl+F "at about $10 billion" and "hired investment bank Moelis". That is the 2023 ask, not a closed EV.
Also: Ctrl+F "roughly $10 billion" and "No deal was announced". Still an ask.</t>
        </is>
      </c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inlineStr">
        <is>
          <t>Forbes estimates Color Image parent sales nearly $2 billion. Mixed Alo + Bella+Canvas. Not Alo-only, not audited.</t>
        </is>
      </c>
      <c r="C34" s="18" t="inlineStr">
        <is>
          <t>Forbes: Color Image nearly $2bn sales</t>
        </is>
      </c>
      <c r="D34" s="19" t="inlineStr">
        <is>
          <t>Ctrl+F "nearly $2 billion". Forbes estimate for Color Image parent (Alo + Bella+Canvas), not Alo-only EBITDA.</t>
        </is>
      </c>
      <c r="E34" s="117" t="n">
        <v>2</v>
      </c>
    </row>
    <row r="35" ht="28" customHeight="1">
      <c r="A35" s="68" t="inlineStr">
        <is>
          <t>Alo implied EV/Sales (ask / parent sales)</t>
        </is>
      </c>
      <c r="B35" s="26" t="inlineStr">
        <is>
          <t>5.0x = 10 / 2. Implied EV/Sales on an unclosed ask and parent sales. Not EV/EBITDA. Not the TV.</t>
        </is>
      </c>
      <c r="C35" s="95" t="inlineStr">
        <is>
          <t>Comps: Alo ask / parent sales</t>
        </is>
      </c>
      <c r="D35" s="19" t="inlineStr">
        <is>
          <t>No Ctrl+F for EV/EBITDA — Firecrawl found none on Reuters or Forbes. This cell is E33 / E34 (ask ÷ parent sales). Not the TV.</t>
        </is>
      </c>
      <c r="E35" s="118">
        <f>E33/E34</f>
        <v/>
      </c>
    </row>
    <row r="36" ht="28" customHeight="1">
      <c r="A36" s="16" t="inlineStr">
        <is>
          <t>Alo EV/EBITDA</t>
        </is>
      </c>
      <c r="B36" s="26" t="inlineStr">
        <is>
          <t>No page prints Alo or Color Image EBITDA. PitchBook Alo column is blank. Cannot imply EV/EBITDA.</t>
        </is>
      </c>
      <c r="C36" s="26" t="inlineStr">
        <is>
          <t>None — no EBITDA source</t>
        </is>
      </c>
      <c r="D36" s="19" t="inlineStr">
        <is>
          <t>No Ctrl+F. Reuters, Forbes, and PitchBook do not print Alo EV/EBITDA.</t>
        </is>
      </c>
      <c r="E36" s="119" t="inlineStr">
        <is>
          <t>n.a.</t>
        </is>
      </c>
    </row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inlineStr">
        <is>
          <t>PitchBook core set, UAA out. Current tape — not a 2.25% g FY30 exit.</t>
        </is>
      </c>
      <c r="C39" s="26" t="inlineStr">
        <is>
          <t>Derived: Excel AVERAGE of the seven core prints</t>
        </is>
      </c>
      <c r="D39" s="26" t="inlineStr">
        <is>
          <t>Each E cell is I/J from the PitchBook extract. Do not use as FY30 exit.</t>
        </is>
      </c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inlineStr">
        <is>
          <t>Wider PitchBook tape. WSM/MOV/LZB are adjacent retail, not athletic. Not the TV.</t>
        </is>
      </c>
      <c r="C40" s="26" t="inlineStr">
        <is>
          <t>Derived: Excel AVERAGE of every positive-EBITDA row</t>
        </is>
      </c>
      <c r="D40" s="26" t="inlineStr">
        <is>
          <t>UAA omitted because TTM EBITDA is negative. Not the selected FY30 exit.</t>
        </is>
      </c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 Selected exit = Gordon TV / FY30 EBITDA. Identity: (UFCF/EBITDA)×(1+g)/(WACC−g). Live formula, not a typed 8.0x</t>
        </is>
      </c>
    </row>
    <row r="49">
      <c r="A49" s="41" t="inlineStr">
        <is>
          <t>•  At base WACC ~9.0% and g 2.25% that identity is ~7.4x FY30 EBITDA — not a peer average</t>
        </is>
      </c>
    </row>
    <row r="50">
      <c r="A50" s="41" t="inlineStr">
        <is>
          <t>•  PitchBook pubcomps (04-Sep-2026) are the current tape: each multiple is daily EV / TTM EBITDA</t>
        </is>
      </c>
    </row>
    <row r="51">
      <c r="A51" s="41" t="inlineStr">
        <is>
          <t>•  That tape is a check, not the exit. A 2.25% g / 15.5% OM year is not today’s NKE/WSM multiple</t>
        </is>
      </c>
    </row>
    <row r="52">
      <c r="A52" s="41" t="inlineStr">
        <is>
          <t>•  Alo has no EV/EBITDA print. Implied 5.0x is EV/Sales (unclosed $10bn ask / ~$2bn parent sales) — not the FY30 exit</t>
        </is>
      </c>
    </row>
    <row r="53">
      <c r="A53" s="41" t="inlineStr">
        <is>
          <t>•  PitchBook LULU is ~4.7x TTM. Gordon ~7.4x is a partial recovery, not a re-rate to WSM ~15x</t>
        </is>
      </c>
    </row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inlineStr">
        <is>
          <t>Justification</t>
        </is>
      </c>
      <c r="C56" s="113" t="inlineStr">
        <is>
          <t>Source</t>
        </is>
      </c>
      <c r="D56" s="113" t="inlineStr">
        <is>
          <t>Ctrl+F</t>
        </is>
      </c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57" s="85" t="inlineStr">
        <is>
          <t>Lo: StockAnalysis: LULU EV/EBITDA
Hi: StockAnalysis: DECK EV/EBITDA</t>
        </is>
      </c>
      <c r="D57" s="19" t="inlineStr">
        <is>
          <t>Lo: Ctrl+F "EV / EBITDA" → LULU trough ~5x; football-field floor 5.0x
Hi: Ctrl+F "EV / EBITDA" → 7.95. Football-field cap 8.0x (Deckers). Not the selected exit.</t>
        </is>
      </c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inlineStr">
        <is>
          <t>Selected exit is Gordon TV / FY30 EBITDA. Identity: (UFCF/EBITDA)×(1+g)/(WACC−g). Not Deckers and not a peer average.</t>
        </is>
      </c>
      <c r="C58" s="18" t="inlineStr">
        <is>
          <t>DCF: Gordon implied exit (TV / FY30 EBITDA)</t>
        </is>
      </c>
      <c r="D58" s="19" t="inlineStr">
        <is>
          <t>No peer Ctrl+F. This cell = Gordon TV / FY30 EBITDA = (UFCF/EBITDA)×(1+g)/(WACC−g). WACC and g are sourced on those rows.</t>
        </is>
      </c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9" s="85" t="inlineStr">
        <is>
          <t>Lo: StockAnalysis: LULU Forward P/E
Hi: StockAnalysis: NKE Forward P/E</t>
        </is>
      </c>
      <c r="D59" s="19" t="inlineStr">
        <is>
          <t>Lo: Ctrl+F "Forward PE" → LULU ~12.3x; low-case multiple assumption 10.0x
Hi: Ctrl+F "Forward PE" → NKE peer benchmark; high-case assumption 18.0x</t>
        </is>
      </c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inlineStr">
        <is>
          <t>Ctrl+F "closed at $100.61" → Last Sale on NASDAQ quote page</t>
        </is>
      </c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2026-09-10T16:35:57Z</dcterms:modified>
</cp:coreProperties>
</file>
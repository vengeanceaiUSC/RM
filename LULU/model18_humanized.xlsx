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LULU_Assumptions_Memo.pdf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corporate.lululemon.com/newsroom/press-releases/2026/09-03-2026-210528733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fred.stlouisfed.org/series/GDPC1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www.nasdaq.com/market-activity/stocks/lulu" TargetMode="External" Id="rId45" /><Relationship Type="http://schemas.openxmlformats.org/officeDocument/2006/relationships/hyperlink" Target="https://fred.stlouisfed.org/series/GDPC1" TargetMode="External" Id="rId46" /><Relationship Type="http://schemas.openxmlformats.org/officeDocument/2006/relationships/hyperlink" Target="https://www.stern.nyu.edu/~adamodar/New_Home_Page/datafile/histimpl.html" TargetMode="External" Id="rId47" /><Relationship Type="http://schemas.openxmlformats.org/officeDocument/2006/relationships/hyperlink" Target="https://fred.stlouisfed.org/series/GDPC1" TargetMode="External" Id="rId48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NOPAT Bridge • Scenarios • DCF • Comps / Football Field</t>
        </is>
      </c>
    </row>
    <row r="15">
      <c r="B15" s="5" t="inlineStr">
        <is>
          <t>ASSUMPTIONS GUIDE (PDF — every tab)</t>
        </is>
      </c>
    </row>
    <row r="17" ht="36" customHeight="1">
      <c r="B17" s="5" t="inlineStr">
        <is>
          <t>SOURCES</t>
        </is>
      </c>
    </row>
    <row r="19">
      <c r="B19" s="11" t="inlineStr">
        <is>
          <t>Built from scratch for the GIS IR selection assignment.</t>
        </is>
      </c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39" t="n">
        <v>6.267883648875038</v>
      </c>
      <c r="G15" s="39" t="n">
        <v>6.267883648875038</v>
      </c>
      <c r="H15" s="39" t="n">
        <v>6.267883648875038</v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39" t="n">
        <v>128.8324100108167</v>
      </c>
      <c r="G16" s="39" t="n">
        <v>128.8324100108167</v>
      </c>
      <c r="H16" s="39" t="n">
        <v>128.8324100108167</v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39" t="n">
        <v>25.10521290169407</v>
      </c>
      <c r="G18" s="39" t="n">
        <v>25.10521290169407</v>
      </c>
      <c r="H18" s="39" t="n">
        <v>25.10521290169407</v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 t="n">
        <v>0.05080692810692991</v>
      </c>
      <c r="G19" s="20" t="n">
        <v>0.05080692810692991</v>
      </c>
      <c r="H19" s="20" t="n">
        <v>0.05080692810692991</v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 t="n">
        <v>0.05971412101669879</v>
      </c>
      <c r="G20" s="20" t="n">
        <v>0.05971412101669879</v>
      </c>
      <c r="H20" s="20" t="n">
        <v>0.05971412101669879</v>
      </c>
    </row>
    <row r="21">
      <c r="A21" s="16" t="inlineStr">
        <is>
          <t>Pitch CFF: fixed buyback ($k/yr) bear/base</t>
        </is>
      </c>
      <c r="F21" s="37" t="n">
        <v>500000</v>
      </c>
      <c r="G21" s="37" t="n">
        <v>500000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F45*(1-'NOPAT Bridge'!F$39)</f>
        <v/>
      </c>
      <c r="G50" s="42">
        <f>'NOPAT Bridge'!F41</f>
        <v/>
      </c>
      <c r="H50" s="42">
        <f>H45*(1-'NOPAT Bridge'!F$39)</f>
        <v/>
      </c>
    </row>
    <row r="51">
      <c r="A51" s="41" t="inlineStr">
        <is>
          <t>NOPAT – year 2</t>
        </is>
      </c>
      <c r="F51" s="42">
        <f>F46*(1-'NOPAT Bridge'!G$39)</f>
        <v/>
      </c>
      <c r="G51" s="42">
        <f>'NOPAT Bridge'!G41</f>
        <v/>
      </c>
      <c r="H51" s="42">
        <f>H46*(1-'NOPAT Bridge'!G$39)</f>
        <v/>
      </c>
    </row>
    <row r="52">
      <c r="A52" s="41" t="inlineStr">
        <is>
          <t>NOPAT – year 3</t>
        </is>
      </c>
      <c r="F52" s="42">
        <f>F47*(1-'NOPAT Bridge'!H$39)</f>
        <v/>
      </c>
      <c r="G52" s="42">
        <f>'NOPAT Bridge'!H41</f>
        <v/>
      </c>
      <c r="H52" s="42">
        <f>H47*(1-'NOPAT Bridge'!H$39)</f>
        <v/>
      </c>
    </row>
    <row r="53">
      <c r="A53" s="41" t="inlineStr">
        <is>
          <t>NOPAT – year 4</t>
        </is>
      </c>
      <c r="F53" s="42">
        <f>F48*(1-'NOPAT Bridge'!I$39)</f>
        <v/>
      </c>
      <c r="G53" s="42">
        <f>'NOPAT Bridge'!I41</f>
        <v/>
      </c>
      <c r="H53" s="42">
        <f>H48*(1-'NOPAT Bridge'!I$39)</f>
        <v/>
      </c>
    </row>
    <row r="54">
      <c r="A54" s="41" t="inlineStr">
        <is>
          <t>NOPAT – year 5</t>
        </is>
      </c>
      <c r="F54" s="42">
        <f>F49*(1-'NOPAT Bridge'!J$39)</f>
        <v/>
      </c>
      <c r="G54" s="42">
        <f>'NOPAT Bridge'!J41</f>
        <v/>
      </c>
      <c r="H54" s="42">
        <f>H49*(1-'NOPAT Bridge'!J$39)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(F131+1807202-1798441)/111380</f>
        <v/>
      </c>
      <c r="G132" s="47">
        <f>(G131+1807202-1798441)/111380</f>
        <v/>
      </c>
      <c r="H132" s="46">
        <f>(H131+1807202-1798441)/111380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5">
      <c r="A135" s="26" t="inlineStr">
        <is>
          <t>Current price $100.00; cash $1,807,202 k; lease debt $1,798,441 k; funded debt $0; net cash $8,761 k.</t>
        </is>
      </c>
    </row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1807202+F153+F158</f>
        <v/>
      </c>
      <c r="G163" s="42">
        <f>1807202+G153+G158</f>
        <v/>
      </c>
      <c r="H163" s="42">
        <f>1807202+H153+H158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hidden="1" outlineLevel="1" width="28" customWidth="1" min="10" max="11"/>
    <col collapsed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56" t="n"/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7" t="n"/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7" t="n"/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7" t="n"/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7" t="n"/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7" t="n"/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7" t="n"/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7" t="n"/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7" t="n"/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7" t="n"/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7" t="n"/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7" t="n"/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7" t="n"/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7" t="n"/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7" t="n"/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7" t="n"/>
      <c r="K20" s="24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56" t="n"/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7" t="n"/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7" t="n"/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7" t="n"/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7" t="n"/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7" t="n"/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7" t="n"/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7" t="n"/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7" t="n"/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7" t="n"/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7" t="n"/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7" t="n"/>
      <c r="K34" s="18" t="inlineStr">
        <is>
          <t>FY2025 10-K: average order value commentary</t>
        </is>
      </c>
      <c r="L34" s="19" t="n"/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56" t="n"/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7" t="n"/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7" t="n"/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7" t="n"/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7" t="n"/>
      <c r="K41" s="24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56" t="n"/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7" t="n"/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n"/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n"/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n"/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7" t="n"/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7" t="n"/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7" t="n"/>
      <c r="K51" s="18" t="inlineStr">
        <is>
          <t>FY2025 10-K: product category mix</t>
        </is>
      </c>
      <c r="L51" s="19" t="n"/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56" t="n"/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7" t="n"/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7" t="n"/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7" t="n"/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7" t="n"/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J45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NORMALIZATION PIPELINE (BASE CASE)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51" t="n"/>
      <c r="C2" s="51" t="inlineStr">
        <is>
          <t>Source (click)</t>
        </is>
      </c>
      <c r="D2" s="51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n"/>
      <c r="C7" s="18" t="inlineStr">
        <is>
          <t>LULU CF statement (10-K): stock-based compensation</t>
        </is>
      </c>
      <c r="D7" s="19" t="n"/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  <c r="J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n"/>
      <c r="C9" s="18" t="inlineStr">
        <is>
          <t>FY2025 10-K: company-operated stores net revenue</t>
        </is>
      </c>
      <c r="D9" s="19" t="n"/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  <c r="J9" s="20" t="n">
        <v>0.186</v>
      </c>
    </row>
    <row r="10" ht="70" customHeight="1">
      <c r="A10" s="16" t="inlineStr">
        <is>
          <t>Phase 3: E-commerce EBIT margin %</t>
        </is>
      </c>
      <c r="B10" s="17" t="n"/>
      <c r="C10" s="18" t="inlineStr">
        <is>
          <t>FY2025 10-K: e-commerce net revenue</t>
        </is>
      </c>
      <c r="D10" s="19" t="n"/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  <c r="J10" s="20" t="n">
        <v>0.236</v>
      </c>
    </row>
    <row r="11" ht="70" customHeight="1">
      <c r="A11" s="16" t="inlineStr">
        <is>
          <t>Phase 3: Other-channels EBIT margin %</t>
        </is>
      </c>
      <c r="B11" s="17" t="n"/>
      <c r="C11" s="18" t="inlineStr">
        <is>
          <t>FY2025 10-K: other channels (residual)</t>
        </is>
      </c>
      <c r="D11" s="19" t="n"/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  <c r="J11" s="20" t="n">
        <v>0.091</v>
      </c>
    </row>
    <row r="12" ht="28" customHeight="1">
      <c r="A12" s="16" t="inlineStr">
        <is>
          <t>Phase 4: Terminal marginal tax rate</t>
        </is>
      </c>
      <c r="B12" s="17" t="n"/>
      <c r="C12" s="18" t="inlineStr">
        <is>
          <t>Q2 FY2026 outlook: tax rate ≈ 30%</t>
        </is>
      </c>
      <c r="D12" s="19" t="n"/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  <c r="J12" s="20" t="n">
        <v>0.3</v>
      </c>
    </row>
    <row r="13" ht="28" customHeight="1">
      <c r="A13" s="16" t="inlineStr">
        <is>
          <t>Phase 2: R&amp;D / software amortization period (years)</t>
        </is>
      </c>
      <c r="B13" s="17" t="n"/>
      <c r="C13" s="24" t="inlineStr">
        <is>
          <t>NOPAT Bridge: capitalization convention</t>
        </is>
      </c>
      <c r="D13" s="19" t="n"/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  <c r="J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n"/>
      <c r="C16" s="18" t="inlineStr">
        <is>
          <t>LULU FY2025 10-K: Income from operations</t>
        </is>
      </c>
      <c r="D16" s="19" t="n"/>
      <c r="E16" s="74" t="n">
        <v>2210615</v>
      </c>
      <c r="F16" s="75">
        <f>Scenarios!G45</f>
        <v/>
      </c>
      <c r="G16" s="75">
        <f>Scenarios!G46</f>
        <v/>
      </c>
      <c r="H16" s="75">
        <f>Scenarios!G47</f>
        <v/>
      </c>
      <c r="I16" s="75">
        <f>Scenarios!G48</f>
        <v/>
      </c>
      <c r="J16" s="75">
        <f>Scenarios!G49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n"/>
      <c r="C17" s="18" t="inlineStr">
        <is>
          <t>LULU FY2025 10-K: amortization of intangible assets</t>
        </is>
      </c>
      <c r="D17" s="19" t="n"/>
      <c r="E17" s="74" t="n">
        <v>6961</v>
      </c>
      <c r="F17" s="75" t="n">
        <v>0</v>
      </c>
      <c r="G17" s="75" t="n">
        <v>0</v>
      </c>
      <c r="H17" s="75" t="n">
        <v>0</v>
      </c>
      <c r="I17" s="75" t="n">
        <v>0</v>
      </c>
      <c r="J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n"/>
      <c r="C18" s="18" t="inlineStr">
        <is>
          <t>LULU FY2025 10-K: restructuring charges</t>
        </is>
      </c>
      <c r="D18" s="19" t="n"/>
      <c r="E18" s="74" t="n">
        <v>0</v>
      </c>
      <c r="F18" s="75" t="n">
        <v>0</v>
      </c>
      <c r="G18" s="75" t="n">
        <v>0</v>
      </c>
      <c r="H18" s="75" t="n">
        <v>0</v>
      </c>
      <c r="I18" s="75" t="n">
        <v>0</v>
      </c>
      <c r="J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n"/>
      <c r="C19" s="18" t="inlineStr">
        <is>
          <t>LULU FY2025 10-K: SG&amp;A one-offs</t>
        </is>
      </c>
      <c r="D19" s="19" t="n"/>
      <c r="E19" s="74" t="n">
        <v>0</v>
      </c>
      <c r="F19" s="75" t="n">
        <v>0</v>
      </c>
      <c r="G19" s="75" t="n">
        <v>0</v>
      </c>
      <c r="H19" s="75" t="n">
        <v>0</v>
      </c>
      <c r="I19" s="75" t="n">
        <v>0</v>
      </c>
      <c r="J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n"/>
      <c r="C20" s="18" t="inlineStr">
        <is>
          <t>LULU CF statement (10-K): stock-based compensation</t>
        </is>
      </c>
      <c r="D20" s="19" t="n"/>
      <c r="E20" s="75">
        <f>62203*$E$7</f>
        <v/>
      </c>
      <c r="F20" s="75">
        <f>Scenarios!G25/11102600*62203*$E$7</f>
        <v/>
      </c>
      <c r="G20" s="75">
        <f>Scenarios!G26/11102600*62203*$E$7</f>
        <v/>
      </c>
      <c r="H20" s="75">
        <f>Scenarios!G27/11102600*62203*$E$7</f>
        <v/>
      </c>
      <c r="I20" s="75">
        <f>Scenarios!G28/11102600*62203*$E$7</f>
        <v/>
      </c>
      <c r="J20" s="75">
        <f>Scenarios!G29/11102600*62203*$E$7</f>
        <v/>
      </c>
    </row>
    <row r="21" hidden="1" outlineLevel="1" ht="28" customHeight="1">
      <c r="A21" s="23" t="inlineStr">
        <is>
          <t>Adjusted EBIT (Phase 1)</t>
        </is>
      </c>
      <c r="B21" s="17" t="n"/>
      <c r="C21" s="24" t="inlineStr">
        <is>
          <t>NOPAT Bridge tab: Phase 1 subtotal</t>
        </is>
      </c>
      <c r="D21" s="19" t="n"/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  <c r="J21" s="25">
        <f>J16+J17+J18+J19+J20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n"/>
      <c r="C23" s="18" t="inlineStr">
        <is>
          <t>LULU FY2025 10-K: interest on lease liabilities (supplemental)</t>
        </is>
      </c>
      <c r="D23" s="19" t="n"/>
      <c r="E23" s="74" t="n">
        <v>1028</v>
      </c>
      <c r="F23" s="75">
        <f>1028*(Scenarios!G25/11102600)</f>
        <v/>
      </c>
      <c r="G23" s="75">
        <f>1028*(Scenarios!G26/11102600)</f>
        <v/>
      </c>
      <c r="H23" s="75">
        <f>1028*(Scenarios!G27/11102600)</f>
        <v/>
      </c>
      <c r="I23" s="75">
        <f>1028*(Scenarios!G28/11102600)</f>
        <v/>
      </c>
      <c r="J23" s="75">
        <f>1028*(Scenarios!G29/11102600)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n"/>
      <c r="C24" s="18" t="inlineStr">
        <is>
          <t>LULU FY2025 10-K: R&amp;D / software expense</t>
        </is>
      </c>
      <c r="D24" s="19" t="n"/>
      <c r="E24" s="74" t="n">
        <v>0</v>
      </c>
      <c r="F24" s="75" t="n">
        <v>0</v>
      </c>
      <c r="G24" s="75" t="n">
        <v>0</v>
      </c>
      <c r="H24" s="75" t="n">
        <v>0</v>
      </c>
      <c r="I24" s="75" t="n">
        <v>0</v>
      </c>
      <c r="J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n"/>
      <c r="C25" s="18" t="inlineStr">
        <is>
          <t>LULU FY2025 10-K: intangible amortization</t>
        </is>
      </c>
      <c r="D25" s="19" t="n"/>
      <c r="E25" s="74" t="n">
        <v>6961</v>
      </c>
      <c r="F25" s="75" t="n">
        <v>0</v>
      </c>
      <c r="G25" s="75" t="n">
        <v>0</v>
      </c>
      <c r="H25" s="75" t="n">
        <v>0</v>
      </c>
      <c r="I25" s="75" t="n">
        <v>0</v>
      </c>
      <c r="J25" s="75" t="n">
        <v>0</v>
      </c>
    </row>
    <row r="26" hidden="1" outlineLevel="1" ht="28" customHeight="1">
      <c r="A26" s="23" t="inlineStr">
        <is>
          <t>EBIT after lease &amp; capitalization (Phase 2)</t>
        </is>
      </c>
      <c r="B26" s="17" t="n"/>
      <c r="C26" s="24" t="inlineStr">
        <is>
          <t>NOPAT Bridge tab: Phase 2 subtotal</t>
        </is>
      </c>
      <c r="D26" s="19" t="n"/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  <c r="J26" s="25">
        <f>J21+J23+J24-J25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n"/>
      <c r="C28" s="18" t="inlineStr">
        <is>
          <t>Revenue Drivers tab: store-channel revenue</t>
        </is>
      </c>
      <c r="D28" s="19" t="n"/>
      <c r="E28" s="74" t="n">
        <v>5049744</v>
      </c>
      <c r="F28" s="75">
        <f>'Revenue Drivers'!F31</f>
        <v/>
      </c>
      <c r="G28" s="75">
        <f>'Revenue Drivers'!G31</f>
        <v/>
      </c>
      <c r="H28" s="75">
        <f>'Revenue Drivers'!H31</f>
        <v/>
      </c>
      <c r="I28" s="75">
        <f>'Revenue Drivers'!I31</f>
        <v/>
      </c>
      <c r="J28" s="75">
        <f>'Revenue Drivers'!J31</f>
        <v/>
      </c>
    </row>
    <row r="29" hidden="1" outlineLevel="1" ht="28" customHeight="1">
      <c r="A29" s="16" t="inlineStr">
        <is>
          <t>E-commerce revenue</t>
        </is>
      </c>
      <c r="B29" s="17" t="n"/>
      <c r="C29" s="18" t="inlineStr">
        <is>
          <t>Revenue Drivers tab: e-commerce revenue</t>
        </is>
      </c>
      <c r="D29" s="19" t="n"/>
      <c r="E29" s="74" t="n">
        <v>4918697</v>
      </c>
      <c r="F29" s="75">
        <f>'Revenue Drivers'!F41</f>
        <v/>
      </c>
      <c r="G29" s="75">
        <f>'Revenue Drivers'!G41</f>
        <v/>
      </c>
      <c r="H29" s="75">
        <f>'Revenue Drivers'!H41</f>
        <v/>
      </c>
      <c r="I29" s="75">
        <f>'Revenue Drivers'!I41</f>
        <v/>
      </c>
      <c r="J29" s="75">
        <f>'Revenue Drivers'!J41</f>
        <v/>
      </c>
    </row>
    <row r="30" hidden="1" outlineLevel="1" ht="28" customHeight="1">
      <c r="A30" s="16" t="inlineStr">
        <is>
          <t>Other channels revenue</t>
        </is>
      </c>
      <c r="B30" s="17" t="n"/>
      <c r="C30" s="18" t="inlineStr">
        <is>
          <t>Revenue Drivers tab: other channels revenue</t>
        </is>
      </c>
      <c r="D30" s="19" t="n"/>
      <c r="E30" s="74" t="n">
        <v>1134159</v>
      </c>
      <c r="F30" s="75">
        <f>'Revenue Drivers'!F45</f>
        <v/>
      </c>
      <c r="G30" s="75">
        <f>'Revenue Drivers'!G45</f>
        <v/>
      </c>
      <c r="H30" s="75">
        <f>'Revenue Drivers'!H45</f>
        <v/>
      </c>
      <c r="I30" s="75">
        <f>'Revenue Drivers'!I45</f>
        <v/>
      </c>
      <c r="J30" s="75">
        <f>'Revenue Drivers'!J45</f>
        <v/>
      </c>
    </row>
    <row r="31" hidden="1" outlineLevel="1" ht="70" customHeight="1">
      <c r="A31" s="16" t="inlineStr">
        <is>
          <t>Store-channel EBIT (= Rev × store margin)</t>
        </is>
      </c>
      <c r="B31" s="17" t="n"/>
      <c r="C31" s="18" t="inlineStr">
        <is>
          <t>FY2025 10-K: company-operated stores net revenue</t>
        </is>
      </c>
      <c r="D31" s="19" t="n"/>
      <c r="E31" s="75" t="n">
        <v>939252.384</v>
      </c>
      <c r="F31" s="75">
        <f>F28*E$9</f>
        <v/>
      </c>
      <c r="G31" s="75">
        <f>G28*E$9</f>
        <v/>
      </c>
      <c r="H31" s="75">
        <f>H28*E$9</f>
        <v/>
      </c>
      <c r="I31" s="75">
        <f>I28*E$9</f>
        <v/>
      </c>
      <c r="J31" s="75">
        <f>J28*E$9</f>
        <v/>
      </c>
    </row>
    <row r="32" hidden="1" outlineLevel="1" ht="70" customHeight="1">
      <c r="A32" s="16" t="inlineStr">
        <is>
          <t>E-commerce EBIT (= Rev × e-comm margin)</t>
        </is>
      </c>
      <c r="B32" s="17" t="n"/>
      <c r="C32" s="18" t="inlineStr">
        <is>
          <t>FY2025 10-K: e-commerce net revenue</t>
        </is>
      </c>
      <c r="D32" s="19" t="n"/>
      <c r="E32" s="75" t="n">
        <v>1160812.492</v>
      </c>
      <c r="F32" s="75">
        <f>F29*E$10</f>
        <v/>
      </c>
      <c r="G32" s="75">
        <f>G29*E$10</f>
        <v/>
      </c>
      <c r="H32" s="75">
        <f>H29*E$10</f>
        <v/>
      </c>
      <c r="I32" s="75">
        <f>I29*E$10</f>
        <v/>
      </c>
      <c r="J32" s="75">
        <f>J29*E$10</f>
        <v/>
      </c>
    </row>
    <row r="33" hidden="1" outlineLevel="1" ht="56" customHeight="1">
      <c r="A33" s="16" t="inlineStr">
        <is>
          <t>Other-channels EBIT (= Rev × other margin)</t>
        </is>
      </c>
      <c r="B33" s="17" t="n"/>
      <c r="C33" s="18" t="inlineStr">
        <is>
          <t>FY2025 10-K: other channels (residual)</t>
        </is>
      </c>
      <c r="D33" s="19" t="n"/>
      <c r="E33" s="75" t="n">
        <v>103208.469</v>
      </c>
      <c r="F33" s="75">
        <f>F30*E$11</f>
        <v/>
      </c>
      <c r="G33" s="75">
        <f>G30*E$11</f>
        <v/>
      </c>
      <c r="H33" s="75">
        <f>H30*E$11</f>
        <v/>
      </c>
      <c r="I33" s="75">
        <f>I30*E$11</f>
        <v/>
      </c>
      <c r="J33" s="75">
        <f>J30*E$11</f>
        <v/>
      </c>
    </row>
    <row r="34" hidden="1" outlineLevel="1" ht="28" customHeight="1">
      <c r="A34" s="23" t="inlineStr">
        <is>
          <t>Channel EBIT (sum of sector EBIT)</t>
        </is>
      </c>
      <c r="B34" s="17" t="n"/>
      <c r="C34" s="24" t="inlineStr">
        <is>
          <t>NOPAT Bridge tab: sector EBIT subtotal</t>
        </is>
      </c>
      <c r="D34" s="19" t="n"/>
      <c r="F34" s="70">
        <f>F31+F32+F33+Scenarios!G7</f>
        <v/>
      </c>
      <c r="G34" s="70">
        <f>G31+G32+G33</f>
        <v/>
      </c>
      <c r="H34" s="70">
        <f>H31+H32+H33</f>
        <v/>
      </c>
      <c r="I34" s="70">
        <f>I31+I32+I33</f>
        <v/>
      </c>
      <c r="J34" s="70">
        <f>J31+J32+J33</f>
        <v/>
      </c>
    </row>
    <row r="35" hidden="1" outlineLevel="1" ht="28" customHeight="1">
      <c r="A35" s="23" t="inlineStr">
        <is>
          <t>EBIT after channel mix (Phase 3)</t>
        </is>
      </c>
      <c r="B35" s="17" t="n"/>
      <c r="C35" s="24" t="inlineStr">
        <is>
          <t>NOPAT Bridge tab: Phase 3 subtotal</t>
        </is>
      </c>
      <c r="D35" s="19" t="n"/>
      <c r="E35" s="76" t="n">
        <v>2203273.345</v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  <c r="J35" s="25">
        <f>J34</f>
        <v/>
      </c>
    </row>
    <row r="36" hidden="1" outlineLevel="1" ht="28" customHeight="1">
      <c r="A36" s="23" t="inlineStr">
        <is>
          <t>Normalized EBIT (tax base for NOPAT)</t>
        </is>
      </c>
      <c r="B36" s="17" t="n"/>
      <c r="C36" s="24" t="inlineStr">
        <is>
          <t>Scenarios tab: base-case EBIT (forecast)</t>
        </is>
      </c>
      <c r="D36" s="19" t="n"/>
      <c r="E36" s="25">
        <f>E21+E23+E24-E25</f>
        <v/>
      </c>
      <c r="F36" s="25">
        <f>Scenarios!G45</f>
        <v/>
      </c>
      <c r="G36" s="25">
        <f>Scenarios!G46</f>
        <v/>
      </c>
      <c r="H36" s="25">
        <f>Scenarios!G47</f>
        <v/>
      </c>
      <c r="I36" s="25">
        <f>Scenarios!G48</f>
        <v/>
      </c>
      <c r="J36" s="25">
        <f>Scenarios!G49</f>
        <v/>
      </c>
    </row>
    <row r="37" hidden="1" outlineLevel="1">
      <c r="A37" s="16" t="inlineStr">
        <is>
          <t>Check vs Scenarios EBIT (base case)</t>
        </is>
      </c>
      <c r="F37" s="75">
        <f>F36-Scenarios!G45</f>
        <v/>
      </c>
      <c r="G37" s="75">
        <f>G36-Scenarios!G46</f>
        <v/>
      </c>
      <c r="H37" s="75">
        <f>H36-Scenarios!G47</f>
        <v/>
      </c>
      <c r="I37" s="75">
        <f>I36-Scenarios!G48</f>
        <v/>
      </c>
      <c r="J37" s="75">
        <f>J36-Scenarios!G49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n"/>
      <c r="C39" s="18" t="inlineStr">
        <is>
          <t>LULU FY2025 10-K: income tax &amp; interest expense</t>
        </is>
      </c>
      <c r="D39" s="19" t="n"/>
      <c r="E39" s="77" t="n">
        <v>0.2946847649213503</v>
      </c>
      <c r="F39" s="32">
        <f>0.29468476492135026+(F$12-0.29468476492135026)*1/5</f>
        <v/>
      </c>
      <c r="G39" s="32">
        <f>0.29468476492135026+(G$12-0.29468476492135026)*2/5</f>
        <v/>
      </c>
      <c r="H39" s="32">
        <f>0.29468476492135026+(H$12-0.29468476492135026)*3/5</f>
        <v/>
      </c>
      <c r="I39" s="32">
        <f>0.29468476492135026+(I$12-0.29468476492135026)*4/5</f>
        <v/>
      </c>
      <c r="J39" s="32">
        <f>0.29468476492135026+(J$12-0.29468476492135026)*5/5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n"/>
      <c r="C40" s="24" t="inlineStr">
        <is>
          <t>NOPAT Bridge tab: unlevered tax expense</t>
        </is>
      </c>
      <c r="D40" s="19" t="n"/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  <c r="J40" s="75">
        <f>J36*J39</f>
        <v/>
      </c>
    </row>
    <row r="41" collapsed="1" ht="28" customHeight="1">
      <c r="A41" s="23" t="inlineStr">
        <is>
          <t>NORMALIZED NOPAT</t>
        </is>
      </c>
      <c r="B41" s="17" t="n"/>
      <c r="C41" s="24" t="inlineStr">
        <is>
          <t>NOPAT Bridge tab: normalized NOPAT</t>
        </is>
      </c>
      <c r="D41" s="19" t="n"/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  <c r="J41" s="25">
        <f>J36-J40</f>
        <v/>
      </c>
    </row>
    <row r="42"/>
    <row r="43">
      <c r="A43" s="61" t="inlineStr">
        <is>
          <t>6. Tariff refund (Scenarios)</t>
        </is>
      </c>
      <c r="B43" s="79" t="n"/>
      <c r="C43" s="79" t="inlineStr">
        <is>
          <t>EBIT = Rev × 13.2% only (no refund).</t>
        </is>
      </c>
      <c r="D43" s="79" t="n"/>
      <c r="F43" s="80" t="inlineStr">
        <is>
          <t>Scenarios EBIT (FY26)</t>
        </is>
      </c>
    </row>
    <row r="44">
      <c r="A44" s="26" t="inlineStr">
        <is>
          <t>Steps 1–4: DCF unchanged on FY26. Step 5 changes NOPAT only (tax). Step 6 changes FY26 EBIT (+ tariff).</t>
        </is>
      </c>
    </row>
    <row r="45">
      <c r="A45" s="26" t="inlineStr">
        <is>
          <t>Scenarios base-case NOPAT (col G) links to NORMALIZED NOPAT above. Bear/bull apply the same t_operating to their EBIT paths.</t>
        </is>
      </c>
    </row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36" customHeight="1">
      <c r="A4" s="38" t="inlineStr">
        <is>
          <t>Full Assumptions Guide (PDF)</t>
        </is>
      </c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 t="n">
        <v>0.566005440167168</v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 t="n">
        <v>0.1991078666258354</v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(t_operating from NOPAT Bridge)</t>
        </is>
      </c>
      <c r="F13" s="75">
        <f>-'NOPAT Bridge'!F40</f>
        <v/>
      </c>
      <c r="G13" s="75">
        <f>-'NOPAT Bridge'!G40</f>
        <v/>
      </c>
      <c r="H13" s="75">
        <f>-'NOPAT Bridge'!H40</f>
        <v/>
      </c>
      <c r="I13" s="75">
        <f>-'NOPAT Bridge'!I40</f>
        <v/>
      </c>
      <c r="J13" s="75">
        <f>-'NOPAT Bridge'!J40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hidden="1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88" t="n">
        <v>6.267883648875038</v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hidden="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hidden="1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88" t="n">
        <v>128.8324100108167</v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hidden="1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hidden="1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88" t="n">
        <v>25.10521290169407</v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hidden="1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hidden="1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 t="n">
        <v>0.05080692810692991</v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hidden="1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hidden="1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 t="n">
        <v>0.05971412101669879</v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hidden="1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hidden="1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hidden="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hidden="1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 t="n">
        <v>500000</v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('NOPAT Bridge'!F36-'NOPAT Bridge'!F23)*(1-'NOPAT Bridge'!F$39)</f>
        <v/>
      </c>
      <c r="G77" s="75">
        <f>('NOPAT Bridge'!G36-'NOPAT Bridge'!G23)*(1-'NOPAT Bridge'!G$39)</f>
        <v/>
      </c>
      <c r="H77" s="75">
        <f>('NOPAT Bridge'!H36-'NOPAT Bridge'!H23)*(1-'NOPAT Bridge'!H$39)</f>
        <v/>
      </c>
      <c r="I77" s="75">
        <f>('NOPAT Bridge'!I36-'NOPAT Bridge'!I23)*(1-'NOPAT Bridge'!I$39)</f>
        <v/>
      </c>
      <c r="J77" s="75">
        <f>('NOPAT Bridge'!J36-'NOPAT Bridge'!J23)*(1-'NOPAT Bridge'!J$39)</f>
        <v/>
      </c>
    </row>
    <row r="78">
      <c r="A78" s="23" t="inlineStr">
        <is>
          <t>Accretive EPS ($/share) = Net income ÷ ending shares</t>
        </is>
      </c>
      <c r="E78" s="101" t="n">
        <v>14.1783354282636</v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NOPAT Bridge'!A1"/>
    <hyperlink ref="D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E7" r:id="rId6"/>
    <hyperlink xmlns:r="http://schemas.openxmlformats.org/officeDocument/2006/relationships" ref="E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2" r:id="rId12"/>
    <hyperlink xmlns:r="http://schemas.openxmlformats.org/officeDocument/2006/relationships" ref="C15" r:id="rId13"/>
    <hyperlink xmlns:r="http://schemas.openxmlformats.org/officeDocument/2006/relationships" ref="C17" r:id="rId14"/>
    <hyperlink xmlns:r="http://schemas.openxmlformats.org/officeDocument/2006/relationships" ref="C20" r:id="rId15"/>
    <hyperlink xmlns:r="http://schemas.openxmlformats.org/officeDocument/2006/relationships" ref="E20" r:id="rId16"/>
    <hyperlink xmlns:r="http://schemas.openxmlformats.org/officeDocument/2006/relationships" ref="C21" r:id="rId17"/>
    <hyperlink xmlns:r="http://schemas.openxmlformats.org/officeDocument/2006/relationships" ref="E21" r:id="rId18"/>
    <hyperlink xmlns:r="http://schemas.openxmlformats.org/officeDocument/2006/relationships" ref="C22" r:id="rId19"/>
    <hyperlink xmlns:r="http://schemas.openxmlformats.org/officeDocument/2006/relationships" ref="E22" r:id="rId20"/>
    <hyperlink xmlns:r="http://schemas.openxmlformats.org/officeDocument/2006/relationships" ref="C23" r:id="rId21"/>
    <hyperlink xmlns:r="http://schemas.openxmlformats.org/officeDocument/2006/relationships" ref="E23" r:id="rId22"/>
    <hyperlink xmlns:r="http://schemas.openxmlformats.org/officeDocument/2006/relationships" ref="C24" r:id="rId23"/>
    <hyperlink xmlns:r="http://schemas.openxmlformats.org/officeDocument/2006/relationships" ref="E24" r:id="rId24"/>
    <hyperlink xmlns:r="http://schemas.openxmlformats.org/officeDocument/2006/relationships" ref="C25" r:id="rId25"/>
    <hyperlink xmlns:r="http://schemas.openxmlformats.org/officeDocument/2006/relationships" ref="E25" r:id="rId26"/>
    <hyperlink xmlns:r="http://schemas.openxmlformats.org/officeDocument/2006/relationships" ref="C26" r:id="rId27"/>
    <hyperlink xmlns:r="http://schemas.openxmlformats.org/officeDocument/2006/relationships" ref="E26" r:id="rId28"/>
    <hyperlink xmlns:r="http://schemas.openxmlformats.org/officeDocument/2006/relationships" ref="C27" r:id="rId29"/>
    <hyperlink xmlns:r="http://schemas.openxmlformats.org/officeDocument/2006/relationships" ref="E27" r:id="rId30"/>
    <hyperlink xmlns:r="http://schemas.openxmlformats.org/officeDocument/2006/relationships" ref="C28" r:id="rId31"/>
    <hyperlink xmlns:r="http://schemas.openxmlformats.org/officeDocument/2006/relationships" ref="E28" r:id="rId32"/>
    <hyperlink xmlns:r="http://schemas.openxmlformats.org/officeDocument/2006/relationships" ref="C29" r:id="rId33"/>
    <hyperlink xmlns:r="http://schemas.openxmlformats.org/officeDocument/2006/relationships" ref="E29" r:id="rId34"/>
    <hyperlink ref="C30" location="'Scenarios'!A105"/>
    <hyperlink ref="C31" location="'Scenarios'!A110"/>
    <hyperlink xmlns:r="http://schemas.openxmlformats.org/officeDocument/2006/relationships" ref="C32" r:id="rId35"/>
    <hyperlink xmlns:r="http://schemas.openxmlformats.org/officeDocument/2006/relationships" ref="E32" r:id="rId36"/>
    <hyperlink ref="C33" location="'Scenarios'!A120"/>
    <hyperlink xmlns:r="http://schemas.openxmlformats.org/officeDocument/2006/relationships" ref="C43" r:id="rId37"/>
    <hyperlink xmlns:r="http://schemas.openxmlformats.org/officeDocument/2006/relationships" ref="C50" r:id="rId38"/>
    <hyperlink xmlns:r="http://schemas.openxmlformats.org/officeDocument/2006/relationships" ref="E50" r:id="rId39"/>
    <hyperlink xmlns:r="http://schemas.openxmlformats.org/officeDocument/2006/relationships" ref="C51" r:id="rId40"/>
    <hyperlink xmlns:r="http://schemas.openxmlformats.org/officeDocument/2006/relationships" ref="E51" r:id="rId41"/>
    <hyperlink xmlns:r="http://schemas.openxmlformats.org/officeDocument/2006/relationships" ref="C55" r:id="rId42"/>
    <hyperlink xmlns:r="http://schemas.openxmlformats.org/officeDocument/2006/relationships" ref="E55" r:id="rId43"/>
    <hyperlink xmlns:r="http://schemas.openxmlformats.org/officeDocument/2006/relationships" ref="C57" r:id="rId44"/>
    <hyperlink xmlns:r="http://schemas.openxmlformats.org/officeDocument/2006/relationships" ref="E57" r:id="rId45"/>
    <hyperlink ref="C82" location="'DCF'!E46"/>
    <hyperlink ref="M82" location="'Comps'!A45"/>
    <hyperlink xmlns:r="http://schemas.openxmlformats.org/officeDocument/2006/relationships" ref="C98" r:id="rId46"/>
    <hyperlink ref="L98" location="'Scenarios'!G10"/>
    <hyperlink xmlns:r="http://schemas.openxmlformats.org/officeDocument/2006/relationships" ref="C99" r:id="rId47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8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2026-09-10T16:26:29Z</dcterms:modified>
</cp:coreProperties>
</file>
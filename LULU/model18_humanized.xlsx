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19" fillId="0" borderId="0" applyAlignment="1" pivotButton="0" quotePrefix="0" xfId="0">
      <alignment horizontal="left" vertical="center" wrapText="1"/>
    </xf>
    <xf numFmtId="0" fontId="54" fillId="0" borderId="0" applyAlignment="1" pivotButton="0" quotePrefix="0" xfId="0">
      <alignment horizontal="left" vertical="center" wrapText="1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Relationship Type="http://schemas.openxmlformats.org/officeDocument/2006/relationships/hyperlink" Target="https://www.sec.gov/Archives/edgar/data/1397187/000139718726000020/lulu-20260201.htm" TargetMode="External" Id="rId68" /><Relationship Type="http://schemas.openxmlformats.org/officeDocument/2006/relationships/hyperlink" Target="https://www.sec.gov/Archives/edgar/data/1397187/000139718726000020/lulu-20260201.htm" TargetMode="External" Id="rId69" /><Relationship Type="http://schemas.openxmlformats.org/officeDocument/2006/relationships/hyperlink" Target="https://www.sec.gov/Archives/edgar/data/1397187/000139718726000020/lulu-20260201.htm" TargetMode="External" Id="rId7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/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6"/>
    <row r="17" ht="36" customHeight="1">
      <c r="B17" s="5" t="n"/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1">
        <f>(DCF!$E$21/DCF!$E$5)*365</f>
        <v/>
      </c>
      <c r="G15" s="131">
        <f>(DCF!$E$21/DCF!$E$5)*365</f>
        <v/>
      </c>
      <c r="H15" s="131">
        <f>(DCF!$E$21/DCF!$E$5)*365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1">
        <f>(DCF!$E$23/DCF!$E$8)*365</f>
        <v/>
      </c>
      <c r="G16" s="131">
        <f>(DCF!$E$23/DCF!$E$8)*365</f>
        <v/>
      </c>
      <c r="H16" s="131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1">
        <f>(DCF!$E$25/DCF!$E$8)*365</f>
        <v/>
      </c>
      <c r="G18" s="131">
        <f>(DCF!$E$25/DCF!$E$8)*365</f>
        <v/>
      </c>
      <c r="H18" s="131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DCF!$E$27/DCF!$E$5</f>
        <v/>
      </c>
      <c r="G19" s="20">
        <f>DCF!$E$27/DCF!$E$5</f>
        <v/>
      </c>
      <c r="H19" s="20">
        <f>DCF!$E$27/DCF!$E$5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DCF!$E$29/DCF!$E$5</f>
        <v/>
      </c>
      <c r="G20" s="20">
        <f>DCF!$E$29/DCF!$E$5</f>
        <v/>
      </c>
      <c r="H20" s="20">
        <f>DCF!$E$29/DCF!$E$5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  <row r="194"/>
    <row r="195"/>
    <row r="196"/>
    <row r="197"/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collapsed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127" t="inlineStr">
        <is>
          <t>Source</t>
        </is>
      </c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28" t="inlineStr">
        <is>
          <t>Revenue Drivers: beginning-stores formula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28" t="inlineStr">
        <is>
          <t>FY2025 10-K: store count &amp; expansion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28" t="inlineStr">
        <is>
          <t>FY2025 10-K: lease renewal / fleet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28" t="inlineStr">
        <is>
          <t>Revenue Drivers: ending-stores formula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28" t="inlineStr">
        <is>
          <t>Revenue Drivers: beginning-stores formula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28" t="inlineStr">
        <is>
          <t>FY2025 10-K: store count &amp; expansion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28" t="inlineStr">
        <is>
          <t>FY2025 10-K: lease renewal / fleet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28" t="inlineStr">
        <is>
          <t>Revenue Drivers: ending-stores formula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28" t="inlineStr">
        <is>
          <t>Revenue Drivers: beginning-stores formula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28" t="inlineStr">
        <is>
          <t>FY2025 10-K: store count &amp; expansion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28" t="inlineStr">
        <is>
          <t>FY2025 10-K: lease renewal / fleet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28" t="inlineStr">
        <is>
          <t>Revenue Drivers: ending-stores formula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28" t="inlineStr">
        <is>
          <t>Revenue Drivers: total-stores formula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28" t="inlineStr">
        <is>
          <t>FY2025 10-K: sales per square foot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29" t="inlineStr">
        <is>
          <t>Revenue Drivers: total-sqft formula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130" t="inlineStr">
        <is>
          <t>Source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28" t="inlineStr">
        <is>
          <t>FY2025 10-K: comparable sales &amp; SPSF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28" t="inlineStr">
        <is>
          <t>FY2025 10-K: Americas comparable sales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28" t="inlineStr">
        <is>
          <t>FY2025 10-K: China Mainland comparable sales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28" t="inlineStr">
        <is>
          <t>FY2025 10-K: Rest of World comparable sales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28" t="inlineStr">
        <is>
          <t>Revenue Drivers: prior store-rev formula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28" t="inlineStr">
        <is>
          <t>Revenue Drivers: comp-store formula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29" t="inlineStr">
        <is>
          <t>Revenue Drivers: net-new-store formula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28" t="inlineStr">
        <is>
          <t>Revenue Drivers: store-channel formula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28" t="inlineStr">
        <is>
          <t>FY2025 10-K: store traffic commentary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28" t="inlineStr">
        <is>
          <t>FY2025 10-K: conversion rate commentary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28" t="inlineStr">
        <is>
          <t>FY2025 10-K: average order value commentary</t>
        </is>
      </c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130" t="inlineStr">
        <is>
          <t>Source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28" t="inlineStr">
        <is>
          <t>FY2025 10-K: e-commerce revenue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28" t="inlineStr">
        <is>
          <t>FY2025 10-K: digital / traffic commentary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28" t="inlineStr">
        <is>
          <t>FY2025 10-K: e-commerce revenue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28" t="inlineStr">
        <is>
          <t>Revenue Drivers: e-comm formula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130" t="inlineStr">
        <is>
          <t>Source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28" t="inlineStr">
        <is>
          <t>FY2025 10-K: channel revenue table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28" t="inlineStr">
        <is>
          <t>FY2025 10-K: segmented net revenue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28" t="inlineStr">
        <is>
          <t>FY2025 10-K: segmented net revenue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28" t="inlineStr">
        <is>
          <t>FY2025 10-K: segmented net revenue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28" t="inlineStr">
        <is>
          <t>FY2025 10-K: product category mix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28" t="inlineStr">
        <is>
          <t>FY2025 10-K: product category mix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28" t="inlineStr">
        <is>
          <t>FY2025 10-K: product category mix</t>
        </is>
      </c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130" t="inlineStr">
        <is>
          <t>Source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28" t="inlineStr">
        <is>
          <t>Revenue Drivers: total-rev formula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28" t="inlineStr">
        <is>
          <t>Scenarios tab: base revenue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29" t="inlineStr">
        <is>
          <t>Revenue Drivers: variance formula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29" t="inlineStr">
        <is>
          <t>Revenue Drivers: variance % formula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J32" r:id="rId36"/>
    <hyperlink xmlns:r="http://schemas.openxmlformats.org/officeDocument/2006/relationships" ref="K32" r:id="rId37"/>
    <hyperlink xmlns:r="http://schemas.openxmlformats.org/officeDocument/2006/relationships" ref="J33" r:id="rId38"/>
    <hyperlink xmlns:r="http://schemas.openxmlformats.org/officeDocument/2006/relationships" ref="K33" r:id="rId39"/>
    <hyperlink xmlns:r="http://schemas.openxmlformats.org/officeDocument/2006/relationships" ref="J34" r:id="rId40"/>
    <hyperlink xmlns:r="http://schemas.openxmlformats.org/officeDocument/2006/relationships" ref="K34" r:id="rId41"/>
    <hyperlink xmlns:r="http://schemas.openxmlformats.org/officeDocument/2006/relationships" ref="J38" r:id="rId42"/>
    <hyperlink xmlns:r="http://schemas.openxmlformats.org/officeDocument/2006/relationships" ref="K38" r:id="rId43"/>
    <hyperlink xmlns:r="http://schemas.openxmlformats.org/officeDocument/2006/relationships" ref="J39" r:id="rId44"/>
    <hyperlink xmlns:r="http://schemas.openxmlformats.org/officeDocument/2006/relationships" ref="K39" r:id="rId45"/>
    <hyperlink xmlns:r="http://schemas.openxmlformats.org/officeDocument/2006/relationships" ref="J40" r:id="rId46"/>
    <hyperlink xmlns:r="http://schemas.openxmlformats.org/officeDocument/2006/relationships" ref="K40" r:id="rId47"/>
    <hyperlink xmlns:r="http://schemas.openxmlformats.org/officeDocument/2006/relationships" ref="B41" r:id="rId48"/>
    <hyperlink xmlns:r="http://schemas.openxmlformats.org/officeDocument/2006/relationships" ref="J41" r:id="rId49"/>
    <hyperlink xmlns:r="http://schemas.openxmlformats.org/officeDocument/2006/relationships" ref="B45" r:id="rId50"/>
    <hyperlink xmlns:r="http://schemas.openxmlformats.org/officeDocument/2006/relationships" ref="J45" r:id="rId51"/>
    <hyperlink xmlns:r="http://schemas.openxmlformats.org/officeDocument/2006/relationships" ref="K45" r:id="rId52"/>
    <hyperlink xmlns:r="http://schemas.openxmlformats.org/officeDocument/2006/relationships" ref="B46" r:id="rId53"/>
    <hyperlink xmlns:r="http://schemas.openxmlformats.org/officeDocument/2006/relationships" ref="J46" r:id="rId54"/>
    <hyperlink xmlns:r="http://schemas.openxmlformats.org/officeDocument/2006/relationships" ref="K46" r:id="rId55"/>
    <hyperlink xmlns:r="http://schemas.openxmlformats.org/officeDocument/2006/relationships" ref="B47" r:id="rId56"/>
    <hyperlink xmlns:r="http://schemas.openxmlformats.org/officeDocument/2006/relationships" ref="J47" r:id="rId57"/>
    <hyperlink xmlns:r="http://schemas.openxmlformats.org/officeDocument/2006/relationships" ref="K47" r:id="rId58"/>
    <hyperlink xmlns:r="http://schemas.openxmlformats.org/officeDocument/2006/relationships" ref="B48" r:id="rId59"/>
    <hyperlink xmlns:r="http://schemas.openxmlformats.org/officeDocument/2006/relationships" ref="J48" r:id="rId60"/>
    <hyperlink xmlns:r="http://schemas.openxmlformats.org/officeDocument/2006/relationships" ref="K48" r:id="rId61"/>
    <hyperlink xmlns:r="http://schemas.openxmlformats.org/officeDocument/2006/relationships" ref="J49" r:id="rId62"/>
    <hyperlink xmlns:r="http://schemas.openxmlformats.org/officeDocument/2006/relationships" ref="K49" r:id="rId63"/>
    <hyperlink xmlns:r="http://schemas.openxmlformats.org/officeDocument/2006/relationships" ref="J50" r:id="rId64"/>
    <hyperlink xmlns:r="http://schemas.openxmlformats.org/officeDocument/2006/relationships" ref="K50" r:id="rId65"/>
    <hyperlink xmlns:r="http://schemas.openxmlformats.org/officeDocument/2006/relationships" ref="J51" r:id="rId66"/>
    <hyperlink xmlns:r="http://schemas.openxmlformats.org/officeDocument/2006/relationships" ref="K51" r:id="rId67"/>
    <hyperlink xmlns:r="http://schemas.openxmlformats.org/officeDocument/2006/relationships" ref="B55" r:id="rId68"/>
    <hyperlink xmlns:r="http://schemas.openxmlformats.org/officeDocument/2006/relationships" ref="J55" r:id="rId69"/>
    <hyperlink xmlns:r="http://schemas.openxmlformats.org/officeDocument/2006/relationships" ref="B56" r:id="rId70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15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2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132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2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2026-09-10T17:15:55Z</dcterms:modified>
</cp:coreProperties>
</file>
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  <numFmt numFmtId="170" formatCode="0.0"/>
  </numFmts>
  <fonts count="68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  <font>
      <b val="1"/>
      <sz val="10"/>
    </font>
    <font>
      <i val="1"/>
      <color rgb="000563C1"/>
      <sz val="9"/>
      <u val="single"/>
    </font>
    <font>
      <name val="Garamond"/>
      <color rgb="00000000"/>
      <sz val="11"/>
    </font>
    <font>
      <name val="Garamond"/>
      <b val="1"/>
      <color rgb="00000000"/>
      <sz val="13"/>
    </font>
    <font>
      <name val="Garamond"/>
      <b val="1"/>
      <color rgb="00000000"/>
      <sz val="20"/>
    </font>
    <font>
      <name val="Garamond"/>
      <b val="1"/>
      <color rgb="00000000"/>
      <sz val="14"/>
    </font>
    <font>
      <name val="Garamond"/>
      <color rgb="00000000"/>
      <sz val="10"/>
      <u val="single"/>
    </font>
    <font>
      <name val="Garamond"/>
      <i val="1"/>
      <color rgb="00000000"/>
      <sz val="9"/>
      <u val="single"/>
    </font>
    <font>
      <name val="Garamond"/>
      <b val="1"/>
      <color rgb="00000000"/>
      <sz val="9"/>
      <u val="single"/>
    </font>
    <font>
      <name val="Garamond"/>
      <color rgb="00000000"/>
      <sz val="9"/>
      <u val="single"/>
    </font>
    <font>
      <name val="Garamond"/>
      <b val="1"/>
      <color rgb="00000000"/>
      <sz val="10"/>
      <u val="single"/>
    </font>
    <font>
      <name val="Garamond"/>
      <i val="1"/>
      <color rgb="00000000"/>
      <sz val="8"/>
      <u val="single"/>
    </font>
    <font>
      <name val="Garamond"/>
      <i val="1"/>
      <color rgb="00000000"/>
      <sz val="7"/>
    </font>
    <font>
      <name val="Garamond"/>
      <b val="1"/>
      <color rgb="00000000"/>
      <sz val="11"/>
      <u val="single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4" fontId="10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21" fillId="0" borderId="0" pivotButton="0" quotePrefix="0" xfId="0"/>
    <xf numFmtId="3" fontId="1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/>
    </xf>
    <xf numFmtId="170" fontId="16" fillId="0" borderId="0" applyAlignment="1" pivotButton="0" quotePrefix="0" xfId="0">
      <alignment horizontal="right" vertical="center"/>
    </xf>
    <xf numFmtId="3" fontId="24" fillId="0" borderId="0" applyAlignment="1" pivotButton="0" quotePrefix="0" xfId="0">
      <alignment horizontal="right" vertical="center"/>
    </xf>
    <xf numFmtId="0" fontId="21" fillId="2" borderId="0" pivotButton="0" quotePrefix="0" xfId="0"/>
    <xf numFmtId="3" fontId="29" fillId="0" borderId="0" applyAlignment="1" pivotButton="0" quotePrefix="0" xfId="0">
      <alignment horizontal="right" vertical="center"/>
    </xf>
    <xf numFmtId="3" fontId="33" fillId="0" borderId="0" applyAlignment="1" pivotButton="0" quotePrefix="0" xfId="0">
      <alignment horizontal="right" vertical="center"/>
    </xf>
    <xf numFmtId="3" fontId="28" fillId="0" borderId="0" applyAlignment="1" pivotButton="0" quotePrefix="0" xfId="0">
      <alignment horizontal="right" vertical="center"/>
    </xf>
    <xf numFmtId="3" fontId="32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top" wrapText="1"/>
    </xf>
    <xf numFmtId="3" fontId="35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right" vertical="center"/>
    </xf>
    <xf numFmtId="3" fontId="35" fillId="0" borderId="1" applyAlignment="1" pivotButton="0" quotePrefix="0" xfId="0">
      <alignment horizontal="right" vertical="center"/>
    </xf>
    <xf numFmtId="3" fontId="0" fillId="0" borderId="0" pivotButton="0" quotePrefix="0" xfId="0"/>
    <xf numFmtId="164" fontId="17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170" fontId="17" fillId="0" borderId="0" applyAlignment="1" pivotButton="0" quotePrefix="0" xfId="0">
      <alignment horizontal="left" vertical="top" wrapText="1"/>
    </xf>
    <xf numFmtId="170" fontId="11" fillId="0" borderId="0" applyAlignment="1" pivotButton="0" quotePrefix="0" xfId="0">
      <alignment horizontal="right" vertical="center"/>
    </xf>
    <xf numFmtId="3" fontId="17" fillId="0" borderId="0" applyAlignment="1" pivotButton="0" quotePrefix="0" xfId="0">
      <alignment horizontal="left" vertical="top" wrapText="1"/>
    </xf>
    <xf numFmtId="4" fontId="17" fillId="0" borderId="0" applyAlignment="1" pivotButton="0" quotePrefix="0" xfId="0">
      <alignment horizontal="left" vertical="top" wrapText="1"/>
    </xf>
    <xf numFmtId="4" fontId="11" fillId="0" borderId="0" applyAlignment="1" pivotButton="0" quotePrefix="0" xfId="0">
      <alignment horizontal="right" vertical="center"/>
    </xf>
    <xf numFmtId="4" fontId="0" fillId="0" borderId="0" pivotButton="0" quotePrefix="0" xfId="0"/>
    <xf numFmtId="4" fontId="9" fillId="0" borderId="0" applyAlignment="1" pivotButton="0" quotePrefix="0" xfId="0">
      <alignment horizontal="right" vertical="center"/>
    </xf>
    <xf numFmtId="3" fontId="34" fillId="0" borderId="1" applyAlignment="1" pivotButton="0" quotePrefix="0" xfId="0">
      <alignment horizontal="right" vertical="center"/>
    </xf>
    <xf numFmtId="4" fontId="21" fillId="0" borderId="1" applyAlignment="1" pivotButton="0" quotePrefix="0" xfId="0">
      <alignment horizontal="right" vertical="center"/>
    </xf>
    <xf numFmtId="3" fontId="24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4" fontId="16" fillId="0" borderId="0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right" vertical="center"/>
    </xf>
    <xf numFmtId="170" fontId="24" fillId="0" borderId="0" applyAlignment="1" pivotButton="0" quotePrefix="0" xfId="0">
      <alignment horizontal="right" vertical="center"/>
    </xf>
    <xf numFmtId="164" fontId="35" fillId="0" borderId="1" applyAlignment="1" pivotButton="0" quotePrefix="0" xfId="0">
      <alignment horizontal="right" vertical="center"/>
    </xf>
    <xf numFmtId="166" fontId="0" fillId="0" borderId="0" pivotButton="0" quotePrefix="0" xfId="0"/>
    <xf numFmtId="166" fontId="17" fillId="0" borderId="0" applyAlignment="1" pivotButton="0" quotePrefix="0" xfId="0">
      <alignment horizontal="left" vertical="top" wrapText="1"/>
    </xf>
    <xf numFmtId="170" fontId="9" fillId="0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3" fontId="9" fillId="0" borderId="0" applyAlignment="1" pivotButton="0" quotePrefix="0" xfId="0">
      <alignment horizontal="right" vertical="center"/>
    </xf>
    <xf numFmtId="3" fontId="21" fillId="0" borderId="1" applyAlignment="1" pivotButton="0" quotePrefix="0" xfId="0">
      <alignment horizontal="right" vertical="center"/>
    </xf>
    <xf numFmtId="169" fontId="0" fillId="2" borderId="0" pivotButton="0" quotePrefix="0" xfId="0"/>
    <xf numFmtId="165" fontId="42" fillId="0" borderId="0" applyAlignment="1" pivotButton="0" quotePrefix="0" xfId="0">
      <alignment horizontal="left" vertical="center"/>
    </xf>
    <xf numFmtId="169" fontId="0" fillId="0" borderId="0" pivotButton="0" quotePrefix="0" xfId="0"/>
    <xf numFmtId="169" fontId="24" fillId="0" borderId="0" applyAlignment="1" pivotButton="0" quotePrefix="0" xfId="0">
      <alignment horizontal="center" vertical="center" wrapText="1"/>
    </xf>
    <xf numFmtId="170" fontId="0" fillId="0" borderId="0" pivotButton="0" quotePrefix="0" xfId="0"/>
    <xf numFmtId="166" fontId="9" fillId="0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center" vertical="center" wrapText="1"/>
    </xf>
    <xf numFmtId="166" fontId="21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center" indent="1"/>
    </xf>
    <xf numFmtId="0" fontId="53" fillId="0" borderId="0" pivotButton="0" quotePrefix="0" xfId="0"/>
    <xf numFmtId="0" fontId="54" fillId="0" borderId="0" pivotButton="0" quotePrefix="0" xfId="0"/>
    <xf numFmtId="0" fontId="53" fillId="2" borderId="0" pivotButton="0" quotePrefix="0" xfId="0"/>
    <xf numFmtId="0" fontId="53" fillId="4" borderId="0" applyAlignment="1" pivotButton="0" quotePrefix="0" xfId="0">
      <alignment horizontal="center" vertical="center" wrapText="1"/>
    </xf>
    <xf numFmtId="1" fontId="54" fillId="0" borderId="0" applyAlignment="1" pivotButton="0" quotePrefix="0" xfId="0">
      <alignment horizontal="right" vertical="center"/>
    </xf>
    <xf numFmtId="166" fontId="54" fillId="0" borderId="0" applyAlignment="1" pivotButton="0" quotePrefix="0" xfId="0">
      <alignment horizontal="right" vertical="center"/>
    </xf>
    <xf numFmtId="0" fontId="55" fillId="0" borderId="0" pivotButton="0" quotePrefix="0" xfId="0"/>
    <xf numFmtId="0" fontId="56" fillId="2" borderId="0" applyAlignment="1" pivotButton="0" quotePrefix="0" xfId="0">
      <alignment horizontal="left" vertical="center" indent="1"/>
    </xf>
    <xf numFmtId="0" fontId="57" fillId="0" borderId="0" pivotButton="0" quotePrefix="0" xfId="0"/>
    <xf numFmtId="0" fontId="56" fillId="0" borderId="0" pivotButton="0" quotePrefix="0" xfId="0"/>
    <xf numFmtId="0" fontId="58" fillId="0" borderId="0" pivotButton="0" quotePrefix="0" xfId="0"/>
    <xf numFmtId="0" fontId="26" fillId="0" borderId="0" pivotButton="0" quotePrefix="0" xfId="0"/>
    <xf numFmtId="0" fontId="59" fillId="0" borderId="0" applyAlignment="1" pivotButton="0" quotePrefix="0" xfId="0">
      <alignment horizontal="left" vertical="top" wrapText="1"/>
    </xf>
    <xf numFmtId="0" fontId="26" fillId="2" borderId="0" pivotButton="0" quotePrefix="0" xfId="0"/>
    <xf numFmtId="0" fontId="55" fillId="2" borderId="0" pivotButton="0" quotePrefix="0" xfId="0"/>
    <xf numFmtId="164" fontId="26" fillId="3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indent="1"/>
    </xf>
    <xf numFmtId="0" fontId="30" fillId="0" borderId="0" pivotButton="0" quotePrefix="0" xfId="0"/>
    <xf numFmtId="0" fontId="30" fillId="2" borderId="0" applyAlignment="1" pivotButton="0" quotePrefix="0" xfId="0">
      <alignment horizontal="left" vertical="center" indent="1"/>
    </xf>
    <xf numFmtId="0" fontId="30" fillId="2" borderId="0" applyAlignment="1" pivotButton="0" quotePrefix="0" xfId="0">
      <alignment horizontal="center" vertical="center" wrapText="1"/>
    </xf>
    <xf numFmtId="0" fontId="30" fillId="4" borderId="0" applyAlignment="1" pivotButton="0" quotePrefix="0" xfId="0">
      <alignment horizontal="center" vertical="center" wrapText="1"/>
    </xf>
    <xf numFmtId="166" fontId="61" fillId="0" borderId="0" applyAlignment="1" pivotButton="0" quotePrefix="0" xfId="0">
      <alignment horizontal="right" vertical="center"/>
    </xf>
    <xf numFmtId="166" fontId="62" fillId="0" borderId="0" applyAlignment="1" pivotButton="0" quotePrefix="0" xfId="0">
      <alignment horizontal="right" vertical="center"/>
    </xf>
    <xf numFmtId="0" fontId="30" fillId="2" borderId="0" pivotButton="0" quotePrefix="0" xfId="0"/>
    <xf numFmtId="166" fontId="6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 wrapText="1"/>
    </xf>
    <xf numFmtId="166" fontId="59" fillId="0" borderId="0" applyAlignment="1" pivotButton="0" quotePrefix="0" xfId="0">
      <alignment horizontal="right" vertical="center"/>
    </xf>
    <xf numFmtId="164" fontId="63" fillId="0" borderId="1" applyAlignment="1" pivotButton="0" quotePrefix="0" xfId="0">
      <alignment horizontal="right" vertical="center"/>
    </xf>
    <xf numFmtId="164" fontId="59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left" vertical="center" inden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left" vertical="top" wrapText="1"/>
    </xf>
    <xf numFmtId="166" fontId="55" fillId="0" borderId="0" pivotButton="0" quotePrefix="0" xfId="0"/>
    <xf numFmtId="166" fontId="63" fillId="0" borderId="1" applyAlignment="1" pivotButton="0" quotePrefix="0" xfId="0">
      <alignment horizontal="right" vertical="center"/>
    </xf>
    <xf numFmtId="164" fontId="55" fillId="0" borderId="0" pivotButton="0" quotePrefix="0" xfId="0"/>
    <xf numFmtId="170" fontId="59" fillId="0" borderId="0" applyAlignment="1" pivotButton="0" quotePrefix="0" xfId="0">
      <alignment horizontal="right" vertical="center"/>
    </xf>
    <xf numFmtId="3" fontId="5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left" vertical="center"/>
    </xf>
    <xf numFmtId="165" fontId="56" fillId="3" borderId="2" applyAlignment="1" pivotButton="0" quotePrefix="0" xfId="0">
      <alignment horizontal="right" vertical="center"/>
    </xf>
    <xf numFmtId="165" fontId="59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55" fillId="0" borderId="0" pivotButton="0" quotePrefix="0" xfId="0"/>
    <xf numFmtId="3" fontId="55" fillId="0" borderId="0" pivotButton="0" quotePrefix="0" xfId="0"/>
    <xf numFmtId="165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169" fontId="55" fillId="2" borderId="0" pivotButton="0" quotePrefix="0" xfId="0"/>
    <xf numFmtId="0" fontId="30" fillId="6" borderId="0" applyAlignment="1" pivotButton="0" quotePrefix="0" xfId="0">
      <alignment horizontal="center" vertical="center" wrapText="1"/>
    </xf>
    <xf numFmtId="164" fontId="30" fillId="6" borderId="0" applyAlignment="1" pivotButton="0" quotePrefix="0" xfId="0">
      <alignment horizontal="center" vertical="center" wrapText="1"/>
    </xf>
    <xf numFmtId="165" fontId="64" fillId="0" borderId="0" applyAlignment="1" pivotButton="0" quotePrefix="0" xfId="0">
      <alignment horizontal="left" vertical="center"/>
    </xf>
    <xf numFmtId="169" fontId="55" fillId="0" borderId="0" pivotButton="0" quotePrefix="0" xfId="0"/>
    <xf numFmtId="170" fontId="55" fillId="0" borderId="0" pivotButton="0" quotePrefix="0" xfId="0"/>
    <xf numFmtId="0" fontId="21" fillId="2" borderId="0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center" vertical="center" wrapText="1"/>
    </xf>
    <xf numFmtId="4" fontId="9" fillId="0" borderId="0" applyAlignment="1" pivotButton="0" quotePrefix="0" xfId="0">
      <alignment horizontal="center" vertical="center" wrapText="1"/>
    </xf>
    <xf numFmtId="165" fontId="66" fillId="0" borderId="0" applyAlignment="1" pivotButton="0" quotePrefix="0" xfId="0">
      <alignment horizontal="right" vertical="center"/>
    </xf>
    <xf numFmtId="0" fontId="6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Analyst</author>
  </authors>
  <commentList>
    <comment ref="B3" authorId="0" shapeId="0">
      <text>
        <t>Source: FRED: 10Y Treasury (DGS10)
https://fred.stlouisfed.org/series/DGS10</t>
      </text>
    </comment>
    <comment ref="B4" authorId="0" shapeId="0">
      <text>
        <t>Source: Damodaran: Historical Implied ERP
https://www.stern.nyu.edu/~adamodar/New_Home_Page/datafile/histimpl.html</t>
      </text>
    </comment>
    <comment ref="B5" authorId="0" shapeId="0">
      <text>
        <t>Source: Q2 FY2026 outlook: tax rate ≈ 30%
https://corporate.lululemon.com/newsroom/press-releases/2026/09-03-2026-210528733</t>
      </text>
    </comment>
    <comment ref="B8" authorId="0" shapeId="0">
      <text>
        <t>Source: NASDAQ LULU last sale (current price)
https://www.nasdaq.com/market-activity/stocks/lulu</t>
      </text>
    </comment>
    <comment ref="B9" authorId="0" shapeId="0">
      <text>
        <t>Source: LULU FY2025 10-K: shares outstanding
https://www.sec.gov/Archives/edgar/data/1397187/000139718726000020/lulu-20260201.htm</t>
      </text>
    </comment>
    <comment ref="B10" authorId="0" shapeId="0">
      <text>
        <t>Source: WACC tab: price × shares</t>
      </text>
    </comment>
    <comment ref="B11" authorId="0" shapeId="0">
      <text>
        <t>Source: LULU FY2025 10-K: operating lease liabilities
https://www.sec.gov/Archives/edgar/data/1397187/000139718726000020/lulu-20260201.htm</t>
      </text>
    </comment>
    <comment ref="B12" authorId="0" shapeId="0">
      <text>
        <t>Source: LULU FY2025 10-K (no funded debt)</t>
      </text>
    </comment>
    <comment ref="B16" authorId="0" shapeId="0">
      <text>
        <t>Source: Yahoo Finance: LULU Beta (5Y Monthly)</t>
      </text>
    </comment>
    <comment ref="B17" authorId="0" shapeId="0">
      <text>
        <t>Source: Yahoo Finance: LULU Total Debt (mrq)
https://finance.yahoo.com/quote/LULU/key-statistics/</t>
      </text>
    </comment>
    <comment ref="B18" authorId="0" shapeId="0">
      <text>
        <t>Source: Yahoo Finance: LULU Market Cap
https://finance.yahoo.com/quote/LULU/key-statistics/</t>
      </text>
    </comment>
    <comment ref="B19" authorId="0" shapeId="0">
      <text>
        <t>Source: Yahoo Finance: debt (mrq) ÷ market cap
https://finance.yahoo.com/quote/LULU/key-statistics/</t>
      </text>
    </comment>
    <comment ref="B20" authorId="0" shapeId="0">
      <text>
        <t>Source: Yahoo Finance: Total Debt/Equity (mrq)
https://finance.yahoo.com/quote/LULU/key-statistics/</t>
      </text>
    </comment>
    <comment ref="B21" authorId="0" shapeId="0">
      <text>
        <t>Source: WACC tab: Hamada unlever (Yahoo market D/E)
https://finance.yahoo.com/quote/LULU/key-statistics/</t>
      </text>
    </comment>
    <comment ref="B22" authorId="0" shapeId="0">
      <text>
        <t>Source: WACC tab: FY25 lease debt / market equity</t>
      </text>
    </comment>
    <comment ref="B23" authorId="0" shapeId="0">
      <text>
        <t>Source: Damodaran: US betas by sector (Jan 2026)</t>
      </text>
    </comment>
    <comment ref="B24" authorId="0" shapeId="0">
      <text>
        <t>Source: WACC tab: Hamada relever (total D/E incl. leases)
https://www.stern.nyu.edu/~adamodar/New_Home_Page/datafile/Betas.html</t>
      </text>
    </comment>
    <comment ref="B29" authorId="0" shapeId="0">
      <text>
        <t>Source: LULU FY2025 10-K: lease liabilities &amp; no funded debt</t>
      </text>
    </comment>
    <comment ref="B33" authorId="0" shapeId="0">
      <text>
        <t>Source: WACC tab: capital structure</t>
      </text>
    </comment>
    <comment ref="B34" authorId="0" shapeId="0">
      <text>
        <t>Source: LULU FY2025 10-K: operating lease liabilities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B4" authorId="0" shapeId="0">
      <text>
        <t>Source: Q2 FY26 Guidance Midpoint</t>
      </text>
    </comment>
    <comment ref="B5" authorId="0" shapeId="0">
      <text>
        <t>Source: StockAnalysis 3Y Revenue Forecast</t>
      </text>
    </comment>
    <comment ref="B6" authorId="0" shapeId="0">
      <text>
        <t>Source: Q2 FY26 Run-Rate OM (ex-tariff)</t>
      </text>
    </comment>
    <comment ref="B7" authorId="0" shapeId="0">
      <text>
        <t>Source: FY26 One-Time Tariff Refund</t>
      </text>
    </comment>
    <comment ref="B8" authorId="0" shapeId="0">
      <text>
        <t>Source: Partial Recovery vs FY25 10-K OM</t>
      </text>
    </comment>
    <comment ref="B9" authorId="0" shapeId="0">
      <text>
        <t>Source: Lease-Adjusted CAPM (WACC Tab)</t>
      </text>
    </comment>
    <comment ref="B10" authorId="0" shapeId="0">
      <text>
        <t>Source: FRED GDPC1 Anchor (~2.1%)</t>
      </text>
    </comment>
    <comment ref="B11" authorId="0" shapeId="0">
      <text>
        <t>Source: FY26 Guidance (~30%)</t>
      </text>
    </comment>
    <comment ref="B12" authorId="0" shapeId="0">
      <text>
        <t>Source: FY25 CF Statement (D&amp;A / Sales)</t>
      </text>
    </comment>
    <comment ref="B13" authorId="0" shapeId="0">
      <text>
        <t>Source: FY26 Guide Fade to 5.5% Blend</t>
      </text>
    </comment>
    <comment ref="B14" authorId="0" shapeId="0">
      <text>
        <t>Source: FY25 Reported GM (~56.6%)</t>
      </text>
    </comment>
    <comment ref="B15" authorId="0" shapeId="0">
      <text>
        <t>Source: Flat vs FY25 (~6.3 days)</t>
      </text>
    </comment>
    <comment ref="B16" authorId="0" shapeId="0">
      <text>
        <t>Source: FY25 Anchor; −1 Day / Yr</t>
      </text>
    </comment>
    <comment ref="B17" authorId="0" shapeId="0">
      <text>
        <t>Source: FY25 Anchor; −1 Day / Yr</t>
      </text>
    </comment>
    <comment ref="B18" authorId="0" shapeId="0">
      <text>
        <t>Source: Flat vs FY25 (~25 days)</t>
      </text>
    </comment>
    <comment ref="B19" authorId="0" shapeId="0">
      <text>
        <t>Source: FY25 OCA % of Revenue</t>
      </text>
    </comment>
    <comment ref="B20" authorId="0" shapeId="0">
      <text>
        <t>Source: FY25 Accrued % of Revenue</t>
      </text>
    </comment>
  </commentList>
</comments>
</file>

<file path=xl/comments/comment3.xml><?xml version="1.0" encoding="utf-8"?>
<comments xmlns="http://schemas.openxmlformats.org/spreadsheetml/2006/main">
  <authors>
    <author>Analyst</author>
  </authors>
  <commentList>
    <comment ref="B6" authorId="0" shapeId="0">
      <text>
        <t>Source: =B9</t>
      </text>
    </comment>
    <comment ref="B9" authorId="0" shapeId="0">
      <text>
        <t>Source: =C6+C7-C8</t>
      </text>
    </comment>
    <comment ref="B10" authorId="0" shapeId="0">
      <text>
        <t>Source: =B13</t>
      </text>
    </comment>
    <comment ref="B13" authorId="0" shapeId="0">
      <text>
        <t>Source: =C10+C11-C12</t>
      </text>
    </comment>
    <comment ref="B14" authorId="0" shapeId="0">
      <text>
        <t>Source: =B17</t>
      </text>
    </comment>
    <comment ref="B17" authorId="0" shapeId="0">
      <text>
        <t>Source: =C14+C15-C16</t>
      </text>
    </comment>
    <comment ref="B18" authorId="0" shapeId="0">
      <text>
        <t>Source: =C9+C13+C17</t>
      </text>
    </comment>
    <comment ref="B19" authorId="0" shapeId="0">
      <text>
        <t>Source: .54M sq ft / 811 stores ≈ 4,367 sq ft.</t>
      </text>
    </comment>
    <comment ref="B24" authorId="0" shapeId="0">
      <text>
        <t>Source: .</t>
      </text>
    </comment>
    <comment ref="B25" authorId="0" shapeId="0">
      <text>
        <t>Source: . FY26 model −4% before stabilization.</t>
      </text>
    </comment>
    <comment ref="B26" authorId="0" shapeId="0">
      <text>
        <t>Source: . FY26 model +14% on a larger base.</t>
      </text>
    </comment>
    <comment ref="B27" authorId="0" shapeId="0">
      <text>
        <t>Source: . FY26 model +7%, fading to +4%.</t>
      </text>
    </comment>
    <comment ref="B28" authorId="0" shapeId="0">
      <text>
        <t>Source: =B31</t>
      </text>
    </comment>
    <comment ref="B29" authorId="0" shapeId="0">
      <text>
        <t>Source: =B28*0.71*(1+C25)+B28*0.16*(1+C26)+B28*0.13*(1+C27)</t>
      </text>
    </comment>
    <comment ref="B30" authorId="0" shapeId="0">
      <text>
        <t>Source: =(C7-C8+C11-C12+C15-C16)*C19*C24/1000*0.55</t>
      </text>
    </comment>
    <comment ref="B31" authorId="0" shapeId="0">
      <text>
        <t>Source: =C29+C30</t>
      </text>
    </comment>
    <comment ref="B35" authorId="0" shapeId="0">
      <text>
        <t>Source: . Sessions implied from revenue / conv / AOV.</t>
      </text>
    </comment>
    <comment ref="B36" authorId="0" shapeId="0">
      <text>
        <t>Source: . FY26 model 3.3% digital conversion.</t>
      </text>
    </comment>
    <comment ref="B38" authorId="0" shapeId="0">
      <text>
        <t>Source: =C38*1000000*C39*C40/1000</t>
      </text>
    </comment>
    <comment ref="B42" authorId="0" shapeId="0">
      <text>
        <t>Source: .13B.</t>
      </text>
    </comment>
    <comment ref="B43" authorId="0" shapeId="0">
      <text>
        <t>Source: .7%).</t>
      </text>
    </comment>
    <comment ref="B45" authorId="0" shapeId="0">
      <text>
        <t>Source: .5%).</t>
      </text>
    </comment>
    <comment ref="B46" authorId="0" shapeId="0">
      <text>
        <t>Source: .</t>
      </text>
    </comment>
    <comment ref="B47" authorId="0" shapeId="0">
      <text>
        <t>Source: .</t>
      </text>
    </comment>
    <comment ref="B48" authorId="0" shapeId="0">
      <text>
        <t>Source: .</t>
      </text>
    </comment>
    <comment ref="B53" authorId="0" shapeId="0">
      <text>
        <t>Source: =Scenarios!G25</t>
      </text>
    </comment>
  </commentList>
</comments>
</file>

<file path=xl/comments/comment4.xml><?xml version="1.0" encoding="utf-8"?>
<comments xmlns="http://schemas.openxmlformats.org/spreadsheetml/2006/main">
  <authors>
    <author>Analyst</author>
  </authors>
  <commentList>
    <comment ref="B7" authorId="0" shapeId="0">
      <text>
        <t>Source: LULU CF statement (10-K): stock-based compensation
https://www.sec.gov/Archives/edgar/data/1397187/000139718726000020/lulu-20260201.htm</t>
      </text>
    </comment>
    <comment ref="B9" authorId="0" shapeId="0">
      <text>
        <t>Source: 0.186</t>
      </text>
    </comment>
    <comment ref="B10" authorId="0" shapeId="0">
      <text>
        <t>Source: 0.236</t>
      </text>
    </comment>
    <comment ref="B11" authorId="0" shapeId="0">
      <text>
        <t>Source: 0.091</t>
      </text>
    </comment>
    <comment ref="B12" authorId="0" shapeId="0">
      <text>
        <t>Source: 0.3</t>
      </text>
    </comment>
    <comment ref="B13" authorId="0" shapeId="0">
      <text>
        <t>Source: 4</t>
      </text>
    </comment>
    <comment ref="B16" authorId="0" shapeId="0">
      <text>
        <t>Source: =Scenarios!F48</t>
      </text>
    </comment>
    <comment ref="B17" authorId="0" shapeId="0">
      <text>
        <t>Source: LULU FY2025 10-K: amortization of intangible assets
https://www.sec.gov/Archives/edgar/data/1397187/000139718726000020/lulu-20260201.htm</t>
      </text>
    </comment>
    <comment ref="B18" authorId="0" shapeId="0">
      <text>
        <t>Source: LULU FY2025 10-K: restructuring charges
https://www.sec.gov/Archives/edgar/data/1397187/000139718726000020/lulu-20260201.htm</t>
      </text>
    </comment>
    <comment ref="B19" authorId="0" shapeId="0">
      <text>
        <t>Source: LULU FY2025 10-K: SG&amp;A one-offs
https://www.sec.gov/Archives/edgar/data/1397187/000139718726000020/lulu-20260201.htm</t>
      </text>
    </comment>
    <comment ref="B20" authorId="0" shapeId="0">
      <text>
        <t>Source: =Scenarios!F28/DCF!$B$6*62203*$D$7</t>
      </text>
    </comment>
    <comment ref="B21" authorId="0" shapeId="0">
      <text>
        <t>Source: =H16+H17+H18+H19+H20</t>
      </text>
    </comment>
    <comment ref="B23" authorId="0" shapeId="0">
      <text>
        <t>Source: =1028*(Scenarios!F28/DCF!$B$6)</t>
      </text>
    </comment>
    <comment ref="B24" authorId="0" shapeId="0">
      <text>
        <t>Source: LULU FY2025 10-K: R&amp;D / software expense
https://www.sec.gov/Archives/edgar/data/1397187/000139718726000020/lulu-20260201.htm</t>
      </text>
    </comment>
    <comment ref="B25" authorId="0" shapeId="0">
      <text>
        <t>Source: LULU FY2025 10-K: intangible amortization
https://www.sec.gov/Archives/edgar/data/1397187/000139718726000020/lulu-20260201.htm</t>
      </text>
    </comment>
    <comment ref="B26" authorId="0" shapeId="0">
      <text>
        <t>Source: =H21+H23+H24-H25</t>
      </text>
    </comment>
    <comment ref="B28" authorId="0" shapeId="0">
      <text>
        <t>Source: ='Revenue Drivers'!I31</t>
      </text>
    </comment>
    <comment ref="B29" authorId="0" shapeId="0">
      <text>
        <t>Source: ='Revenue Drivers'!I41</t>
      </text>
    </comment>
    <comment ref="B30" authorId="0" shapeId="0">
      <text>
        <t>Source: ='Revenue Drivers'!I45</t>
      </text>
    </comment>
    <comment ref="B31" authorId="0" shapeId="0">
      <text>
        <t>Source: =H28*D$9</t>
      </text>
    </comment>
    <comment ref="B32" authorId="0" shapeId="0">
      <text>
        <t>Source: =H29*D$10</t>
      </text>
    </comment>
    <comment ref="B33" authorId="0" shapeId="0">
      <text>
        <t>Source: =H30*D$11</t>
      </text>
    </comment>
    <comment ref="B34" authorId="0" shapeId="0">
      <text>
        <t>Source: =H31+H32+H33</t>
      </text>
    </comment>
    <comment ref="B35" authorId="0" shapeId="0">
      <text>
        <t>Source: =H34</t>
      </text>
    </comment>
    <comment ref="B36" authorId="0" shapeId="0">
      <text>
        <t>Source: =Scenarios!F48</t>
      </text>
    </comment>
    <comment ref="B39" authorId="0" shapeId="0">
      <text>
        <t>Source: =0.29468476492135026+(H$12-0.29468476492135026)*4/5</t>
      </text>
    </comment>
    <comment ref="B40" authorId="0" shapeId="0">
      <text>
        <t>Source: =H36*H39</t>
      </text>
    </comment>
    <comment ref="B41" authorId="0" shapeId="0">
      <text>
        <t>Source: =H36-H40</t>
      </text>
    </comment>
  </commentList>
</comments>
</file>

<file path=xl/comments/comment5.xml><?xml version="1.0" encoding="utf-8"?>
<comments xmlns="http://schemas.openxmlformats.org/spreadsheetml/2006/main">
  <authors>
    <author>Analyst</author>
  </authors>
  <commentList>
    <comment ref="B94" authorId="0" shapeId="0">
      <text>
        <t>Source: =(NPV(0.095,F35:J35)+(J35*(1+0.0225)/(0.095-0.0225))/(1+0.095)^5+E48+E49)/E51</t>
      </text>
    </comment>
    <comment ref="B95" authorId="0" shapeId="0">
      <text>
        <t>Source: =(NPV(0.1,F35:J35)+(J35*(1+0.0225)/(0.1-0.0225))/(1+0.1)^5+E48+E49)/E51</t>
      </text>
    </comment>
  </commentList>
</comments>
</file>

<file path=xl/comments/comment6.xml><?xml version="1.0" encoding="utf-8"?>
<comments xmlns="http://schemas.openxmlformats.org/spreadsheetml/2006/main">
  <authors>
    <author>Analyst</author>
  </authors>
  <commentList>
    <comment ref="B16" authorId="0" shapeId="0">
      <text>
        <t>Source: EV ($000)</t>
      </text>
    </comment>
    <comment ref="B17" authorId="0" shapeId="0">
      <text>
        <t>Source: 11890440</t>
      </text>
    </comment>
    <comment ref="B18" authorId="0" shapeId="0">
      <text>
        <t>Source: 3208397</t>
      </text>
    </comment>
    <comment ref="B19" authorId="0" shapeId="0">
      <text>
        <t>Source: 35661944</t>
      </text>
    </comment>
    <comment ref="B20" authorId="0" shapeId="0">
      <text>
        <t>Source: 58972350</t>
      </text>
    </comment>
    <comment ref="B21" authorId="0" shapeId="0">
      <text>
        <t>Source: 10555510</t>
      </text>
    </comment>
    <comment ref="B22" authorId="0" shapeId="0">
      <text>
        <t>Source: 27284350</t>
      </text>
    </comment>
    <comment ref="B23" authorId="0" shapeId="0">
      <text>
        <t>Source: 7153911</t>
      </text>
    </comment>
    <comment ref="B24" authorId="0" shapeId="0">
      <text>
        <t>Source: 616045</t>
      </text>
    </comment>
    <comment ref="B25" authorId="0" shapeId="0">
      <text>
        <t>Source: 9422753</t>
      </text>
    </comment>
    <comment ref="B26" authorId="0" shapeId="0">
      <text>
        <t>Source: 1598873</t>
      </text>
    </comment>
    <comment ref="B27" authorId="0" shapeId="0">
      <text>
        <t>Source: 5236269</t>
      </text>
    </comment>
    <comment ref="B48" authorId="0" shapeId="0">
      <text>
        <t>Source: Lo: StockAnalysis: LULU EV/EBITDA Hi: StockAnalysis: DECK EV/EBITDA
https://stockanalysis.com/stocks/lulu/statistics/</t>
      </text>
    </comment>
    <comment ref="B50" authorId="0" shapeId="0">
      <text>
        <t>Source: Lo: StockAnalysis: LULU Forward P/E Hi: StockAnalysis: NKE Forward P/E
https://stockanalysis.com/stocks/lulu/statistics/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 /><Relationship Type="http://schemas.openxmlformats.org/officeDocument/2006/relationships/hyperlink" Target="https://www.sec.gov/edgar/browse/?CIK=1397187&amp;owner=exclude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nasdaq.com/market-activity/stocks/lulu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LULU_Assumptions_Memo.pdf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corporate.lululemon.com/newsroom/press-releases/2026/09-03-2026-210528733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www.sec.gov/Archives/edgar/data/1397187/000139718726000020/lulu-20260201.htm" TargetMode="External" Id="rId36" /><Relationship Type="http://schemas.openxmlformats.org/officeDocument/2006/relationships/hyperlink" Target="https://fred.stlouisfed.org/series/GDPC1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sec.gov/Archives/edgar/data/1397187/000139718726000020/lulu-20260201.htm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www.nasdaq.com/market-activity/stocks/lulu" TargetMode="External" Id="rId45" /><Relationship Type="http://schemas.openxmlformats.org/officeDocument/2006/relationships/hyperlink" Target="https://fred.stlouisfed.org/series/GDPC1" TargetMode="External" Id="rId46" /><Relationship Type="http://schemas.openxmlformats.org/officeDocument/2006/relationships/hyperlink" Target="https://www.stern.nyu.edu/~adamodar/New_Home_Page/datafile/histimpl.html" TargetMode="External" Id="rId47" /><Relationship Type="http://schemas.openxmlformats.org/officeDocument/2006/relationships/hyperlink" Target="https://fred.stlouisfed.org/series/GDPC1" TargetMode="External" Id="rId48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stockanalysis.com/stocks/lulu/statistics/" TargetMode="External" Id="rId11" /><Relationship Type="http://schemas.openxmlformats.org/officeDocument/2006/relationships/hyperlink" Target="https://stockanalysis.com/stocks/lulu/statistics/" TargetMode="External" Id="rId12" /><Relationship Type="http://schemas.openxmlformats.org/officeDocument/2006/relationships/hyperlink" Target="https://www.nasdaq.com/market-activity/stocks/lulu" TargetMode="External" Id="rId13" /><Relationship Type="http://schemas.openxmlformats.org/officeDocument/2006/relationships/hyperlink" Target="https://www.nasdaq.com/market-activity/stocks/lulu" TargetMode="External" Id="rId14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 showOutlineSymbols="0"/>
    <pageSetUpPr/>
  </sheetPr>
  <dimension ref="A1:B25"/>
  <sheetViews>
    <sheetView showGridLines="0" showOutlineSymbol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A1" s="184" t="n"/>
      <c r="B1" s="184" t="n"/>
    </row>
    <row r="2" ht="26" customHeight="1">
      <c r="A2" s="184" t="n"/>
      <c r="B2" s="185" t="inlineStr">
        <is>
          <t>GLOBAL INVESTMENT SOCIETY | INVESTMENT RESEARCH DIVISION</t>
        </is>
      </c>
    </row>
    <row r="3">
      <c r="A3" s="184" t="n"/>
      <c r="B3" s="184" t="n"/>
    </row>
    <row r="4">
      <c r="A4" s="184" t="n"/>
      <c r="B4" s="186" t="inlineStr">
        <is>
          <t>lululemon athletica inc. (NASDAQ: LULU)</t>
        </is>
      </c>
    </row>
    <row r="5">
      <c r="A5" s="184" t="n"/>
      <c r="B5" s="187" t="inlineStr">
        <is>
          <t>Discounted Cash Flow Valuation — Unlevered Free Cash Flow</t>
        </is>
      </c>
    </row>
    <row r="6">
      <c r="A6" s="184" t="n"/>
      <c r="B6" s="184" t="n"/>
    </row>
    <row r="7">
      <c r="A7" s="184" t="n"/>
      <c r="B7" s="188" t="inlineStr">
        <is>
          <t>Recommendation: LONG / OVERWEIGHT</t>
        </is>
      </c>
    </row>
    <row r="8">
      <c r="A8" s="184" t="n"/>
      <c r="B8" s="184" t="n"/>
    </row>
    <row r="9">
      <c r="A9" s="184" t="n"/>
      <c r="B9" s="189" t="n"/>
    </row>
    <row r="10">
      <c r="A10" s="184" t="n"/>
      <c r="B10" s="7" t="n"/>
    </row>
    <row r="11">
      <c r="A11" s="184" t="n"/>
      <c r="B11" s="7" t="n"/>
    </row>
    <row r="12">
      <c r="A12" s="184" t="n"/>
      <c r="B12" s="7" t="n"/>
    </row>
    <row r="13">
      <c r="A13" s="184" t="n"/>
      <c r="B13" s="184" t="n"/>
    </row>
    <row r="14">
      <c r="A14" s="184" t="n"/>
      <c r="B14" s="189" t="n"/>
    </row>
    <row r="15">
      <c r="A15" s="184" t="n"/>
      <c r="B15" s="9" t="n"/>
    </row>
    <row r="16">
      <c r="A16" s="184" t="n"/>
      <c r="B16" s="189" t="n"/>
    </row>
    <row r="17" ht="36" customHeight="1">
      <c r="A17" s="184" t="n"/>
      <c r="B17" s="190" t="n"/>
    </row>
    <row r="18">
      <c r="A18" s="184" t="n"/>
      <c r="B18" s="184" t="n"/>
    </row>
    <row r="19">
      <c r="A19" s="184" t="n"/>
      <c r="B19" s="189" t="n"/>
    </row>
    <row r="20" ht="36" customHeight="1">
      <c r="A20" s="184" t="n"/>
      <c r="B20" s="190" t="n"/>
    </row>
    <row r="21" ht="36" customHeight="1">
      <c r="A21" s="184" t="n"/>
      <c r="B21" s="190" t="n"/>
    </row>
    <row r="22" ht="36" customHeight="1">
      <c r="A22" s="184" t="n"/>
      <c r="B22" s="190" t="n"/>
    </row>
    <row r="23" ht="36" customHeight="1">
      <c r="A23" s="184" t="n"/>
      <c r="B23" s="190" t="n"/>
    </row>
    <row r="24">
      <c r="A24" s="184" t="n"/>
      <c r="B24" s="184" t="n"/>
    </row>
    <row r="25">
      <c r="A25" s="184" t="n"/>
      <c r="B25" s="11" t="n"/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 showOutlineSymbols="0"/>
    <pageSetUpPr/>
  </sheetPr>
  <dimension ref="A1:C35"/>
  <sheetViews>
    <sheetView showGridLines="0" showOutlineSymbol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40" customWidth="1" min="4" max="4"/>
    <col width="12" customWidth="1" min="5" max="5"/>
  </cols>
  <sheetData>
    <row r="1" ht="16" customHeight="1">
      <c r="A1" s="191" t="inlineStr">
        <is>
          <t>WEIGHTED AVERAGE COST OF CAPITAL</t>
        </is>
      </c>
      <c r="B1" s="192" t="n"/>
      <c r="C1" s="192" t="n"/>
    </row>
    <row r="2">
      <c r="A2" s="129" t="inlineStr">
        <is>
          <t>Cost of equity (CAPM)</t>
        </is>
      </c>
      <c r="B2" s="68" t="inlineStr">
        <is>
          <t>Notes</t>
        </is>
      </c>
      <c r="C2" s="184" t="n"/>
    </row>
    <row r="3" ht="28" customHeight="1">
      <c r="A3" s="16" t="inlineStr">
        <is>
          <t>Risk-free rate (10-yr UST)</t>
        </is>
      </c>
      <c r="B3" s="126" t="inlineStr">
        <is>
          <t>FRED DGS10 (4.77% to 4.8%)</t>
        </is>
      </c>
      <c r="C3" s="32" t="n">
        <v>0.048</v>
      </c>
    </row>
    <row r="4" ht="28" customHeight="1">
      <c r="A4" s="16" t="inlineStr">
        <is>
          <t>Equity risk premium</t>
        </is>
      </c>
      <c r="B4" s="126" t="inlineStr">
        <is>
          <t>Damodaran ERP + 177bps</t>
        </is>
      </c>
      <c r="C4" s="75" t="n">
        <v>0.06</v>
      </c>
    </row>
    <row r="5" ht="28" customHeight="1">
      <c r="A5" s="16" t="inlineStr">
        <is>
          <t>Tax rate</t>
        </is>
      </c>
      <c r="B5" s="126" t="inlineStr">
        <is>
          <t>FY26 Guidance (~30%)</t>
        </is>
      </c>
      <c r="C5" s="32" t="n">
        <v>0.3</v>
      </c>
    </row>
    <row r="6">
      <c r="A6" s="184" t="n"/>
      <c r="B6" s="184" t="n"/>
      <c r="C6" s="184" t="n"/>
    </row>
    <row r="7">
      <c r="A7" s="129" t="inlineStr">
        <is>
          <t>Capital structure (market values)</t>
        </is>
      </c>
      <c r="B7" s="184" t="n"/>
      <c r="C7" s="184" t="n"/>
    </row>
    <row r="8" ht="28" customHeight="1">
      <c r="A8" s="16" t="inlineStr">
        <is>
          <t>Share price ($)</t>
        </is>
      </c>
      <c r="B8" s="126" t="inlineStr">
        <is>
          <t>NASDAQ Last Sale (~$100)</t>
        </is>
      </c>
      <c r="C8" s="99" t="n">
        <v>100</v>
      </c>
    </row>
    <row r="9" ht="28" customHeight="1">
      <c r="A9" s="16" t="inlineStr">
        <is>
          <t>Shares outstanding (000)</t>
        </is>
      </c>
      <c r="B9" s="126" t="inlineStr">
        <is>
          <t>FY25 10-K Share Count</t>
        </is>
      </c>
      <c r="C9" s="167" t="n">
        <v>111380</v>
      </c>
    </row>
    <row r="10" ht="28" customHeight="1">
      <c r="A10" s="68" t="inlineStr">
        <is>
          <t>Market value of equity</t>
        </is>
      </c>
      <c r="B10" s="126" t="inlineStr">
        <is>
          <t>NASDAQ Last Sale (~$100)</t>
        </is>
      </c>
      <c r="C10" s="25">
        <f>C8*C9</f>
        <v/>
      </c>
    </row>
    <row r="11" ht="28" customHeight="1">
      <c r="A11" s="16" t="inlineStr">
        <is>
          <t>Operating lease liabilities (ASC 842 debt equiv.)</t>
        </is>
      </c>
      <c r="B11" s="126" t="inlineStr">
        <is>
          <t>ASC 842 Lease Debt Equiv.</t>
        </is>
      </c>
      <c r="C11" s="75" t="n">
        <v>1798441</v>
      </c>
    </row>
    <row r="12">
      <c r="A12" s="16" t="inlineStr">
        <is>
          <t>Funded debt (term loans / bonds)</t>
        </is>
      </c>
      <c r="B12" s="126" t="inlineStr">
        <is>
          <t>No Term Debt (FY25 10-K)</t>
        </is>
      </c>
      <c r="C12" s="75" t="n">
        <v>0</v>
      </c>
    </row>
    <row r="13" ht="28" customHeight="1">
      <c r="A13" s="68" t="inlineStr">
        <is>
          <t>Total debt equivalents</t>
        </is>
      </c>
      <c r="B13" s="184" t="n"/>
      <c r="C13" s="25">
        <f>C11+C13</f>
        <v/>
      </c>
    </row>
    <row r="14">
      <c r="A14" s="184" t="n"/>
      <c r="B14" s="184" t="n"/>
      <c r="C14" s="184" t="n"/>
    </row>
    <row r="15">
      <c r="A15" s="129" t="inlineStr">
        <is>
          <t>Beta (unlever to relever)</t>
        </is>
      </c>
      <c r="B15" s="184" t="n"/>
      <c r="C15" s="184" t="n"/>
    </row>
    <row r="16">
      <c r="A16" s="16" t="inlineStr">
        <is>
          <t>Observed Beta (5Y Monthly) — levered βL</t>
        </is>
      </c>
      <c r="B16" s="126" t="inlineStr">
        <is>
          <t>Yahoo βL (5Y Monthly)</t>
        </is>
      </c>
      <c r="C16" s="28" t="n">
        <v>0.86</v>
      </c>
    </row>
    <row r="17" ht="28" customHeight="1">
      <c r="A17" s="16" t="inlineStr">
        <is>
          <t>Yahoo Total Debt (mrq)</t>
        </is>
      </c>
      <c r="B17" s="126" t="inlineStr">
        <is>
          <t>Yahoo MRQ Total Debt</t>
        </is>
      </c>
      <c r="C17" s="75" t="n">
        <v>2140000</v>
      </c>
    </row>
    <row r="18" ht="28" customHeight="1">
      <c r="A18" s="16" t="inlineStr">
        <is>
          <t>Yahoo Market Cap (same page as βL)</t>
        </is>
      </c>
      <c r="B18" s="126" t="inlineStr">
        <is>
          <t>Price × Shares</t>
        </is>
      </c>
      <c r="C18" s="75" t="n">
        <v>11140000</v>
      </c>
    </row>
    <row r="19" ht="28" customHeight="1">
      <c r="A19" s="16" t="inlineStr">
        <is>
          <t>D/E for unlever (Yahoo debt mrq ÷ Yahoo market cap)</t>
        </is>
      </c>
      <c r="B19" s="126" t="inlineStr">
        <is>
          <t>Yahoo MRQ Market Cap</t>
        </is>
      </c>
      <c r="C19" s="75">
        <f>C18/C19</f>
        <v/>
      </c>
    </row>
    <row r="20" ht="28" customHeight="1">
      <c r="A20" s="16" t="inlineStr">
        <is>
          <t>Yahoo book D/E (mrq) — reference only</t>
        </is>
      </c>
      <c r="B20" s="126" t="inlineStr">
        <is>
          <t>Yahoo MRQ Total Debt</t>
        </is>
      </c>
      <c r="C20" s="28" t="n">
        <v>0.4469</v>
      </c>
    </row>
    <row r="21" ht="28" customHeight="1">
      <c r="A21" s="16" t="inlineStr">
        <is>
          <t>Unlevered βu</t>
        </is>
      </c>
      <c r="B21" s="126" t="inlineStr">
        <is>
          <t>Hamada Unlever (Yahoo D/E)</t>
        </is>
      </c>
      <c r="C21" s="28">
        <f>C17/(1+(1-C5)*C20)</f>
        <v/>
      </c>
    </row>
    <row r="22" ht="28" customHeight="1">
      <c r="A22" s="16" t="inlineStr">
        <is>
          <t>D/E for relever (WACC: FY25 lease debt / market equity)</t>
        </is>
      </c>
      <c r="B22" s="126" t="inlineStr">
        <is>
          <t>FY25 Lease Debt / Mkt Cap</t>
        </is>
      </c>
      <c r="C22" s="32">
        <f>C14/C10</f>
        <v/>
      </c>
    </row>
    <row r="23" ht="28" customHeight="1">
      <c r="A23" s="16" t="inlineStr">
        <is>
          <t>Sector βu benchmark (Damodaran Special Lines) — not used</t>
        </is>
      </c>
      <c r="B23" s="126" t="inlineStr">
        <is>
          <t>Damodaran Benchmark (unused)</t>
        </is>
      </c>
      <c r="C23" s="28" t="n">
        <v>0.95</v>
      </c>
    </row>
    <row r="24" ht="28" customHeight="1">
      <c r="A24" s="68" t="inlineStr">
        <is>
          <t>Beta used (relevered for WACC capital structure)</t>
        </is>
      </c>
      <c r="B24" s="126" t="inlineStr">
        <is>
          <t>Relevered β for CAPM</t>
        </is>
      </c>
      <c r="C24" s="30">
        <f>C22*(1+(1-C5)*C23)</f>
        <v/>
      </c>
    </row>
    <row r="25" ht="150" customHeight="1">
      <c r="A25" s="129" t="inlineStr">
        <is>
          <t>Cost of equity (CAPM)</t>
        </is>
      </c>
      <c r="B25" s="184" t="n"/>
      <c r="C25" s="184" t="n"/>
    </row>
    <row r="26">
      <c r="A26" s="68" t="inlineStr">
        <is>
          <t>Cost of equity = rf + β × ERP</t>
        </is>
      </c>
      <c r="B26" s="129" t="inlineStr">
        <is>
          <t>Notes</t>
        </is>
      </c>
      <c r="C26" s="30">
        <f>C3+C25*C4</f>
        <v/>
      </c>
    </row>
    <row r="27">
      <c r="A27" s="184" t="n"/>
      <c r="B27" s="184" t="n"/>
      <c r="C27" s="184" t="n"/>
    </row>
    <row r="28">
      <c r="A28" s="129" t="inlineStr">
        <is>
          <t>Cost of debt (lease-equivalent)</t>
        </is>
      </c>
      <c r="B28" s="184" t="n"/>
      <c r="C28" s="184" t="n"/>
    </row>
    <row r="29">
      <c r="A29" s="16" t="inlineStr">
        <is>
          <t>Pre-tax cost of debt (lease-equivalent)</t>
        </is>
      </c>
      <c r="B29" s="126" t="inlineStr">
        <is>
          <t>Lease-Equivalent Borrowing Cost</t>
        </is>
      </c>
      <c r="C29" s="75" t="n">
        <v>0.05</v>
      </c>
    </row>
    <row r="30">
      <c r="A30" s="16" t="inlineStr">
        <is>
          <t>After-tax cost of debt</t>
        </is>
      </c>
      <c r="B30" s="184" t="n"/>
      <c r="C30" s="159">
        <f>C35*(1-C5)</f>
        <v/>
      </c>
    </row>
    <row r="31">
      <c r="A31" s="184" t="n"/>
      <c r="B31" s="184" t="n"/>
      <c r="C31" s="184" t="n"/>
    </row>
    <row r="32">
      <c r="A32" s="129" t="inlineStr">
        <is>
          <t>WACC weights</t>
        </is>
      </c>
      <c r="B32" s="184" t="n"/>
      <c r="C32" s="184" t="n"/>
    </row>
    <row r="33">
      <c r="A33" s="16" t="inlineStr">
        <is>
          <t>Equity weight</t>
        </is>
      </c>
      <c r="B33" s="126" t="inlineStr">
        <is>
          <t>Mkt Cap / Total Capital</t>
        </is>
      </c>
      <c r="C33" s="32">
        <f>C10/(C10+C14)</f>
        <v/>
      </c>
    </row>
    <row r="34">
      <c r="A34" s="16" t="inlineStr">
        <is>
          <t>Debt weight (leases + funded)</t>
        </is>
      </c>
      <c r="B34" s="126" t="inlineStr">
        <is>
          <t>Lease Debt / Total Capital</t>
        </is>
      </c>
      <c r="C34" s="32">
        <f>C14/(C10+C14)</f>
        <v/>
      </c>
    </row>
    <row r="35" ht="28" customHeight="1">
      <c r="A35" s="68" t="inlineStr">
        <is>
          <t>WACC</t>
        </is>
      </c>
      <c r="B35" s="184" t="n"/>
      <c r="C35" s="193">
        <f>C39*C32+C40*C36</f>
        <v/>
      </c>
    </row>
    <row r="39" ht="28" customHeight="1"/>
    <row r="40" ht="28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applyStyles="1" summaryBelow="1" summaryRight="1" showOutlineSymbols="0"/>
    <pageSetUpPr/>
  </sheetPr>
  <dimension ref="A1:H202"/>
  <sheetViews>
    <sheetView showGridLines="0" showOutlineSymbols="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91" t="inlineStr">
        <is>
          <t>SCENARIO ANALYSIS</t>
        </is>
      </c>
      <c r="B1" s="192" t="n"/>
      <c r="C1" s="192" t="n"/>
      <c r="D1" s="192" t="n"/>
      <c r="E1" s="192" t="n"/>
      <c r="F1" s="192" t="n"/>
      <c r="G1" s="184" t="n"/>
      <c r="H1" s="184" t="n"/>
    </row>
    <row r="2">
      <c r="A2" s="184" t="n"/>
      <c r="B2" s="184" t="n"/>
      <c r="C2" s="184" t="n"/>
      <c r="D2" s="194" t="inlineStr">
        <is>
          <t>Bear</t>
        </is>
      </c>
      <c r="E2" s="195" t="inlineStr">
        <is>
          <t>Base</t>
        </is>
      </c>
      <c r="F2" s="196" t="inlineStr">
        <is>
          <t>Bull</t>
        </is>
      </c>
      <c r="G2" s="184" t="n"/>
      <c r="H2" s="184" t="n"/>
    </row>
    <row r="3">
      <c r="A3" s="129" t="inlineStr">
        <is>
          <t>Key assumptions (5-yr forecast)</t>
        </is>
      </c>
      <c r="B3" s="68" t="inlineStr">
        <is>
          <t>Source</t>
        </is>
      </c>
      <c r="C3" s="184" t="n"/>
      <c r="D3" s="184" t="n"/>
      <c r="E3" s="184" t="n"/>
      <c r="F3" s="184" t="n"/>
      <c r="G3" s="184" t="n"/>
      <c r="H3" s="184" t="n"/>
    </row>
    <row r="4" ht="28" customHeight="1">
      <c r="A4" s="16" t="inlineStr">
        <is>
          <t>FY2026E revenue growth</t>
        </is>
      </c>
      <c r="B4" s="197" t="inlineStr">
        <is>
          <t>LULU Q2 FY2026 earnings release</t>
        </is>
      </c>
      <c r="C4" s="184" t="inlineStr">
        <is>
          <t>https://corporate.lululemon.com/newsroom/press-releases/2026/09-03-2026-210528733</t>
        </is>
      </c>
      <c r="D4" s="32" t="n">
        <v>-0.09</v>
      </c>
      <c r="E4" s="32" t="n">
        <v>-0.061</v>
      </c>
      <c r="F4" s="32" t="n">
        <v>-0.04</v>
      </c>
      <c r="G4" s="184" t="n"/>
      <c r="H4" s="184" t="n"/>
    </row>
    <row r="5" ht="28" customHeight="1">
      <c r="A5" s="16" t="inlineStr">
        <is>
          <t>FY2027–FY2030E revenue growth (avg)</t>
        </is>
      </c>
      <c r="B5" s="197" t="inlineStr">
        <is>
          <t>StockAnalysis: LULU 3Y revenue forecast</t>
        </is>
      </c>
      <c r="C5" s="184" t="inlineStr">
        <is>
          <t>https://stockanalysis.com/stocks/lulu/statistics/</t>
        </is>
      </c>
      <c r="D5" s="32" t="n">
        <v>-0.01</v>
      </c>
      <c r="E5" s="32" t="n">
        <v>0.023</v>
      </c>
      <c r="F5" s="32" t="n">
        <v>0.06</v>
      </c>
      <c r="G5" s="184" t="n"/>
      <c r="H5" s="184" t="n"/>
    </row>
    <row r="6" ht="28" customHeight="1">
      <c r="A6" s="16" t="inlineStr">
        <is>
          <t>Run-rate EBIT margin (clean, ex-refunds)</t>
        </is>
      </c>
      <c r="B6" s="197" t="inlineStr">
        <is>
          <t>Q2 FY2026 release: 18.8% OM minus 560bps tariffs</t>
        </is>
      </c>
      <c r="C6" s="184" t="inlineStr">
        <is>
          <t>https://corporate.lululemon.com/newsroom/press-releases/2026/09-03-2026-210528733</t>
        </is>
      </c>
      <c r="D6" s="32" t="n">
        <v>0.12</v>
      </c>
      <c r="E6" s="32" t="n">
        <v>0.132</v>
      </c>
      <c r="F6" s="32" t="n">
        <v>0.145</v>
      </c>
      <c r="G6" s="184" t="n"/>
      <c r="H6" s="184" t="n"/>
    </row>
    <row r="7" ht="28" customHeight="1">
      <c r="A7" s="16" t="inlineStr">
        <is>
          <t>FY26 IEEPA tariff refunds ($k, already in guide)</t>
        </is>
      </c>
      <c r="B7" s="197" t="inlineStr">
        <is>
          <t>Q2 FY2026 release: $134.5M IEEPA tariff refunds</t>
        </is>
      </c>
      <c r="C7" s="184" t="inlineStr">
        <is>
          <t>https://corporate.lululemon.com/newsroom/press-releases/2026/09-03-2026-210528733</t>
        </is>
      </c>
      <c r="D7" s="75" t="n">
        <v>134500</v>
      </c>
      <c r="E7" s="167" t="n">
        <v>134500</v>
      </c>
      <c r="F7" s="167" t="n">
        <v>134500</v>
      </c>
      <c r="G7" s="184" t="n"/>
      <c r="H7" s="184" t="n"/>
    </row>
    <row r="8" ht="28" customHeight="1">
      <c r="A8" s="16" t="inlineStr">
        <is>
          <t>Terminal (FY2030E) EBIT margin</t>
        </is>
      </c>
      <c r="B8" s="197" t="inlineStr">
        <is>
          <t>FY2025 10-K: Operating margin 19.9% (one hit)</t>
        </is>
      </c>
      <c r="C8" s="184" t="inlineStr">
        <is>
          <t>https://www.sec.gov/Archives/edgar/data/1397187/000139718726000020/lulu-20260201.htm</t>
        </is>
      </c>
      <c r="D8" s="32" t="n">
        <v>0.12</v>
      </c>
      <c r="E8" s="32" t="n">
        <v>0.155</v>
      </c>
      <c r="F8" s="32" t="n">
        <v>0.19</v>
      </c>
      <c r="G8" s="184" t="n"/>
      <c r="H8" s="184" t="n"/>
    </row>
    <row r="9" ht="28" customHeight="1">
      <c r="A9" s="16" t="inlineStr">
        <is>
          <t>WACC</t>
        </is>
      </c>
      <c r="B9" s="197" t="inlineStr">
        <is>
          <t>WACC tab: CAPM build</t>
        </is>
      </c>
      <c r="C9" s="184" t="inlineStr">
        <is>
          <t>'WACC'!E41</t>
        </is>
      </c>
      <c r="D9" s="32" t="n">
        <v>0.11</v>
      </c>
      <c r="E9" s="32">
        <f>WACC!C41</f>
        <v/>
      </c>
      <c r="F9" s="32" t="n">
        <v>0.095</v>
      </c>
      <c r="G9" s="184" t="n"/>
      <c r="H9" s="184" t="n"/>
    </row>
    <row r="10" ht="28" customHeight="1">
      <c r="A10" s="16" t="inlineStr">
        <is>
          <t>Terminal growth</t>
        </is>
      </c>
      <c r="B10" s="197" t="inlineStr">
        <is>
          <t>FRED: Real GDP (GDPC1)</t>
        </is>
      </c>
      <c r="C10" s="184" t="inlineStr">
        <is>
          <t>https://fred.stlouisfed.org/series/GDPC1</t>
        </is>
      </c>
      <c r="D10" s="32" t="n">
        <v>0.015</v>
      </c>
      <c r="E10" s="32" t="n">
        <v>0.0225</v>
      </c>
      <c r="F10" s="32" t="n">
        <v>0.03</v>
      </c>
      <c r="G10" s="184" t="n"/>
      <c r="H10" s="184" t="n"/>
    </row>
    <row r="11" ht="28" customHeight="1">
      <c r="A11" s="16" t="inlineStr">
        <is>
          <t>Cash tax rate</t>
        </is>
      </c>
      <c r="B11" s="197" t="inlineStr">
        <is>
          <t>Q2 FY2026 outlook: tax rate ≈ 30%</t>
        </is>
      </c>
      <c r="C11" s="184" t="inlineStr">
        <is>
          <t>https://corporate.lululemon.com/newsroom/press-releases/2026/09-03-2026-210528733</t>
        </is>
      </c>
      <c r="D11" s="32" t="n">
        <v>0.32</v>
      </c>
      <c r="E11" s="32" t="n">
        <v>0.3</v>
      </c>
      <c r="F11" s="32" t="n">
        <v>0.28</v>
      </c>
      <c r="G11" s="184" t="n"/>
      <c r="H11" s="184" t="n"/>
    </row>
    <row r="12" ht="28" customHeight="1">
      <c r="A12" s="16" t="inlineStr">
        <is>
          <t>D&amp;A % of revenue</t>
        </is>
      </c>
      <c r="B12" s="197" t="inlineStr">
        <is>
          <t>LULU CF statement (10-K)</t>
        </is>
      </c>
      <c r="C12" s="184" t="inlineStr">
        <is>
          <t>https://www.sec.gov/Archives/edgar/data/1397187/000139718726000020/lulu-20260201.htm</t>
        </is>
      </c>
      <c r="D12" s="32" t="n">
        <v>0.045</v>
      </c>
      <c r="E12" s="32" t="n">
        <v>0.045</v>
      </c>
      <c r="F12" s="32" t="n">
        <v>0.045</v>
      </c>
      <c r="G12" s="184" t="n"/>
      <c r="H12" s="184" t="n"/>
    </row>
    <row r="13" ht="150" customHeight="1">
      <c r="A13" s="16" t="inlineStr">
        <is>
          <t>Capex % of revenue</t>
        </is>
      </c>
      <c r="B13" s="198" t="inlineStr">
        <is>
          <t>LULU 10-K: 2026 capex guide $725–745M Also: Q2 FY2026 outlook: $10.350B–$10.500B sales</t>
        </is>
      </c>
      <c r="C13" s="184" t="inlineStr">
        <is>
          <t>https://www.sec.gov/Archives/edgar/data/1397187/000139718726000020/lulu-20260201.htm</t>
        </is>
      </c>
      <c r="D13" s="32" t="n">
        <v>0.07000000000000001</v>
      </c>
      <c r="E13" s="32" t="n">
        <v>0.055</v>
      </c>
      <c r="F13" s="32" t="n">
        <v>0.045</v>
      </c>
      <c r="G13" s="184" t="n"/>
      <c r="H13" s="184" t="n"/>
    </row>
    <row r="14" ht="112" customHeight="1">
      <c r="A14" s="16" t="inlineStr">
        <is>
          <t>Gross margin %</t>
        </is>
      </c>
      <c r="B14" s="197" t="inlineStr">
        <is>
          <t>LULU FY2025 10-K: Gross profit &amp; COGS</t>
        </is>
      </c>
      <c r="C14" s="184" t="inlineStr">
        <is>
          <t>https://www.sec.gov/Archives/edgar/data/1397187/000139718726000020/lulu-20260201.htm</t>
        </is>
      </c>
      <c r="D14" s="32" t="n">
        <v>0.5600000000000001</v>
      </c>
      <c r="E14" s="32" t="n">
        <v>0.5659999999999999</v>
      </c>
      <c r="F14" s="32" t="n">
        <v>0.575</v>
      </c>
      <c r="G14" s="184" t="n"/>
      <c r="H14" s="184" t="n"/>
    </row>
    <row r="15" ht="150" customHeight="1">
      <c r="A15" s="16" t="inlineStr">
        <is>
          <t>DSO (days) — flat vs FY25</t>
        </is>
      </c>
      <c r="B15" s="197" t="inlineStr">
        <is>
          <t>LULU FY2025 10-K: Accounts receivable, net</t>
        </is>
      </c>
      <c r="C15" s="184" t="inlineStr">
        <is>
          <t>https://www.sec.gov/Archives/edgar/data/1397187/000139718726000020/lulu-20260201.htm</t>
        </is>
      </c>
      <c r="D15" s="164" t="n">
        <v>6.267883648875038</v>
      </c>
      <c r="E15" s="164" t="n">
        <v>6.267883648875038</v>
      </c>
      <c r="F15" s="164" t="n">
        <v>6.267883648875038</v>
      </c>
      <c r="G15" s="184" t="n"/>
      <c r="H15" s="184" t="n"/>
    </row>
    <row r="16" ht="140" customHeight="1">
      <c r="A16" s="16" t="inlineStr">
        <is>
          <t>FY25 DIO anchor (days)</t>
        </is>
      </c>
      <c r="B16" s="197" t="inlineStr">
        <is>
          <t>LULU FY2025 10-K: Inventories &amp; COGS</t>
        </is>
      </c>
      <c r="C16" s="184" t="inlineStr">
        <is>
          <t>https://www.sec.gov/Archives/edgar/data/1397187/000139718726000020/lulu-20260201.htm</t>
        </is>
      </c>
      <c r="D16" s="164" t="n">
        <v>128.8324100108167</v>
      </c>
      <c r="E16" s="164" t="n">
        <v>128.8324100108167</v>
      </c>
      <c r="F16" s="164" t="n">
        <v>128.8324100108167</v>
      </c>
      <c r="G16" s="184" t="n"/>
      <c r="H16" s="184" t="n"/>
    </row>
    <row r="17" ht="70" customHeight="1">
      <c r="A17" s="16" t="inlineStr">
        <is>
          <t>DIO decline (days / forecast yr)</t>
        </is>
      </c>
      <c r="B17" s="197" t="inlineStr">
        <is>
          <t>LULU FY2025 10-K: inventory &amp; markdown outlook</t>
        </is>
      </c>
      <c r="C17" s="184" t="inlineStr">
        <is>
          <t>https://www.sec.gov/Archives/edgar/data/1397187/000139718726000020/lulu-20260201.htm</t>
        </is>
      </c>
      <c r="D17" s="164" t="n">
        <v>1</v>
      </c>
      <c r="E17" s="164" t="n">
        <v>1</v>
      </c>
      <c r="F17" s="164" t="n">
        <v>1</v>
      </c>
      <c r="G17" s="184" t="n"/>
      <c r="H17" s="184" t="n"/>
    </row>
    <row r="18" ht="84" customHeight="1">
      <c r="A18" s="16" t="inlineStr">
        <is>
          <t>DPO (days) — flat vs FY25</t>
        </is>
      </c>
      <c r="B18" s="197" t="inlineStr">
        <is>
          <t>LULU FY2025 10-K: Accounts payable &amp; COGS</t>
        </is>
      </c>
      <c r="C18" s="184" t="inlineStr">
        <is>
          <t>https://www.sec.gov/Archives/edgar/data/1397187/000139718726000020/lulu-20260201.htm</t>
        </is>
      </c>
      <c r="D18" s="164" t="n">
        <v>25.10521290169407</v>
      </c>
      <c r="E18" s="164" t="n">
        <v>25.10521290169407</v>
      </c>
      <c r="F18" s="164" t="n">
        <v>25.10521290169407</v>
      </c>
      <c r="G18" s="184" t="n"/>
      <c r="H18" s="184" t="n"/>
    </row>
    <row r="19" ht="84" customHeight="1">
      <c r="A19" s="16" t="inlineStr">
        <is>
          <t>Prepaid expenses (% of revenue)</t>
        </is>
      </c>
      <c r="B19" s="197" t="inlineStr">
        <is>
          <t>LULU FY2025 10-K: other current assets (residual)</t>
        </is>
      </c>
      <c r="C19" s="184" t="inlineStr">
        <is>
          <t>https://www.sec.gov/Archives/edgar/data/1397187/000139718726000020/lulu-20260201.htm</t>
        </is>
      </c>
      <c r="D19" s="32" t="n">
        <v>0.05080692810692991</v>
      </c>
      <c r="E19" s="32" t="n">
        <v>0.05080692810692991</v>
      </c>
      <c r="F19" s="32" t="n">
        <v>0.05080692810692991</v>
      </c>
      <c r="G19" s="184" t="n"/>
      <c r="H19" s="184" t="n"/>
    </row>
    <row r="20" ht="84" customHeight="1">
      <c r="A20" s="16" t="inlineStr">
        <is>
          <t>Accrued liabilities (% of revenue)</t>
        </is>
      </c>
      <c r="B20" s="197" t="inlineStr">
        <is>
          <t>LULU FY2025 10-K: Accrued liabilities and other</t>
        </is>
      </c>
      <c r="C20" s="184" t="inlineStr">
        <is>
          <t>https://www.sec.gov/Archives/edgar/data/1397187/000139718726000020/lulu-20260201.htm</t>
        </is>
      </c>
      <c r="D20" s="32" t="n">
        <v>0.05971412101669879</v>
      </c>
      <c r="E20" s="32" t="n">
        <v>0.05971412101669879</v>
      </c>
      <c r="F20" s="32" t="n">
        <v>0.05971412101669879</v>
      </c>
      <c r="G20" s="184" t="n"/>
      <c r="H20" s="184" t="n"/>
    </row>
    <row r="21">
      <c r="A21" s="16" t="inlineStr">
        <is>
          <t>Fixed buyback ($k/yr)</t>
        </is>
      </c>
      <c r="B21" s="184" t="n"/>
      <c r="C21" s="241" t="inlineStr">
        <is>
          <t>Pitch deck: $750M/yr buyback</t>
        </is>
      </c>
      <c r="D21" s="75" t="n">
        <v>500000</v>
      </c>
      <c r="E21" s="167" t="n">
        <v>500000</v>
      </c>
      <c r="F21" s="75" t="n">
        <v>0</v>
      </c>
      <c r="G21" s="184" t="n"/>
      <c r="H21" s="184" t="n"/>
    </row>
    <row r="22">
      <c r="A22" s="16" t="inlineStr">
        <is>
          <t>% of FCF to buybacks (bull)</t>
        </is>
      </c>
      <c r="B22" s="184" t="n"/>
      <c r="C22" s="241" t="inlineStr">
        <is>
          <t>Pitch deck: 75% FCF to buybacks (bull)</t>
        </is>
      </c>
      <c r="D22" s="32" t="n">
        <v>0</v>
      </c>
      <c r="E22" s="32" t="n">
        <v>0</v>
      </c>
      <c r="F22" s="32" t="n">
        <v>0.75</v>
      </c>
      <c r="G22" s="184" t="n"/>
      <c r="H22" s="184" t="n"/>
    </row>
    <row r="23">
      <c r="A23" s="184" t="n"/>
      <c r="B23" s="184" t="n"/>
      <c r="C23" s="184" t="n"/>
      <c r="D23" s="184" t="n"/>
      <c r="E23" s="184" t="n"/>
      <c r="F23" s="184" t="n"/>
      <c r="G23" s="184" t="n"/>
      <c r="H23" s="184" t="n"/>
    </row>
    <row r="24">
      <c r="A24" s="129" t="inlineStr">
        <is>
          <t>Forecast summary — active case ($000)</t>
        </is>
      </c>
      <c r="B24" s="184" t="n"/>
      <c r="C24" s="184" t="n"/>
      <c r="D24" s="184" t="inlineStr">
        <is>
          <t>FY26E</t>
        </is>
      </c>
      <c r="E24" s="184" t="inlineStr">
        <is>
          <t>FY27E</t>
        </is>
      </c>
      <c r="F24" s="184" t="inlineStr">
        <is>
          <t>FY28E</t>
        </is>
      </c>
      <c r="G24" s="184" t="inlineStr">
        <is>
          <t>FY29E</t>
        </is>
      </c>
      <c r="H24" s="184" t="inlineStr">
        <is>
          <t>FY30E</t>
        </is>
      </c>
    </row>
    <row r="25">
      <c r="A25" s="41" t="inlineStr">
        <is>
          <t>Net revenue ($000)</t>
        </is>
      </c>
      <c r="B25" s="184" t="n"/>
      <c r="C25" s="184" t="n"/>
      <c r="D25" s="42">
        <f>DCF!C5</f>
        <v/>
      </c>
      <c r="E25" s="42">
        <f>DCF!D5</f>
        <v/>
      </c>
      <c r="F25" s="42">
        <f>DCF!E5</f>
        <v/>
      </c>
      <c r="G25" s="184">
        <f>DCF!F5</f>
        <v/>
      </c>
      <c r="H25" s="184">
        <f>DCF!G5</f>
        <v/>
      </c>
    </row>
    <row r="26">
      <c r="A26" s="41" t="inlineStr">
        <is>
          <t>COGS ($000)</t>
        </is>
      </c>
      <c r="B26" s="184" t="n"/>
      <c r="C26" s="184" t="n"/>
      <c r="D26" s="42">
        <f>DCF!C8</f>
        <v/>
      </c>
      <c r="E26" s="42">
        <f>DCF!D8</f>
        <v/>
      </c>
      <c r="F26" s="42">
        <f>DCF!E8</f>
        <v/>
      </c>
      <c r="G26" s="184">
        <f>DCF!F8</f>
        <v/>
      </c>
      <c r="H26" s="184">
        <f>DCF!G8</f>
        <v/>
      </c>
    </row>
    <row r="27">
      <c r="A27" s="41" t="inlineStr">
        <is>
          <t>Gross margin %</t>
        </is>
      </c>
      <c r="B27" s="184" t="n"/>
      <c r="C27" s="184" t="n"/>
      <c r="D27" s="42">
        <f>DCF!C7</f>
        <v/>
      </c>
      <c r="E27" s="42">
        <f>DCF!D7</f>
        <v/>
      </c>
      <c r="F27" s="42">
        <f>DCF!E7</f>
        <v/>
      </c>
      <c r="G27" s="184">
        <f>DCF!F7</f>
        <v/>
      </c>
      <c r="H27" s="184">
        <f>DCF!G7</f>
        <v/>
      </c>
    </row>
    <row r="28">
      <c r="A28" s="41" t="inlineStr">
        <is>
          <t>EBIT margin %</t>
        </is>
      </c>
      <c r="B28" s="184" t="n"/>
      <c r="C28" s="184" t="n"/>
      <c r="D28" s="42">
        <f>DCF!C9</f>
        <v/>
      </c>
      <c r="E28" s="42">
        <f>DCF!D9</f>
        <v/>
      </c>
      <c r="F28" s="42">
        <f>DCF!E9</f>
        <v/>
      </c>
      <c r="G28" s="184">
        <f>DCF!F9</f>
        <v/>
      </c>
      <c r="H28" s="184">
        <f>DCF!G9</f>
        <v/>
      </c>
    </row>
    <row r="29">
      <c r="A29" s="41" t="inlineStr">
        <is>
          <t>EBIT ($000)</t>
        </is>
      </c>
      <c r="B29" s="184" t="n"/>
      <c r="C29" s="184" t="n"/>
      <c r="D29" s="42">
        <f>DCF!C11</f>
        <v/>
      </c>
      <c r="E29" s="42">
        <f>DCF!D11</f>
        <v/>
      </c>
      <c r="F29" s="42">
        <f>DCF!E11</f>
        <v/>
      </c>
      <c r="G29" s="184">
        <f>DCF!F11</f>
        <v/>
      </c>
      <c r="H29" s="184">
        <f>DCF!G11</f>
        <v/>
      </c>
    </row>
    <row r="30">
      <c r="A30" s="41" t="inlineStr">
        <is>
          <t>NOPAT ($000)</t>
        </is>
      </c>
      <c r="B30" s="184" t="n"/>
      <c r="C30" s="184" t="n"/>
      <c r="D30" s="43">
        <f>DCF!C14</f>
        <v/>
      </c>
      <c r="E30" s="43">
        <f>DCF!D14</f>
        <v/>
      </c>
      <c r="F30" s="43">
        <f>DCF!E14</f>
        <v/>
      </c>
      <c r="G30" s="184">
        <f>DCF!F14</f>
        <v/>
      </c>
      <c r="H30" s="184">
        <f>DCF!G14</f>
        <v/>
      </c>
    </row>
    <row r="31">
      <c r="A31" s="41" t="inlineStr">
        <is>
          <t>Unlevered FCF ($000)</t>
        </is>
      </c>
      <c r="B31" s="184" t="n"/>
      <c r="C31" s="184" t="n"/>
      <c r="D31" s="43">
        <f>DCF!C34</f>
        <v/>
      </c>
      <c r="E31" s="43">
        <f>DCF!D34</f>
        <v/>
      </c>
      <c r="F31" s="43">
        <f>DCF!E34</f>
        <v/>
      </c>
      <c r="G31" s="184">
        <f>DCF!F34</f>
        <v/>
      </c>
      <c r="H31" s="184">
        <f>DCF!G34</f>
        <v/>
      </c>
    </row>
    <row r="32">
      <c r="A32" s="41" t="inlineStr">
        <is>
          <t>Gross margin % – year 3</t>
        </is>
      </c>
      <c r="B32" s="184" t="n"/>
      <c r="C32" s="184" t="n"/>
      <c r="D32" s="43">
        <f>D14</f>
        <v/>
      </c>
      <c r="E32" s="43">
        <f>E14</f>
        <v/>
      </c>
      <c r="F32" s="43">
        <f>F14</f>
        <v/>
      </c>
      <c r="G32" s="184" t="n"/>
      <c r="H32" s="184" t="n"/>
    </row>
    <row r="33">
      <c r="A33" s="41" t="inlineStr">
        <is>
          <t>Gross margin % – year 4</t>
        </is>
      </c>
      <c r="B33" s="184" t="n"/>
      <c r="C33" s="184" t="n"/>
      <c r="D33" s="43">
        <f>D14</f>
        <v/>
      </c>
      <c r="E33" s="43">
        <f>E14</f>
        <v/>
      </c>
      <c r="F33" s="43">
        <f>F14</f>
        <v/>
      </c>
      <c r="G33" s="184" t="n"/>
      <c r="H33" s="184" t="n"/>
    </row>
    <row r="34">
      <c r="A34" s="41" t="inlineStr">
        <is>
          <t>Gross margin % – year 5</t>
        </is>
      </c>
      <c r="B34" s="184" t="n"/>
      <c r="C34" s="184" t="n"/>
      <c r="D34" s="43">
        <f>D14</f>
        <v/>
      </c>
      <c r="E34" s="43">
        <f>E14</f>
        <v/>
      </c>
      <c r="F34" s="43">
        <f>F14</f>
        <v/>
      </c>
      <c r="G34" s="184" t="n"/>
      <c r="H34" s="184" t="n"/>
    </row>
    <row r="35">
      <c r="A35" s="41" t="inlineStr">
        <is>
          <t>Cost of goods sold (COGS) – year 1</t>
        </is>
      </c>
      <c r="B35" s="184" t="n"/>
      <c r="C35" s="184" t="n"/>
      <c r="D35" s="42">
        <f>D25*(1-D30)</f>
        <v/>
      </c>
      <c r="E35" s="42">
        <f>E25*(1-E30)</f>
        <v/>
      </c>
      <c r="F35" s="42">
        <f>F25*(1-F30)</f>
        <v/>
      </c>
      <c r="G35" s="184" t="n"/>
      <c r="H35" s="184" t="n"/>
    </row>
    <row r="36">
      <c r="A36" s="41" t="inlineStr">
        <is>
          <t>Cost of goods sold (COGS) – year 2</t>
        </is>
      </c>
      <c r="B36" s="184" t="n"/>
      <c r="C36" s="184" t="n"/>
      <c r="D36" s="42">
        <f>D26*(1-D31)</f>
        <v/>
      </c>
      <c r="E36" s="42">
        <f>E26*(1-E31)</f>
        <v/>
      </c>
      <c r="F36" s="42">
        <f>F26*(1-F31)</f>
        <v/>
      </c>
      <c r="G36" s="184" t="n"/>
      <c r="H36" s="184" t="n"/>
    </row>
    <row r="37">
      <c r="A37" s="41" t="inlineStr">
        <is>
          <t>Cost of goods sold (COGS) – year 3</t>
        </is>
      </c>
      <c r="B37" s="184" t="n"/>
      <c r="C37" s="184" t="n"/>
      <c r="D37" s="42">
        <f>D27*(1-D32)</f>
        <v/>
      </c>
      <c r="E37" s="42">
        <f>E27*(1-E32)</f>
        <v/>
      </c>
      <c r="F37" s="42">
        <f>F27*(1-F32)</f>
        <v/>
      </c>
      <c r="G37" s="184" t="n"/>
      <c r="H37" s="184" t="n"/>
    </row>
    <row r="38">
      <c r="A38" s="41" t="inlineStr">
        <is>
          <t>Cost of goods sold (COGS) – year 4</t>
        </is>
      </c>
      <c r="B38" s="184" t="n"/>
      <c r="C38" s="184" t="n"/>
      <c r="D38" s="42">
        <f>D28*(1-D33)</f>
        <v/>
      </c>
      <c r="E38" s="42">
        <f>E28*(1-E33)</f>
        <v/>
      </c>
      <c r="F38" s="42">
        <f>F28*(1-F33)</f>
        <v/>
      </c>
      <c r="G38" s="184" t="n"/>
      <c r="H38" s="184" t="n"/>
    </row>
    <row r="39">
      <c r="A39" s="41" t="inlineStr">
        <is>
          <t>Cost of goods sold (COGS) – year 5</t>
        </is>
      </c>
      <c r="B39" s="184" t="n"/>
      <c r="C39" s="184" t="n"/>
      <c r="D39" s="42">
        <f>D29*(1-D34)</f>
        <v/>
      </c>
      <c r="E39" s="42">
        <f>E29*(1-E34)</f>
        <v/>
      </c>
      <c r="F39" s="42">
        <f>F29*(1-F34)</f>
        <v/>
      </c>
      <c r="G39" s="184" t="n"/>
      <c r="H39" s="184" t="n"/>
    </row>
    <row r="40">
      <c r="A40" s="41" t="inlineStr">
        <is>
          <t>Clean EBIT margin – year 1</t>
        </is>
      </c>
      <c r="B40" s="184" t="n"/>
      <c r="C40" s="184" t="n"/>
      <c r="D40" s="43">
        <f>D6+(D8-D6)*0/4</f>
        <v/>
      </c>
      <c r="E40" s="43">
        <f>E6+(E8-E6)*0/4</f>
        <v/>
      </c>
      <c r="F40" s="43">
        <f>F6+(F8-F6)*0/4</f>
        <v/>
      </c>
      <c r="G40" s="184" t="n"/>
      <c r="H40" s="184" t="n"/>
    </row>
    <row r="41">
      <c r="A41" s="41" t="inlineStr">
        <is>
          <t>Clean EBIT margin – year 2</t>
        </is>
      </c>
      <c r="B41" s="184" t="n"/>
      <c r="C41" s="184" t="n"/>
      <c r="D41" s="43">
        <f>D6+(D8-D6)*1/4</f>
        <v/>
      </c>
      <c r="E41" s="43">
        <f>E6+(E8-E6)*1/4</f>
        <v/>
      </c>
      <c r="F41" s="43">
        <f>F6+(F8-F6)*1/4</f>
        <v/>
      </c>
      <c r="G41" s="184" t="n"/>
      <c r="H41" s="184" t="n"/>
    </row>
    <row r="42">
      <c r="A42" s="41" t="inlineStr">
        <is>
          <t>Clean EBIT margin – year 3</t>
        </is>
      </c>
      <c r="B42" s="184" t="n"/>
      <c r="C42" s="184" t="n"/>
      <c r="D42" s="43">
        <f>D6+(D8-D6)*2/4</f>
        <v/>
      </c>
      <c r="E42" s="43">
        <f>E6+(E8-E6)*2/4</f>
        <v/>
      </c>
      <c r="F42" s="43">
        <f>F6+(F8-F6)*2/4</f>
        <v/>
      </c>
      <c r="G42" s="184" t="n"/>
      <c r="H42" s="184" t="n"/>
    </row>
    <row r="43">
      <c r="A43" s="41" t="inlineStr">
        <is>
          <t>Clean EBIT margin – year 4</t>
        </is>
      </c>
      <c r="B43" s="184" t="n"/>
      <c r="C43" s="184" t="n"/>
      <c r="D43" s="43">
        <f>D6+(D8-D6)*3/4</f>
        <v/>
      </c>
      <c r="E43" s="43">
        <f>E6+(E8-E6)*3/4</f>
        <v/>
      </c>
      <c r="F43" s="43">
        <f>F6+(F8-F6)*3/4</f>
        <v/>
      </c>
      <c r="G43" s="184" t="n"/>
      <c r="H43" s="184" t="n"/>
    </row>
    <row r="44">
      <c r="A44" s="41" t="inlineStr">
        <is>
          <t>Clean EBIT margin – year 5</t>
        </is>
      </c>
      <c r="B44" s="184" t="n"/>
      <c r="C44" s="184" t="n"/>
      <c r="D44" s="43">
        <f>D6+(D8-D6)*4/4</f>
        <v/>
      </c>
      <c r="E44" s="43">
        <f>E6+(E8-E6)*4/4</f>
        <v/>
      </c>
      <c r="F44" s="43">
        <f>F6+(F8-F6)*4/4</f>
        <v/>
      </c>
      <c r="G44" s="184" t="n"/>
      <c r="H44" s="184" t="n"/>
    </row>
    <row r="45">
      <c r="A45" s="41" t="inlineStr">
        <is>
          <t>EBIT – year 1</t>
        </is>
      </c>
      <c r="B45" s="184" t="n"/>
      <c r="C45" s="184" t="n"/>
      <c r="D45" s="42">
        <f>D25*D40+D7</f>
        <v/>
      </c>
      <c r="E45" s="42">
        <f>E25*E40+E7</f>
        <v/>
      </c>
      <c r="F45" s="42">
        <f>F25*F40+F7</f>
        <v/>
      </c>
      <c r="G45" s="184" t="n"/>
      <c r="H45" s="184" t="n"/>
    </row>
    <row r="46">
      <c r="A46" s="41" t="inlineStr">
        <is>
          <t>EBIT – year 2</t>
        </is>
      </c>
      <c r="B46" s="184" t="n"/>
      <c r="C46" s="184" t="n"/>
      <c r="D46" s="42">
        <f>D26*D41</f>
        <v/>
      </c>
      <c r="E46" s="42">
        <f>E26*E41</f>
        <v/>
      </c>
      <c r="F46" s="42">
        <f>F26*F41</f>
        <v/>
      </c>
      <c r="G46" s="184" t="n"/>
      <c r="H46" s="184" t="n"/>
    </row>
    <row r="47">
      <c r="A47" s="41" t="inlineStr">
        <is>
          <t>EBIT – year 3</t>
        </is>
      </c>
      <c r="B47" s="184" t="n"/>
      <c r="C47" s="184" t="n"/>
      <c r="D47" s="42">
        <f>D27*D42</f>
        <v/>
      </c>
      <c r="E47" s="42">
        <f>E27*E42</f>
        <v/>
      </c>
      <c r="F47" s="42">
        <f>F27*F42</f>
        <v/>
      </c>
      <c r="G47" s="184" t="n"/>
      <c r="H47" s="184" t="n"/>
    </row>
    <row r="48">
      <c r="A48" s="41" t="inlineStr">
        <is>
          <t>EBIT – year 4</t>
        </is>
      </c>
      <c r="B48" s="184" t="n"/>
      <c r="C48" s="184" t="n"/>
      <c r="D48" s="42">
        <f>D28*D43</f>
        <v/>
      </c>
      <c r="E48" s="42">
        <f>E28*E43</f>
        <v/>
      </c>
      <c r="F48" s="42">
        <f>F28*F43</f>
        <v/>
      </c>
      <c r="G48" s="184" t="n"/>
      <c r="H48" s="184" t="n"/>
    </row>
    <row r="49">
      <c r="A49" s="41" t="inlineStr">
        <is>
          <t>EBIT – year 5</t>
        </is>
      </c>
      <c r="B49" s="184" t="n"/>
      <c r="C49" s="184" t="n"/>
      <c r="D49" s="42">
        <f>D29*D44</f>
        <v/>
      </c>
      <c r="E49" s="42">
        <f>E29*E44</f>
        <v/>
      </c>
      <c r="F49" s="42">
        <f>F29*F44</f>
        <v/>
      </c>
      <c r="G49" s="184" t="n"/>
      <c r="H49" s="184" t="n"/>
    </row>
    <row r="50">
      <c r="A50" s="41" t="inlineStr">
        <is>
          <t>NOPAT – year 1</t>
        </is>
      </c>
      <c r="B50" s="184" t="n"/>
      <c r="C50" s="184" t="n"/>
      <c r="D50" s="42">
        <f>D45*(1-'NOPAT Bridge'!E$39)</f>
        <v/>
      </c>
      <c r="E50" s="42">
        <f>'NOPAT Bridge'!E41</f>
        <v/>
      </c>
      <c r="F50" s="42">
        <f>F45*(1-'NOPAT Bridge'!E$39)</f>
        <v/>
      </c>
      <c r="G50" s="184" t="n"/>
      <c r="H50" s="184" t="n"/>
    </row>
    <row r="51">
      <c r="A51" s="41" t="inlineStr">
        <is>
          <t>NOPAT – year 2</t>
        </is>
      </c>
      <c r="B51" s="184" t="n"/>
      <c r="C51" s="184" t="n"/>
      <c r="D51" s="42">
        <f>D46*(1-'NOPAT Bridge'!F$39)</f>
        <v/>
      </c>
      <c r="E51" s="42">
        <f>'NOPAT Bridge'!F41</f>
        <v/>
      </c>
      <c r="F51" s="42">
        <f>F46*(1-'NOPAT Bridge'!F$39)</f>
        <v/>
      </c>
      <c r="G51" s="184" t="n"/>
      <c r="H51" s="184" t="n"/>
    </row>
    <row r="52">
      <c r="A52" s="41" t="inlineStr">
        <is>
          <t>NOPAT – year 3</t>
        </is>
      </c>
      <c r="B52" s="184" t="n"/>
      <c r="C52" s="184" t="n"/>
      <c r="D52" s="42">
        <f>D47*(1-'NOPAT Bridge'!G$39)</f>
        <v/>
      </c>
      <c r="E52" s="42">
        <f>'NOPAT Bridge'!G41</f>
        <v/>
      </c>
      <c r="F52" s="42">
        <f>F47*(1-'NOPAT Bridge'!G$39)</f>
        <v/>
      </c>
      <c r="G52" s="184" t="n"/>
      <c r="H52" s="184" t="n"/>
    </row>
    <row r="53">
      <c r="A53" s="41" t="inlineStr">
        <is>
          <t>NOPAT – year 4</t>
        </is>
      </c>
      <c r="B53" s="184" t="n"/>
      <c r="C53" s="184" t="n"/>
      <c r="D53" s="42">
        <f>D48*(1-'NOPAT Bridge'!H$39)</f>
        <v/>
      </c>
      <c r="E53" s="42">
        <f>'NOPAT Bridge'!H41</f>
        <v/>
      </c>
      <c r="F53" s="42">
        <f>F48*(1-'NOPAT Bridge'!H$39)</f>
        <v/>
      </c>
      <c r="G53" s="184" t="n"/>
      <c r="H53" s="184" t="n"/>
    </row>
    <row r="54">
      <c r="A54" s="41" t="inlineStr">
        <is>
          <t>NOPAT – year 5</t>
        </is>
      </c>
      <c r="B54" s="184" t="n"/>
      <c r="C54" s="184" t="n"/>
      <c r="D54" s="42">
        <f>D49*(1-'NOPAT Bridge'!H$39)</f>
        <v/>
      </c>
      <c r="E54" s="42">
        <f>'NOPAT Bridge'!H41</f>
        <v/>
      </c>
      <c r="F54" s="42">
        <f>F49*(1-'NOPAT Bridge'!H$39)</f>
        <v/>
      </c>
      <c r="G54" s="184" t="n"/>
      <c r="H54" s="184" t="n"/>
    </row>
    <row r="55">
      <c r="A55" s="41" t="inlineStr">
        <is>
          <t>D&amp;A – year 1</t>
        </is>
      </c>
      <c r="B55" s="184" t="n"/>
      <c r="C55" s="184" t="n"/>
      <c r="D55" s="42">
        <f>D25*D12</f>
        <v/>
      </c>
      <c r="E55" s="42">
        <f>E25*E12</f>
        <v/>
      </c>
      <c r="F55" s="42">
        <f>F25*F12</f>
        <v/>
      </c>
      <c r="G55" s="184" t="n"/>
      <c r="H55" s="184" t="n"/>
    </row>
    <row r="56">
      <c r="A56" s="41" t="inlineStr">
        <is>
          <t>D&amp;A – year 2</t>
        </is>
      </c>
      <c r="B56" s="184" t="n"/>
      <c r="C56" s="184" t="n"/>
      <c r="D56" s="42">
        <f>D26*D12</f>
        <v/>
      </c>
      <c r="E56" s="42">
        <f>E26*E12</f>
        <v/>
      </c>
      <c r="F56" s="42">
        <f>F26*F12</f>
        <v/>
      </c>
      <c r="G56" s="184" t="n"/>
      <c r="H56" s="184" t="n"/>
    </row>
    <row r="57">
      <c r="A57" s="41" t="inlineStr">
        <is>
          <t>D&amp;A – year 3</t>
        </is>
      </c>
      <c r="B57" s="184" t="n"/>
      <c r="C57" s="184" t="n"/>
      <c r="D57" s="42">
        <f>D27*D12</f>
        <v/>
      </c>
      <c r="E57" s="42">
        <f>E27*E12</f>
        <v/>
      </c>
      <c r="F57" s="42">
        <f>F27*F12</f>
        <v/>
      </c>
      <c r="G57" s="184" t="n"/>
      <c r="H57" s="184" t="n"/>
    </row>
    <row r="58">
      <c r="A58" s="41" t="inlineStr">
        <is>
          <t>D&amp;A – year 4</t>
        </is>
      </c>
      <c r="B58" s="184" t="n"/>
      <c r="C58" s="184" t="n"/>
      <c r="D58" s="42">
        <f>D28*D12</f>
        <v/>
      </c>
      <c r="E58" s="42">
        <f>E28*E12</f>
        <v/>
      </c>
      <c r="F58" s="42">
        <f>F28*F12</f>
        <v/>
      </c>
      <c r="G58" s="184" t="n"/>
      <c r="H58" s="184" t="n"/>
    </row>
    <row r="59">
      <c r="A59" s="41" t="inlineStr">
        <is>
          <t>D&amp;A – year 5</t>
        </is>
      </c>
      <c r="B59" s="184" t="n"/>
      <c r="C59" s="184" t="n"/>
      <c r="D59" s="42">
        <f>D29*D12</f>
        <v/>
      </c>
      <c r="E59" s="42">
        <f>E29*E12</f>
        <v/>
      </c>
      <c r="F59" s="42">
        <f>F29*F12</f>
        <v/>
      </c>
      <c r="G59" s="184" t="n"/>
      <c r="H59" s="184" t="n"/>
    </row>
    <row r="60">
      <c r="A60" s="41" t="inlineStr">
        <is>
          <t>Capex – year 1</t>
        </is>
      </c>
      <c r="B60" s="184" t="n"/>
      <c r="C60" s="184" t="n"/>
      <c r="D60" s="42">
        <f>D25*D13</f>
        <v/>
      </c>
      <c r="E60" s="42">
        <f>E25*E13</f>
        <v/>
      </c>
      <c r="F60" s="42">
        <f>F25*F13</f>
        <v/>
      </c>
      <c r="G60" s="184" t="n"/>
      <c r="H60" s="184" t="n"/>
    </row>
    <row r="61">
      <c r="A61" s="41" t="inlineStr">
        <is>
          <t>Capex – year 2</t>
        </is>
      </c>
      <c r="B61" s="184" t="n"/>
      <c r="C61" s="184" t="n"/>
      <c r="D61" s="42">
        <f>D26*D13</f>
        <v/>
      </c>
      <c r="E61" s="42">
        <f>E26*E13</f>
        <v/>
      </c>
      <c r="F61" s="42">
        <f>F26*F13</f>
        <v/>
      </c>
      <c r="G61" s="184" t="n"/>
      <c r="H61" s="184" t="n"/>
    </row>
    <row r="62">
      <c r="A62" s="41" t="inlineStr">
        <is>
          <t>Capex – year 3</t>
        </is>
      </c>
      <c r="B62" s="184" t="n"/>
      <c r="C62" s="184" t="n"/>
      <c r="D62" s="42">
        <f>D27*D13</f>
        <v/>
      </c>
      <c r="E62" s="42">
        <f>E27*E13</f>
        <v/>
      </c>
      <c r="F62" s="42">
        <f>F27*F13</f>
        <v/>
      </c>
      <c r="G62" s="184" t="n"/>
      <c r="H62" s="184" t="n"/>
    </row>
    <row r="63">
      <c r="A63" s="41" t="inlineStr">
        <is>
          <t>Capex – year 4</t>
        </is>
      </c>
      <c r="B63" s="184" t="n"/>
      <c r="C63" s="184" t="n"/>
      <c r="D63" s="42">
        <f>D28*D13</f>
        <v/>
      </c>
      <c r="E63" s="42">
        <f>E28*E13</f>
        <v/>
      </c>
      <c r="F63" s="42">
        <f>F28*F13</f>
        <v/>
      </c>
      <c r="G63" s="184" t="n"/>
      <c r="H63" s="184" t="n"/>
    </row>
    <row r="64">
      <c r="A64" s="41" t="inlineStr">
        <is>
          <t>Capex – year 5</t>
        </is>
      </c>
      <c r="B64" s="184" t="n"/>
      <c r="C64" s="184" t="n"/>
      <c r="D64" s="42">
        <f>D29*D13</f>
        <v/>
      </c>
      <c r="E64" s="42">
        <f>E29*E13</f>
        <v/>
      </c>
      <c r="F64" s="42">
        <f>F29*F13</f>
        <v/>
      </c>
      <c r="G64" s="184" t="n"/>
      <c r="H64" s="184" t="n"/>
    </row>
    <row r="65">
      <c r="A65" s="41" t="inlineStr">
        <is>
          <t>DSO (days) – year 1</t>
        </is>
      </c>
      <c r="B65" s="184" t="n"/>
      <c r="C65" s="184" t="n"/>
      <c r="D65" s="160">
        <f>D15</f>
        <v/>
      </c>
      <c r="E65" s="44">
        <f>E15</f>
        <v/>
      </c>
      <c r="F65" s="44">
        <f>F15</f>
        <v/>
      </c>
      <c r="G65" s="184" t="n"/>
      <c r="H65" s="184" t="n"/>
    </row>
    <row r="66">
      <c r="A66" s="41" t="inlineStr">
        <is>
          <t>DSO (days) – year 2</t>
        </is>
      </c>
      <c r="B66" s="184" t="n"/>
      <c r="C66" s="184" t="n"/>
      <c r="D66" s="160">
        <f>D15</f>
        <v/>
      </c>
      <c r="E66" s="44">
        <f>E15</f>
        <v/>
      </c>
      <c r="F66" s="44">
        <f>F15</f>
        <v/>
      </c>
      <c r="G66" s="184" t="n"/>
      <c r="H66" s="184" t="n"/>
    </row>
    <row r="67">
      <c r="A67" s="41" t="inlineStr">
        <is>
          <t>DSO (days) – year 3</t>
        </is>
      </c>
      <c r="B67" s="184" t="n"/>
      <c r="C67" s="184" t="n"/>
      <c r="D67" s="160">
        <f>D15</f>
        <v/>
      </c>
      <c r="E67" s="44">
        <f>E15</f>
        <v/>
      </c>
      <c r="F67" s="44">
        <f>F15</f>
        <v/>
      </c>
      <c r="G67" s="184" t="n"/>
      <c r="H67" s="184" t="n"/>
    </row>
    <row r="68">
      <c r="A68" s="41" t="inlineStr">
        <is>
          <t>DSO (days) – year 4</t>
        </is>
      </c>
      <c r="B68" s="184" t="n"/>
      <c r="C68" s="184" t="n"/>
      <c r="D68" s="160">
        <f>D15</f>
        <v/>
      </c>
      <c r="E68" s="44">
        <f>E15</f>
        <v/>
      </c>
      <c r="F68" s="44">
        <f>F15</f>
        <v/>
      </c>
      <c r="G68" s="184" t="n"/>
      <c r="H68" s="184" t="n"/>
    </row>
    <row r="69">
      <c r="A69" s="41" t="inlineStr">
        <is>
          <t>DSO (days) – year 5</t>
        </is>
      </c>
      <c r="B69" s="184" t="n"/>
      <c r="C69" s="184" t="n"/>
      <c r="D69" s="160">
        <f>D15</f>
        <v/>
      </c>
      <c r="E69" s="44">
        <f>E15</f>
        <v/>
      </c>
      <c r="F69" s="44">
        <f>F15</f>
        <v/>
      </c>
      <c r="G69" s="184" t="n"/>
      <c r="H69" s="184" t="n"/>
    </row>
    <row r="70">
      <c r="A70" s="41" t="inlineStr">
        <is>
          <t>Accounts receivable – year 1</t>
        </is>
      </c>
      <c r="B70" s="184" t="n"/>
      <c r="C70" s="184" t="n"/>
      <c r="D70" s="42">
        <f>(D65/365)*D25</f>
        <v/>
      </c>
      <c r="E70" s="42">
        <f>(E65/365)*E25</f>
        <v/>
      </c>
      <c r="F70" s="42">
        <f>(F65/365)*F25</f>
        <v/>
      </c>
      <c r="G70" s="184" t="n"/>
      <c r="H70" s="184" t="n"/>
    </row>
    <row r="71">
      <c r="A71" s="41" t="inlineStr">
        <is>
          <t>Accounts receivable – year 2</t>
        </is>
      </c>
      <c r="B71" s="184" t="n"/>
      <c r="C71" s="184" t="n"/>
      <c r="D71" s="42">
        <f>(D66/365)*D26</f>
        <v/>
      </c>
      <c r="E71" s="42">
        <f>(E66/365)*E26</f>
        <v/>
      </c>
      <c r="F71" s="42">
        <f>(F66/365)*F26</f>
        <v/>
      </c>
      <c r="G71" s="184" t="n"/>
      <c r="H71" s="184" t="n"/>
    </row>
    <row r="72">
      <c r="A72" s="41" t="inlineStr">
        <is>
          <t>Accounts receivable – year 3</t>
        </is>
      </c>
      <c r="B72" s="184" t="n"/>
      <c r="C72" s="184" t="n"/>
      <c r="D72" s="42">
        <f>(D67/365)*D27</f>
        <v/>
      </c>
      <c r="E72" s="42">
        <f>(E67/365)*E27</f>
        <v/>
      </c>
      <c r="F72" s="42">
        <f>(F67/365)*F27</f>
        <v/>
      </c>
      <c r="G72" s="184" t="n"/>
      <c r="H72" s="184" t="n"/>
    </row>
    <row r="73">
      <c r="A73" s="41" t="inlineStr">
        <is>
          <t>Accounts receivable – year 4</t>
        </is>
      </c>
      <c r="B73" s="184" t="n"/>
      <c r="C73" s="184" t="n"/>
      <c r="D73" s="42">
        <f>(D68/365)*D28</f>
        <v/>
      </c>
      <c r="E73" s="42">
        <f>(E68/365)*E28</f>
        <v/>
      </c>
      <c r="F73" s="42">
        <f>(F68/365)*F28</f>
        <v/>
      </c>
      <c r="G73" s="184" t="n"/>
      <c r="H73" s="184" t="n"/>
    </row>
    <row r="74">
      <c r="A74" s="41" t="inlineStr">
        <is>
          <t>Accounts receivable – year 5</t>
        </is>
      </c>
      <c r="B74" s="184" t="n"/>
      <c r="C74" s="184" t="n"/>
      <c r="D74" s="42">
        <f>(D69/365)*D29</f>
        <v/>
      </c>
      <c r="E74" s="42">
        <f>(E69/365)*E29</f>
        <v/>
      </c>
      <c r="F74" s="42">
        <f>(F69/365)*F29</f>
        <v/>
      </c>
      <c r="G74" s="184" t="n"/>
      <c r="H74" s="184" t="n"/>
    </row>
    <row r="75">
      <c r="A75" s="41" t="inlineStr">
        <is>
          <t>DIO (days) – year 1</t>
        </is>
      </c>
      <c r="B75" s="184" t="n"/>
      <c r="C75" s="184" t="n"/>
      <c r="D75" s="160">
        <f>D16-D17*1</f>
        <v/>
      </c>
      <c r="E75" s="44">
        <f>E16-E17*1</f>
        <v/>
      </c>
      <c r="F75" s="44">
        <f>F16-F17*1</f>
        <v/>
      </c>
      <c r="G75" s="184" t="n"/>
      <c r="H75" s="184" t="n"/>
    </row>
    <row r="76">
      <c r="A76" s="41" t="inlineStr">
        <is>
          <t>DIO (days) – year 2</t>
        </is>
      </c>
      <c r="B76" s="184" t="n"/>
      <c r="C76" s="184" t="n"/>
      <c r="D76" s="160">
        <f>D16-D17*2</f>
        <v/>
      </c>
      <c r="E76" s="44">
        <f>E16-E17*2</f>
        <v/>
      </c>
      <c r="F76" s="44">
        <f>F16-F17*2</f>
        <v/>
      </c>
      <c r="G76" s="184" t="n"/>
      <c r="H76" s="184" t="n"/>
    </row>
    <row r="77">
      <c r="A77" s="41" t="inlineStr">
        <is>
          <t>DIO (days) – year 3</t>
        </is>
      </c>
      <c r="B77" s="184" t="n"/>
      <c r="C77" s="184" t="n"/>
      <c r="D77" s="160">
        <f>D16-D17*3</f>
        <v/>
      </c>
      <c r="E77" s="44">
        <f>E16-E17*3</f>
        <v/>
      </c>
      <c r="F77" s="44">
        <f>F16-F17*3</f>
        <v/>
      </c>
      <c r="G77" s="184" t="n"/>
      <c r="H77" s="184" t="n"/>
    </row>
    <row r="78">
      <c r="A78" s="41" t="inlineStr">
        <is>
          <t>DIO (days) – year 4</t>
        </is>
      </c>
      <c r="B78" s="184" t="n"/>
      <c r="C78" s="184" t="n"/>
      <c r="D78" s="160">
        <f>D16-D17*4</f>
        <v/>
      </c>
      <c r="E78" s="44">
        <f>E16-E17*4</f>
        <v/>
      </c>
      <c r="F78" s="44">
        <f>F16-F17*4</f>
        <v/>
      </c>
      <c r="G78" s="184" t="n"/>
      <c r="H78" s="184" t="n"/>
    </row>
    <row r="79">
      <c r="A79" s="41" t="inlineStr">
        <is>
          <t>DIO (days) – year 5</t>
        </is>
      </c>
      <c r="B79" s="184" t="n"/>
      <c r="C79" s="184" t="n"/>
      <c r="D79" s="160">
        <f>D16-D17*5</f>
        <v/>
      </c>
      <c r="E79" s="44">
        <f>E16-E17*5</f>
        <v/>
      </c>
      <c r="F79" s="44">
        <f>F16-F17*5</f>
        <v/>
      </c>
      <c r="G79" s="184" t="n"/>
      <c r="H79" s="184" t="n"/>
    </row>
    <row r="80">
      <c r="A80" s="41" t="inlineStr">
        <is>
          <t>Inventories – year 1</t>
        </is>
      </c>
      <c r="B80" s="184" t="n"/>
      <c r="C80" s="184" t="n"/>
      <c r="D80" s="42">
        <f>(D75/365)*D35</f>
        <v/>
      </c>
      <c r="E80" s="42">
        <f>(E75/365)*E35</f>
        <v/>
      </c>
      <c r="F80" s="42">
        <f>(F75/365)*F35</f>
        <v/>
      </c>
      <c r="G80" s="184" t="n"/>
      <c r="H80" s="184" t="n"/>
    </row>
    <row r="81">
      <c r="A81" s="41" t="inlineStr">
        <is>
          <t>Inventories – year 2</t>
        </is>
      </c>
      <c r="B81" s="184" t="n"/>
      <c r="C81" s="184" t="n"/>
      <c r="D81" s="42">
        <f>(D76/365)*D36</f>
        <v/>
      </c>
      <c r="E81" s="42">
        <f>(E76/365)*E36</f>
        <v/>
      </c>
      <c r="F81" s="42">
        <f>(F76/365)*F36</f>
        <v/>
      </c>
      <c r="G81" s="184" t="n"/>
      <c r="H81" s="184" t="n"/>
    </row>
    <row r="82">
      <c r="A82" s="41" t="inlineStr">
        <is>
          <t>Inventories – year 3</t>
        </is>
      </c>
      <c r="B82" s="184" t="n"/>
      <c r="C82" s="184" t="n"/>
      <c r="D82" s="42">
        <f>(D77/365)*D37</f>
        <v/>
      </c>
      <c r="E82" s="42">
        <f>(E77/365)*E37</f>
        <v/>
      </c>
      <c r="F82" s="42">
        <f>(F77/365)*F37</f>
        <v/>
      </c>
      <c r="G82" s="184" t="n"/>
      <c r="H82" s="184" t="n"/>
    </row>
    <row r="83">
      <c r="A83" s="41" t="inlineStr">
        <is>
          <t>Inventories – year 4</t>
        </is>
      </c>
      <c r="B83" s="184" t="n"/>
      <c r="C83" s="184" t="n"/>
      <c r="D83" s="42">
        <f>(D78/365)*D38</f>
        <v/>
      </c>
      <c r="E83" s="42">
        <f>(E78/365)*E38</f>
        <v/>
      </c>
      <c r="F83" s="42">
        <f>(F78/365)*F38</f>
        <v/>
      </c>
      <c r="G83" s="184" t="n"/>
      <c r="H83" s="184" t="n"/>
    </row>
    <row r="84">
      <c r="A84" s="41" t="inlineStr">
        <is>
          <t>Inventories – year 5</t>
        </is>
      </c>
      <c r="B84" s="184" t="n"/>
      <c r="C84" s="184" t="n"/>
      <c r="D84" s="42">
        <f>(D79/365)*D39</f>
        <v/>
      </c>
      <c r="E84" s="42">
        <f>(E79/365)*E39</f>
        <v/>
      </c>
      <c r="F84" s="42">
        <f>(F79/365)*F39</f>
        <v/>
      </c>
      <c r="G84" s="184" t="n"/>
      <c r="H84" s="184" t="n"/>
    </row>
    <row r="85">
      <c r="A85" s="41" t="inlineStr">
        <is>
          <t>DPO (days) – year 1</t>
        </is>
      </c>
      <c r="B85" s="184" t="n"/>
      <c r="C85" s="184" t="n"/>
      <c r="D85" s="160">
        <f>D18</f>
        <v/>
      </c>
      <c r="E85" s="44">
        <f>E18</f>
        <v/>
      </c>
      <c r="F85" s="44">
        <f>F18</f>
        <v/>
      </c>
      <c r="G85" s="184" t="n"/>
      <c r="H85" s="184" t="n"/>
    </row>
    <row r="86">
      <c r="A86" s="41" t="inlineStr">
        <is>
          <t>DPO (days) – year 2</t>
        </is>
      </c>
      <c r="B86" s="184" t="n"/>
      <c r="C86" s="184" t="n"/>
      <c r="D86" s="160">
        <f>D18</f>
        <v/>
      </c>
      <c r="E86" s="44">
        <f>E18</f>
        <v/>
      </c>
      <c r="F86" s="44">
        <f>F18</f>
        <v/>
      </c>
      <c r="G86" s="184" t="n"/>
      <c r="H86" s="184" t="n"/>
    </row>
    <row r="87">
      <c r="A87" s="41" t="inlineStr">
        <is>
          <t>DPO (days) – year 3</t>
        </is>
      </c>
      <c r="B87" s="184" t="n"/>
      <c r="C87" s="184" t="n"/>
      <c r="D87" s="160">
        <f>D18</f>
        <v/>
      </c>
      <c r="E87" s="44">
        <f>E18</f>
        <v/>
      </c>
      <c r="F87" s="44">
        <f>F18</f>
        <v/>
      </c>
      <c r="G87" s="184" t="n"/>
      <c r="H87" s="184" t="n"/>
    </row>
    <row r="88">
      <c r="A88" s="41" t="inlineStr">
        <is>
          <t>DPO (days) – year 4</t>
        </is>
      </c>
      <c r="B88" s="184" t="n"/>
      <c r="C88" s="184" t="n"/>
      <c r="D88" s="160">
        <f>D18</f>
        <v/>
      </c>
      <c r="E88" s="44">
        <f>E18</f>
        <v/>
      </c>
      <c r="F88" s="44">
        <f>F18</f>
        <v/>
      </c>
      <c r="G88" s="184" t="n"/>
      <c r="H88" s="184" t="n"/>
    </row>
    <row r="89">
      <c r="A89" s="41" t="inlineStr">
        <is>
          <t>DPO (days) – year 5</t>
        </is>
      </c>
      <c r="B89" s="184" t="n"/>
      <c r="C89" s="184" t="n"/>
      <c r="D89" s="160">
        <f>D18</f>
        <v/>
      </c>
      <c r="E89" s="44">
        <f>E18</f>
        <v/>
      </c>
      <c r="F89" s="44">
        <f>F18</f>
        <v/>
      </c>
      <c r="G89" s="184" t="n"/>
      <c r="H89" s="184" t="n"/>
    </row>
    <row r="90">
      <c r="A90" s="41" t="inlineStr">
        <is>
          <t>Accounts payable – year 1</t>
        </is>
      </c>
      <c r="B90" s="184" t="n"/>
      <c r="C90" s="184" t="n"/>
      <c r="D90" s="42">
        <f>(D85/365)*D35</f>
        <v/>
      </c>
      <c r="E90" s="42">
        <f>(E85/365)*E35</f>
        <v/>
      </c>
      <c r="F90" s="42">
        <f>(F85/365)*F35</f>
        <v/>
      </c>
      <c r="G90" s="184" t="n"/>
      <c r="H90" s="184" t="n"/>
    </row>
    <row r="91">
      <c r="A91" s="41" t="inlineStr">
        <is>
          <t>Accounts payable – year 2</t>
        </is>
      </c>
      <c r="B91" s="184" t="n"/>
      <c r="C91" s="184" t="n"/>
      <c r="D91" s="42">
        <f>(D86/365)*D36</f>
        <v/>
      </c>
      <c r="E91" s="42">
        <f>(E86/365)*E36</f>
        <v/>
      </c>
      <c r="F91" s="42">
        <f>(F86/365)*F36</f>
        <v/>
      </c>
      <c r="G91" s="184" t="n"/>
      <c r="H91" s="184" t="n"/>
    </row>
    <row r="92">
      <c r="A92" s="41" t="inlineStr">
        <is>
          <t>Accounts payable – year 3</t>
        </is>
      </c>
      <c r="B92" s="184" t="n"/>
      <c r="C92" s="184" t="n"/>
      <c r="D92" s="42">
        <f>(D87/365)*D37</f>
        <v/>
      </c>
      <c r="E92" s="42">
        <f>(E87/365)*E37</f>
        <v/>
      </c>
      <c r="F92" s="42">
        <f>(F87/365)*F37</f>
        <v/>
      </c>
      <c r="G92" s="184" t="n"/>
      <c r="H92" s="184" t="n"/>
    </row>
    <row r="93">
      <c r="A93" s="41" t="inlineStr">
        <is>
          <t>Accounts payable – year 4</t>
        </is>
      </c>
      <c r="B93" s="184" t="n"/>
      <c r="C93" s="184" t="n"/>
      <c r="D93" s="42">
        <f>(D88/365)*D38</f>
        <v/>
      </c>
      <c r="E93" s="42">
        <f>(E88/365)*E38</f>
        <v/>
      </c>
      <c r="F93" s="42">
        <f>(F88/365)*F38</f>
        <v/>
      </c>
      <c r="G93" s="184" t="n"/>
      <c r="H93" s="184" t="n"/>
    </row>
    <row r="94">
      <c r="A94" s="41" t="inlineStr">
        <is>
          <t>Accounts payable – year 5</t>
        </is>
      </c>
      <c r="B94" s="184" t="n"/>
      <c r="C94" s="184" t="n"/>
      <c r="D94" s="42">
        <f>(D89/365)*D39</f>
        <v/>
      </c>
      <c r="E94" s="42">
        <f>(E89/365)*E39</f>
        <v/>
      </c>
      <c r="F94" s="42">
        <f>(F89/365)*F39</f>
        <v/>
      </c>
      <c r="G94" s="184" t="n"/>
      <c r="H94" s="184" t="n"/>
    </row>
    <row r="95">
      <c r="A95" s="41" t="inlineStr">
        <is>
          <t>Prepaid expenses (other current assets) – year 1</t>
        </is>
      </c>
      <c r="B95" s="184" t="n"/>
      <c r="C95" s="184" t="n"/>
      <c r="D95" s="42">
        <f>D25*D19</f>
        <v/>
      </c>
      <c r="E95" s="42">
        <f>E25*E19</f>
        <v/>
      </c>
      <c r="F95" s="42">
        <f>F25*F19</f>
        <v/>
      </c>
      <c r="G95" s="184" t="n"/>
      <c r="H95" s="184" t="n"/>
    </row>
    <row r="96">
      <c r="A96" s="41" t="inlineStr">
        <is>
          <t>Prepaid expenses (other current assets) – year 2</t>
        </is>
      </c>
      <c r="B96" s="184" t="n"/>
      <c r="C96" s="184" t="n"/>
      <c r="D96" s="42">
        <f>D26*D19</f>
        <v/>
      </c>
      <c r="E96" s="42">
        <f>E26*E19</f>
        <v/>
      </c>
      <c r="F96" s="42">
        <f>F26*F19</f>
        <v/>
      </c>
      <c r="G96" s="184" t="n"/>
      <c r="H96" s="184" t="n"/>
    </row>
    <row r="97">
      <c r="A97" s="41" t="inlineStr">
        <is>
          <t>Prepaid expenses (other current assets) – year 3</t>
        </is>
      </c>
      <c r="B97" s="184" t="n"/>
      <c r="C97" s="184" t="n"/>
      <c r="D97" s="42">
        <f>D27*D19</f>
        <v/>
      </c>
      <c r="E97" s="42">
        <f>E27*E19</f>
        <v/>
      </c>
      <c r="F97" s="42">
        <f>F27*F19</f>
        <v/>
      </c>
      <c r="G97" s="184" t="n"/>
      <c r="H97" s="184" t="n"/>
    </row>
    <row r="98">
      <c r="A98" s="41" t="inlineStr">
        <is>
          <t>Prepaid expenses (other current assets) – year 4</t>
        </is>
      </c>
      <c r="B98" s="184" t="n"/>
      <c r="C98" s="184" t="n"/>
      <c r="D98" s="42">
        <f>D28*D19</f>
        <v/>
      </c>
      <c r="E98" s="42">
        <f>E28*E19</f>
        <v/>
      </c>
      <c r="F98" s="42">
        <f>F28*F19</f>
        <v/>
      </c>
      <c r="G98" s="184" t="n"/>
      <c r="H98" s="184" t="n"/>
    </row>
    <row r="99">
      <c r="A99" s="41" t="inlineStr">
        <is>
          <t>Prepaid expenses (other current assets) – year 5</t>
        </is>
      </c>
      <c r="B99" s="184" t="n"/>
      <c r="C99" s="184" t="n"/>
      <c r="D99" s="42">
        <f>D29*D19</f>
        <v/>
      </c>
      <c r="E99" s="42">
        <f>E29*E19</f>
        <v/>
      </c>
      <c r="F99" s="42">
        <f>F29*F19</f>
        <v/>
      </c>
      <c r="G99" s="184" t="n"/>
      <c r="H99" s="184" t="n"/>
    </row>
    <row r="100">
      <c r="A100" s="41" t="inlineStr">
        <is>
          <t>Accrued liabilities – year 1</t>
        </is>
      </c>
      <c r="B100" s="184" t="n"/>
      <c r="C100" s="184" t="n"/>
      <c r="D100" s="42">
        <f>D25*D20</f>
        <v/>
      </c>
      <c r="E100" s="42">
        <f>E25*E20</f>
        <v/>
      </c>
      <c r="F100" s="42">
        <f>F25*F20</f>
        <v/>
      </c>
      <c r="G100" s="184" t="n"/>
      <c r="H100" s="184" t="n"/>
    </row>
    <row r="101">
      <c r="A101" s="41" t="inlineStr">
        <is>
          <t>Accrued liabilities – year 2</t>
        </is>
      </c>
      <c r="B101" s="184" t="n"/>
      <c r="C101" s="184" t="n"/>
      <c r="D101" s="42">
        <f>D26*D20</f>
        <v/>
      </c>
      <c r="E101" s="42">
        <f>E26*E20</f>
        <v/>
      </c>
      <c r="F101" s="42">
        <f>F26*F20</f>
        <v/>
      </c>
      <c r="G101" s="184" t="n"/>
      <c r="H101" s="184" t="n"/>
    </row>
    <row r="102">
      <c r="A102" s="41" t="inlineStr">
        <is>
          <t>Accrued liabilities – year 3</t>
        </is>
      </c>
      <c r="B102" s="184" t="n"/>
      <c r="C102" s="184" t="n"/>
      <c r="D102" s="42">
        <f>D27*D20</f>
        <v/>
      </c>
      <c r="E102" s="42">
        <f>E27*E20</f>
        <v/>
      </c>
      <c r="F102" s="42">
        <f>F27*F20</f>
        <v/>
      </c>
      <c r="G102" s="184" t="n"/>
      <c r="H102" s="184" t="n"/>
    </row>
    <row r="103">
      <c r="A103" s="41" t="inlineStr">
        <is>
          <t>Accrued liabilities – year 4</t>
        </is>
      </c>
      <c r="B103" s="184" t="n"/>
      <c r="C103" s="184" t="n"/>
      <c r="D103" s="42">
        <f>D28*D20</f>
        <v/>
      </c>
      <c r="E103" s="42">
        <f>E28*E20</f>
        <v/>
      </c>
      <c r="F103" s="42">
        <f>F28*F20</f>
        <v/>
      </c>
      <c r="G103" s="184" t="n"/>
      <c r="H103" s="184" t="n"/>
    </row>
    <row r="104">
      <c r="A104" s="41" t="inlineStr">
        <is>
          <t>Accrued liabilities – year 5</t>
        </is>
      </c>
      <c r="B104" s="184" t="n"/>
      <c r="C104" s="184" t="n"/>
      <c r="D104" s="42">
        <f>D29*D20</f>
        <v/>
      </c>
      <c r="E104" s="42">
        <f>E29*E20</f>
        <v/>
      </c>
      <c r="F104" s="42">
        <f>F29*F20</f>
        <v/>
      </c>
      <c r="G104" s="184" t="n"/>
      <c r="H104" s="184" t="n"/>
    </row>
    <row r="105">
      <c r="A105" s="41" t="inlineStr">
        <is>
          <t>Current operating assets (AR + inv + prepaids) – year 1</t>
        </is>
      </c>
      <c r="B105" s="184" t="n"/>
      <c r="C105" s="184" t="n"/>
      <c r="D105" s="42">
        <f>D70+D80+D95</f>
        <v/>
      </c>
      <c r="E105" s="42">
        <f>E70+E80+E95</f>
        <v/>
      </c>
      <c r="F105" s="42">
        <f>F70+F80+F95</f>
        <v/>
      </c>
      <c r="G105" s="184" t="n"/>
      <c r="H105" s="184" t="n"/>
    </row>
    <row r="106">
      <c r="A106" s="41" t="inlineStr">
        <is>
          <t>Current operating assets (AR + inv + prepaids) – year 2</t>
        </is>
      </c>
      <c r="B106" s="184" t="n"/>
      <c r="C106" s="184" t="n"/>
      <c r="D106" s="42">
        <f>D71+D81+D96</f>
        <v/>
      </c>
      <c r="E106" s="42">
        <f>E71+E81+E96</f>
        <v/>
      </c>
      <c r="F106" s="42">
        <f>F71+F81+F96</f>
        <v/>
      </c>
      <c r="G106" s="184" t="n"/>
      <c r="H106" s="184" t="n"/>
    </row>
    <row r="107">
      <c r="A107" s="41" t="inlineStr">
        <is>
          <t>Current operating assets (AR + inv + prepaids) – year 3</t>
        </is>
      </c>
      <c r="B107" s="184" t="n"/>
      <c r="C107" s="184" t="n"/>
      <c r="D107" s="42">
        <f>D72+D82+D97</f>
        <v/>
      </c>
      <c r="E107" s="42">
        <f>E72+E82+E97</f>
        <v/>
      </c>
      <c r="F107" s="42">
        <f>F72+F82+F97</f>
        <v/>
      </c>
      <c r="G107" s="184" t="n"/>
      <c r="H107" s="184" t="n"/>
    </row>
    <row r="108">
      <c r="A108" s="41" t="inlineStr">
        <is>
          <t>Current operating assets (AR + inv + prepaids) – year 4</t>
        </is>
      </c>
      <c r="B108" s="184" t="n"/>
      <c r="C108" s="184" t="n"/>
      <c r="D108" s="42">
        <f>D73+D83+D98</f>
        <v/>
      </c>
      <c r="E108" s="42">
        <f>E73+E83+E98</f>
        <v/>
      </c>
      <c r="F108" s="42">
        <f>F73+F83+F98</f>
        <v/>
      </c>
      <c r="G108" s="184" t="n"/>
      <c r="H108" s="184" t="n"/>
    </row>
    <row r="109">
      <c r="A109" s="41" t="inlineStr">
        <is>
          <t>Current operating assets (AR + inv + prepaids) – year 5</t>
        </is>
      </c>
      <c r="B109" s="184" t="n"/>
      <c r="C109" s="184" t="n"/>
      <c r="D109" s="42">
        <f>D74+D84+D99</f>
        <v/>
      </c>
      <c r="E109" s="42">
        <f>E74+E84+E99</f>
        <v/>
      </c>
      <c r="F109" s="42">
        <f>F74+F84+F99</f>
        <v/>
      </c>
      <c r="G109" s="184" t="n"/>
      <c r="H109" s="184" t="n"/>
    </row>
    <row r="110">
      <c r="A110" s="41" t="inlineStr">
        <is>
          <t>Current operating liabilities (AP + accruals) – year 1</t>
        </is>
      </c>
      <c r="B110" s="184" t="n"/>
      <c r="C110" s="184" t="n"/>
      <c r="D110" s="42">
        <f>D90+D100</f>
        <v/>
      </c>
      <c r="E110" s="42">
        <f>E90+E100</f>
        <v/>
      </c>
      <c r="F110" s="42">
        <f>F90+F100</f>
        <v/>
      </c>
      <c r="G110" s="184" t="n"/>
      <c r="H110" s="184" t="n"/>
    </row>
    <row r="111">
      <c r="A111" s="41" t="inlineStr">
        <is>
          <t>Current operating liabilities (AP + accruals) – year 2</t>
        </is>
      </c>
      <c r="B111" s="184" t="n"/>
      <c r="C111" s="184" t="n"/>
      <c r="D111" s="42">
        <f>D91+D101</f>
        <v/>
      </c>
      <c r="E111" s="42">
        <f>E91+E101</f>
        <v/>
      </c>
      <c r="F111" s="42">
        <f>F91+F101</f>
        <v/>
      </c>
      <c r="G111" s="184" t="n"/>
      <c r="H111" s="184" t="n"/>
    </row>
    <row r="112">
      <c r="A112" s="41" t="inlineStr">
        <is>
          <t>Current operating liabilities (AP + accruals) – year 3</t>
        </is>
      </c>
      <c r="B112" s="184" t="n"/>
      <c r="C112" s="184" t="n"/>
      <c r="D112" s="42">
        <f>D92+D102</f>
        <v/>
      </c>
      <c r="E112" s="42">
        <f>E92+E102</f>
        <v/>
      </c>
      <c r="F112" s="42">
        <f>F92+F102</f>
        <v/>
      </c>
      <c r="G112" s="184" t="n"/>
      <c r="H112" s="184" t="n"/>
    </row>
    <row r="113">
      <c r="A113" s="41" t="inlineStr">
        <is>
          <t>Current operating liabilities (AP + accruals) – year 4</t>
        </is>
      </c>
      <c r="B113" s="184" t="n"/>
      <c r="C113" s="184" t="n"/>
      <c r="D113" s="42">
        <f>D93+D103</f>
        <v/>
      </c>
      <c r="E113" s="42">
        <f>E93+E103</f>
        <v/>
      </c>
      <c r="F113" s="42">
        <f>F93+F103</f>
        <v/>
      </c>
      <c r="G113" s="184" t="n"/>
      <c r="H113" s="184" t="n"/>
    </row>
    <row r="114">
      <c r="A114" s="41" t="inlineStr">
        <is>
          <t>Current operating liabilities (AP + accruals) – year 5</t>
        </is>
      </c>
      <c r="B114" s="184" t="n"/>
      <c r="C114" s="184" t="n"/>
      <c r="D114" s="42">
        <f>D94+D104</f>
        <v/>
      </c>
      <c r="E114" s="42">
        <f>E94+E104</f>
        <v/>
      </c>
      <c r="F114" s="42">
        <f>F94+F104</f>
        <v/>
      </c>
      <c r="G114" s="184" t="n"/>
      <c r="H114" s="184" t="n"/>
    </row>
    <row r="115">
      <c r="A115" s="41" t="inlineStr">
        <is>
          <t>Net working capital – year 1</t>
        </is>
      </c>
      <c r="B115" s="184" t="n"/>
      <c r="C115" s="184" t="n"/>
      <c r="D115" s="42">
        <f>D105-D110</f>
        <v/>
      </c>
      <c r="E115" s="42">
        <f>E105-E110</f>
        <v/>
      </c>
      <c r="F115" s="42">
        <f>F105-F110</f>
        <v/>
      </c>
      <c r="G115" s="184" t="n"/>
      <c r="H115" s="184" t="n"/>
    </row>
    <row r="116">
      <c r="A116" s="41" t="inlineStr">
        <is>
          <t>Net working capital – year 2</t>
        </is>
      </c>
      <c r="B116" s="184" t="n"/>
      <c r="C116" s="184" t="n"/>
      <c r="D116" s="42">
        <f>D106-D111</f>
        <v/>
      </c>
      <c r="E116" s="42">
        <f>E106-E111</f>
        <v/>
      </c>
      <c r="F116" s="42">
        <f>F106-F111</f>
        <v/>
      </c>
      <c r="G116" s="184" t="n"/>
      <c r="H116" s="184" t="n"/>
    </row>
    <row r="117">
      <c r="A117" s="41" t="inlineStr">
        <is>
          <t>Net working capital – year 3</t>
        </is>
      </c>
      <c r="B117" s="184" t="n"/>
      <c r="C117" s="184" t="n"/>
      <c r="D117" s="42">
        <f>D107-D112</f>
        <v/>
      </c>
      <c r="E117" s="42">
        <f>E107-E112</f>
        <v/>
      </c>
      <c r="F117" s="42">
        <f>F107-F112</f>
        <v/>
      </c>
      <c r="G117" s="184" t="n"/>
      <c r="H117" s="184" t="n"/>
    </row>
    <row r="118">
      <c r="A118" s="41" t="inlineStr">
        <is>
          <t>Net working capital – year 4</t>
        </is>
      </c>
      <c r="B118" s="184" t="n"/>
      <c r="C118" s="184" t="n"/>
      <c r="D118" s="42">
        <f>D108-D113</f>
        <v/>
      </c>
      <c r="E118" s="42">
        <f>E108-E113</f>
        <v/>
      </c>
      <c r="F118" s="42">
        <f>F108-F113</f>
        <v/>
      </c>
      <c r="G118" s="184" t="n"/>
      <c r="H118" s="184" t="n"/>
    </row>
    <row r="119">
      <c r="A119" s="41" t="inlineStr">
        <is>
          <t>Net working capital – year 5</t>
        </is>
      </c>
      <c r="B119" s="184" t="n"/>
      <c r="C119" s="184" t="n"/>
      <c r="D119" s="42">
        <f>D109-D114</f>
        <v/>
      </c>
      <c r="E119" s="42">
        <f>E109-E114</f>
        <v/>
      </c>
      <c r="F119" s="42">
        <f>F109-F114</f>
        <v/>
      </c>
      <c r="G119" s="184" t="n"/>
      <c r="H119" s="184" t="n"/>
    </row>
    <row r="120">
      <c r="A120" s="41" t="inlineStr">
        <is>
          <t>ΔNWC (prior yr − current yr) – year 1</t>
        </is>
      </c>
      <c r="B120" s="184" t="n"/>
      <c r="C120" s="184" t="n"/>
      <c r="D120" s="42">
        <f>1461096-D115</f>
        <v/>
      </c>
      <c r="E120" s="42">
        <f>1461096-E115</f>
        <v/>
      </c>
      <c r="F120" s="42">
        <f>1461096-F115</f>
        <v/>
      </c>
      <c r="G120" s="184" t="n"/>
      <c r="H120" s="184" t="n"/>
    </row>
    <row r="121">
      <c r="A121" s="41" t="inlineStr">
        <is>
          <t>ΔNWC (prior yr − current yr) – year 2</t>
        </is>
      </c>
      <c r="B121" s="184" t="n"/>
      <c r="C121" s="184" t="n"/>
      <c r="D121" s="42">
        <f>D115-D116</f>
        <v/>
      </c>
      <c r="E121" s="42">
        <f>E115-E116</f>
        <v/>
      </c>
      <c r="F121" s="42">
        <f>F115-F116</f>
        <v/>
      </c>
      <c r="G121" s="184" t="n"/>
      <c r="H121" s="184" t="n"/>
    </row>
    <row r="122">
      <c r="A122" s="41" t="inlineStr">
        <is>
          <t>ΔNWC (prior yr − current yr) – year 3</t>
        </is>
      </c>
      <c r="B122" s="184" t="n"/>
      <c r="C122" s="184" t="n"/>
      <c r="D122" s="42">
        <f>D116-D117</f>
        <v/>
      </c>
      <c r="E122" s="42">
        <f>E116-E117</f>
        <v/>
      </c>
      <c r="F122" s="42">
        <f>F116-F117</f>
        <v/>
      </c>
      <c r="G122" s="184" t="n"/>
      <c r="H122" s="184" t="n"/>
    </row>
    <row r="123">
      <c r="A123" s="41" t="inlineStr">
        <is>
          <t>ΔNWC (prior yr − current yr) – year 4</t>
        </is>
      </c>
      <c r="B123" s="184" t="n"/>
      <c r="C123" s="184" t="n"/>
      <c r="D123" s="42">
        <f>D117-D118</f>
        <v/>
      </c>
      <c r="E123" s="42">
        <f>E117-E118</f>
        <v/>
      </c>
      <c r="F123" s="42">
        <f>F117-F118</f>
        <v/>
      </c>
      <c r="G123" s="184" t="n"/>
      <c r="H123" s="184" t="n"/>
    </row>
    <row r="124">
      <c r="A124" s="41" t="inlineStr">
        <is>
          <t>ΔNWC (prior yr − current yr) – year 5</t>
        </is>
      </c>
      <c r="B124" s="184" t="n"/>
      <c r="C124" s="184" t="n"/>
      <c r="D124" s="42">
        <f>D118-D119</f>
        <v/>
      </c>
      <c r="E124" s="42">
        <f>E118-E119</f>
        <v/>
      </c>
      <c r="F124" s="42">
        <f>F118-F119</f>
        <v/>
      </c>
      <c r="G124" s="184" t="n"/>
      <c r="H124" s="184" t="n"/>
    </row>
    <row r="125">
      <c r="A125" s="41" t="inlineStr">
        <is>
          <t>Unlevered FCF – year 1</t>
        </is>
      </c>
      <c r="B125" s="184" t="n"/>
      <c r="C125" s="184" t="n"/>
      <c r="D125" s="42">
        <f>D50+D55-D60+D120</f>
        <v/>
      </c>
      <c r="E125" s="42">
        <f>E50+E55-E60+E120</f>
        <v/>
      </c>
      <c r="F125" s="42">
        <f>F50+F55-F60+F120</f>
        <v/>
      </c>
      <c r="G125" s="184" t="n"/>
      <c r="H125" s="184" t="n"/>
    </row>
    <row r="126">
      <c r="A126" s="41" t="inlineStr">
        <is>
          <t>Unlevered FCF – year 2</t>
        </is>
      </c>
      <c r="B126" s="184" t="n"/>
      <c r="C126" s="184" t="n"/>
      <c r="D126" s="42">
        <f>D51+D56-D61+D121</f>
        <v/>
      </c>
      <c r="E126" s="42">
        <f>E51+E56-E61+E121</f>
        <v/>
      </c>
      <c r="F126" s="42">
        <f>F51+F56-F61+F121</f>
        <v/>
      </c>
      <c r="G126" s="184" t="n"/>
      <c r="H126" s="184" t="n"/>
    </row>
    <row r="127">
      <c r="A127" s="41" t="inlineStr">
        <is>
          <t>Unlevered FCF – year 3</t>
        </is>
      </c>
      <c r="B127" s="184" t="n"/>
      <c r="C127" s="184" t="n"/>
      <c r="D127" s="42">
        <f>D52+D57-D62+D122</f>
        <v/>
      </c>
      <c r="E127" s="42">
        <f>E52+E57-E62+E122</f>
        <v/>
      </c>
      <c r="F127" s="42">
        <f>F52+F57-F62+F122</f>
        <v/>
      </c>
      <c r="G127" s="184" t="n"/>
      <c r="H127" s="184" t="n"/>
    </row>
    <row r="128">
      <c r="A128" s="41" t="inlineStr">
        <is>
          <t>Unlevered FCF – year 4</t>
        </is>
      </c>
      <c r="B128" s="184" t="n"/>
      <c r="C128" s="184" t="n"/>
      <c r="D128" s="42">
        <f>D53+D58-D63+D123</f>
        <v/>
      </c>
      <c r="E128" s="42">
        <f>E53+E58-E63+E123</f>
        <v/>
      </c>
      <c r="F128" s="42">
        <f>F53+F58-F63+F123</f>
        <v/>
      </c>
      <c r="G128" s="184" t="n"/>
      <c r="H128" s="184" t="n"/>
    </row>
    <row r="129">
      <c r="A129" s="41" t="inlineStr">
        <is>
          <t>Unlevered FCF – year 5</t>
        </is>
      </c>
      <c r="B129" s="184" t="n"/>
      <c r="C129" s="184" t="n"/>
      <c r="D129" s="42">
        <f>D54+D59-D64+D124</f>
        <v/>
      </c>
      <c r="E129" s="42">
        <f>E54+E59-E64+E124</f>
        <v/>
      </c>
      <c r="F129" s="42">
        <f>F54+F59-F64+F124</f>
        <v/>
      </c>
      <c r="G129" s="184" t="n"/>
      <c r="H129" s="184" t="n"/>
    </row>
    <row r="130">
      <c r="A130" s="184" t="n"/>
      <c r="B130" s="184" t="n"/>
      <c r="C130" s="184" t="n"/>
      <c r="D130" s="184" t="n"/>
      <c r="E130" s="184" t="n"/>
      <c r="F130" s="184" t="n"/>
      <c r="G130" s="184" t="n"/>
      <c r="H130" s="184" t="n"/>
    </row>
    <row r="131">
      <c r="A131" s="68" t="inlineStr">
        <is>
          <t>Enterprise value (DCF)</t>
        </is>
      </c>
      <c r="B131" s="184" t="n"/>
      <c r="C131" s="184" t="n"/>
      <c r="D131" s="30">
        <f>NPV(D9,D125,D126,D127,D128,D129)+(D129*(1+D10)/(D9-D10))/(1+D9)^5</f>
        <v/>
      </c>
      <c r="E131" s="25">
        <f>NPV(E9,E125,E126,E127,E128,E129)+(E129*(1+E10)/(E9-E10))/(1+E9)^5</f>
        <v/>
      </c>
      <c r="F131" s="25">
        <f>NPV(F9,F125,F126,F127,F128,F129)+(F129*(1+F10)/(F9-F10))/(1+F9)^5</f>
        <v/>
      </c>
      <c r="G131" s="184" t="n"/>
      <c r="H131" s="184" t="n"/>
    </row>
    <row r="132">
      <c r="A132" s="124" t="inlineStr">
        <is>
          <t>Implied share price</t>
        </is>
      </c>
      <c r="B132" s="184" t="n"/>
      <c r="C132" s="184" t="n"/>
      <c r="D132" s="46">
        <f>(D131+1807202-1798441)/111380</f>
        <v/>
      </c>
      <c r="E132" s="46">
        <f>(E131+1807202-1798441)/111380</f>
        <v/>
      </c>
      <c r="F132" s="46">
        <f>(F131+1807202-1798441)/111380</f>
        <v/>
      </c>
      <c r="G132" s="184" t="n"/>
      <c r="H132" s="184" t="n"/>
    </row>
    <row r="133">
      <c r="A133" s="68" t="inlineStr">
        <is>
          <t>Upside / (downside) vs current</t>
        </is>
      </c>
      <c r="B133" s="184" t="n"/>
      <c r="C133" s="184" t="n"/>
      <c r="D133" s="48">
        <f>D132/100.0-1</f>
        <v/>
      </c>
      <c r="E133" s="48">
        <f>E132/100.0-1</f>
        <v/>
      </c>
      <c r="F133" s="48">
        <f>F132/100.0-1</f>
        <v/>
      </c>
      <c r="G133" s="184" t="n"/>
      <c r="H133" s="184" t="n"/>
    </row>
    <row r="134">
      <c r="A134" s="184" t="n"/>
      <c r="B134" s="184" t="n"/>
      <c r="C134" s="184" t="n"/>
      <c r="D134" s="184" t="n"/>
      <c r="E134" s="184" t="n"/>
      <c r="F134" s="184" t="n"/>
      <c r="G134" s="184" t="n"/>
      <c r="H134" s="184" t="n"/>
    </row>
    <row r="135">
      <c r="A135" s="26" t="inlineStr">
        <is>
          <t>Current price $100.00; cash $1,807,202 k; lease debt $1,798,441 k; funded debt $0; net cash $8,761 k.</t>
        </is>
      </c>
      <c r="B135" s="184" t="n"/>
      <c r="C135" s="184" t="n"/>
      <c r="D135" s="184" t="n"/>
      <c r="E135" s="184" t="n"/>
      <c r="F135" s="184" t="n"/>
      <c r="G135" s="184" t="n"/>
      <c r="H135" s="184" t="n"/>
    </row>
    <row r="136">
      <c r="A136" s="184" t="n"/>
      <c r="B136" s="184" t="n"/>
      <c r="C136" s="184" t="n"/>
      <c r="D136" s="184" t="n"/>
      <c r="E136" s="184" t="n"/>
      <c r="F136" s="184" t="n"/>
      <c r="G136" s="184" t="n"/>
      <c r="H136" s="184" t="n"/>
    </row>
    <row r="137">
      <c r="A137" s="129" t="inlineStr">
        <is>
          <t>Pitch deck bridge (IS / CFS / BS)</t>
        </is>
      </c>
      <c r="B137" s="184" t="n"/>
      <c r="C137" s="184" t="n"/>
      <c r="D137" s="184" t="n"/>
      <c r="E137" s="184" t="n"/>
      <c r="F137" s="184" t="n"/>
      <c r="G137" s="184" t="n"/>
      <c r="H137" s="184" t="n"/>
    </row>
    <row r="138">
      <c r="A138" s="41" t="inlineStr">
        <is>
          <t>Other income – year 1</t>
        </is>
      </c>
      <c r="B138" s="184" t="n"/>
      <c r="C138" s="184" t="n"/>
      <c r="D138" s="133" t="n">
        <v>45000</v>
      </c>
      <c r="E138" s="133" t="n">
        <v>45000</v>
      </c>
      <c r="F138" s="133" t="n">
        <v>45000</v>
      </c>
      <c r="G138" s="184" t="n"/>
      <c r="H138" s="184" t="n"/>
    </row>
    <row r="139">
      <c r="A139" s="41" t="inlineStr">
        <is>
          <t>Other income – year 2</t>
        </is>
      </c>
      <c r="B139" s="184" t="n"/>
      <c r="C139" s="184" t="n"/>
      <c r="D139" s="133" t="n">
        <v>40000</v>
      </c>
      <c r="E139" s="133" t="n">
        <v>40000</v>
      </c>
      <c r="F139" s="133" t="n">
        <v>40000</v>
      </c>
      <c r="G139" s="184" t="n"/>
      <c r="H139" s="184" t="n"/>
    </row>
    <row r="140">
      <c r="A140" s="41" t="inlineStr">
        <is>
          <t>Other income – year 3</t>
        </is>
      </c>
      <c r="B140" s="184" t="n"/>
      <c r="C140" s="184" t="n"/>
      <c r="D140" s="133" t="n">
        <v>35000</v>
      </c>
      <c r="E140" s="133" t="n">
        <v>35000</v>
      </c>
      <c r="F140" s="133" t="n">
        <v>35000</v>
      </c>
      <c r="G140" s="184" t="n"/>
      <c r="H140" s="184" t="n"/>
    </row>
    <row r="141">
      <c r="A141" s="41" t="inlineStr">
        <is>
          <t>Other income – year 4</t>
        </is>
      </c>
      <c r="B141" s="184" t="n"/>
      <c r="C141" s="184" t="n"/>
      <c r="D141" s="133" t="n">
        <v>30000</v>
      </c>
      <c r="E141" s="133" t="n">
        <v>30000</v>
      </c>
      <c r="F141" s="133" t="n">
        <v>30000</v>
      </c>
      <c r="G141" s="184" t="n"/>
      <c r="H141" s="184" t="n"/>
    </row>
    <row r="142">
      <c r="A142" s="41" t="inlineStr">
        <is>
          <t>Other income – year 5</t>
        </is>
      </c>
      <c r="B142" s="184" t="n"/>
      <c r="C142" s="184" t="n"/>
      <c r="D142" s="133" t="n">
        <v>25000</v>
      </c>
      <c r="E142" s="133" t="n">
        <v>25000</v>
      </c>
      <c r="F142" s="133" t="n">
        <v>25000</v>
      </c>
      <c r="G142" s="184" t="n"/>
      <c r="H142" s="184" t="n"/>
    </row>
    <row r="143">
      <c r="A143" s="41" t="inlineStr">
        <is>
          <t>Net income – year 1</t>
        </is>
      </c>
      <c r="B143" s="184" t="n"/>
      <c r="C143" s="184" t="n"/>
      <c r="D143" s="42">
        <f>(D45+D138)*(1-D11)</f>
        <v/>
      </c>
      <c r="E143" s="42">
        <f>(E45+E138)*(1-E11)</f>
        <v/>
      </c>
      <c r="F143" s="42">
        <f>(F45+F138)*(1-F11)</f>
        <v/>
      </c>
      <c r="G143" s="184" t="n"/>
      <c r="H143" s="184" t="n"/>
    </row>
    <row r="144">
      <c r="A144" s="41" t="inlineStr">
        <is>
          <t>Net income – year 2</t>
        </is>
      </c>
      <c r="B144" s="184" t="n"/>
      <c r="C144" s="184" t="n"/>
      <c r="D144" s="42">
        <f>(D46+D139)*(1-D11)</f>
        <v/>
      </c>
      <c r="E144" s="42">
        <f>(E46+E139)*(1-E11)</f>
        <v/>
      </c>
      <c r="F144" s="42">
        <f>(F46+F139)*(1-F11)</f>
        <v/>
      </c>
      <c r="G144" s="184" t="n"/>
      <c r="H144" s="184" t="n"/>
    </row>
    <row r="145">
      <c r="A145" s="41" t="inlineStr">
        <is>
          <t>Net income – year 3</t>
        </is>
      </c>
      <c r="B145" s="184" t="n"/>
      <c r="C145" s="184" t="n"/>
      <c r="D145" s="42">
        <f>(D47+D140)*(1-D11)</f>
        <v/>
      </c>
      <c r="E145" s="42">
        <f>(E47+E140)*(1-E11)</f>
        <v/>
      </c>
      <c r="F145" s="42">
        <f>(F47+F140)*(1-F11)</f>
        <v/>
      </c>
      <c r="G145" s="184" t="n"/>
      <c r="H145" s="184" t="n"/>
    </row>
    <row r="146">
      <c r="A146" s="41" t="inlineStr">
        <is>
          <t>Net income – year 4</t>
        </is>
      </c>
      <c r="B146" s="184" t="n"/>
      <c r="C146" s="184" t="n"/>
      <c r="D146" s="42">
        <f>(D48+D141)*(1-D11)</f>
        <v/>
      </c>
      <c r="E146" s="42">
        <f>(E48+E141)*(1-E11)</f>
        <v/>
      </c>
      <c r="F146" s="42">
        <f>(F48+F141)*(1-F11)</f>
        <v/>
      </c>
      <c r="G146" s="184" t="n"/>
      <c r="H146" s="184" t="n"/>
    </row>
    <row r="147">
      <c r="A147" s="41" t="inlineStr">
        <is>
          <t>Net income – year 5</t>
        </is>
      </c>
      <c r="B147" s="184" t="n"/>
      <c r="C147" s="184" t="n"/>
      <c r="D147" s="42">
        <f>(D49+D142)*(1-D11)</f>
        <v/>
      </c>
      <c r="E147" s="42">
        <f>(E49+E142)*(1-E11)</f>
        <v/>
      </c>
      <c r="F147" s="42">
        <f>(F49+F142)*(1-F11)</f>
        <v/>
      </c>
      <c r="G147" s="184" t="n"/>
      <c r="H147" s="184" t="n"/>
    </row>
    <row r="148">
      <c r="A148" s="41" t="inlineStr">
        <is>
          <t>Cash from operations – year 1</t>
        </is>
      </c>
      <c r="B148" s="184" t="n"/>
      <c r="C148" s="184" t="n"/>
      <c r="D148" s="42">
        <f>D143+D55+D120</f>
        <v/>
      </c>
      <c r="E148" s="42">
        <f>E143+E55+E120</f>
        <v/>
      </c>
      <c r="F148" s="42">
        <f>F143+F55+F120</f>
        <v/>
      </c>
      <c r="G148" s="184" t="n"/>
      <c r="H148" s="184" t="n"/>
    </row>
    <row r="149">
      <c r="A149" s="41" t="inlineStr">
        <is>
          <t>Cash from operations – year 2</t>
        </is>
      </c>
      <c r="B149" s="184" t="n"/>
      <c r="C149" s="184" t="n"/>
      <c r="D149" s="42">
        <f>D144+D56+D121</f>
        <v/>
      </c>
      <c r="E149" s="42">
        <f>E144+E56+E121</f>
        <v/>
      </c>
      <c r="F149" s="42">
        <f>F144+F56+F121</f>
        <v/>
      </c>
      <c r="G149" s="184" t="n"/>
      <c r="H149" s="184" t="n"/>
    </row>
    <row r="150">
      <c r="A150" s="41" t="inlineStr">
        <is>
          <t>Cash from operations – year 3</t>
        </is>
      </c>
      <c r="B150" s="184" t="n"/>
      <c r="C150" s="184" t="n"/>
      <c r="D150" s="42">
        <f>D145+D57+D122</f>
        <v/>
      </c>
      <c r="E150" s="42">
        <f>E145+E57+E122</f>
        <v/>
      </c>
      <c r="F150" s="42">
        <f>F145+F57+F122</f>
        <v/>
      </c>
      <c r="G150" s="184" t="n"/>
      <c r="H150" s="184" t="n"/>
    </row>
    <row r="151">
      <c r="A151" s="41" t="inlineStr">
        <is>
          <t>Cash from operations – year 4</t>
        </is>
      </c>
      <c r="B151" s="184" t="n"/>
      <c r="C151" s="184" t="n"/>
      <c r="D151" s="42">
        <f>D146+D58+D123</f>
        <v/>
      </c>
      <c r="E151" s="42">
        <f>E146+E58+E123</f>
        <v/>
      </c>
      <c r="F151" s="42">
        <f>F146+F58+F123</f>
        <v/>
      </c>
      <c r="G151" s="184" t="n"/>
      <c r="H151" s="184" t="n"/>
    </row>
    <row r="152">
      <c r="A152" s="41" t="inlineStr">
        <is>
          <t>Cash from operations – year 5</t>
        </is>
      </c>
      <c r="B152" s="184" t="n"/>
      <c r="C152" s="184" t="n"/>
      <c r="D152" s="42">
        <f>D147+D59+D124</f>
        <v/>
      </c>
      <c r="E152" s="42">
        <f>E147+E59+E124</f>
        <v/>
      </c>
      <c r="F152" s="42">
        <f>F147+F59+F124</f>
        <v/>
      </c>
      <c r="G152" s="184" t="n"/>
      <c r="H152" s="184" t="n"/>
    </row>
    <row r="153">
      <c r="A153" s="41" t="inlineStr">
        <is>
          <t>Free cash flow (CFS) – year 1</t>
        </is>
      </c>
      <c r="B153" s="184" t="n"/>
      <c r="C153" s="184" t="n"/>
      <c r="D153" s="42">
        <f>D148-D60</f>
        <v/>
      </c>
      <c r="E153" s="42">
        <f>E148-E60</f>
        <v/>
      </c>
      <c r="F153" s="42">
        <f>F148-F60</f>
        <v/>
      </c>
      <c r="G153" s="184" t="n"/>
      <c r="H153" s="184" t="n"/>
    </row>
    <row r="154">
      <c r="A154" s="41" t="inlineStr">
        <is>
          <t>Free cash flow (CFS) – year 2</t>
        </is>
      </c>
      <c r="B154" s="184" t="n"/>
      <c r="C154" s="184" t="n"/>
      <c r="D154" s="42">
        <f>D149-D61</f>
        <v/>
      </c>
      <c r="E154" s="42">
        <f>E149-E61</f>
        <v/>
      </c>
      <c r="F154" s="42">
        <f>F149-F61</f>
        <v/>
      </c>
      <c r="G154" s="184" t="n"/>
      <c r="H154" s="184" t="n"/>
    </row>
    <row r="155">
      <c r="A155" s="41" t="inlineStr">
        <is>
          <t>Free cash flow (CFS) – year 3</t>
        </is>
      </c>
      <c r="B155" s="184" t="n"/>
      <c r="C155" s="184" t="n"/>
      <c r="D155" s="42">
        <f>D150-D62</f>
        <v/>
      </c>
      <c r="E155" s="42">
        <f>E150-E62</f>
        <v/>
      </c>
      <c r="F155" s="42">
        <f>F150-F62</f>
        <v/>
      </c>
      <c r="G155" s="184" t="n"/>
      <c r="H155" s="184" t="n"/>
    </row>
    <row r="156">
      <c r="A156" s="41" t="inlineStr">
        <is>
          <t>Free cash flow (CFS) – year 4</t>
        </is>
      </c>
      <c r="B156" s="184" t="n"/>
      <c r="C156" s="184" t="n"/>
      <c r="D156" s="42">
        <f>D151-D63</f>
        <v/>
      </c>
      <c r="E156" s="42">
        <f>E151-E63</f>
        <v/>
      </c>
      <c r="F156" s="42">
        <f>F151-F63</f>
        <v/>
      </c>
      <c r="G156" s="184" t="n"/>
      <c r="H156" s="184" t="n"/>
    </row>
    <row r="157">
      <c r="A157" s="41" t="inlineStr">
        <is>
          <t>Free cash flow (CFS) – year 5</t>
        </is>
      </c>
      <c r="B157" s="184" t="n"/>
      <c r="C157" s="184" t="n"/>
      <c r="D157" s="42">
        <f>D152-D64</f>
        <v/>
      </c>
      <c r="E157" s="42">
        <f>E152-E64</f>
        <v/>
      </c>
      <c r="F157" s="42">
        <f>F152-F64</f>
        <v/>
      </c>
      <c r="G157" s="184" t="n"/>
      <c r="H157" s="184" t="n"/>
    </row>
    <row r="158">
      <c r="A158" s="41" t="inlineStr">
        <is>
          <t>Share repurchases – year 1</t>
        </is>
      </c>
      <c r="B158" s="184" t="n"/>
      <c r="C158" s="184" t="n"/>
      <c r="D158" s="42">
        <f>-D21</f>
        <v/>
      </c>
      <c r="E158" s="42">
        <f>-E21</f>
        <v/>
      </c>
      <c r="F158" s="42">
        <f>-ROUND(F22*F153,0)</f>
        <v/>
      </c>
      <c r="G158" s="184" t="n"/>
      <c r="H158" s="184" t="n"/>
    </row>
    <row r="159">
      <c r="A159" s="41" t="inlineStr">
        <is>
          <t>Share repurchases – year 2</t>
        </is>
      </c>
      <c r="B159" s="184" t="n"/>
      <c r="C159" s="184" t="n"/>
      <c r="D159" s="42">
        <f>-D21</f>
        <v/>
      </c>
      <c r="E159" s="42">
        <f>-E21</f>
        <v/>
      </c>
      <c r="F159" s="42">
        <f>-ROUND(F22*F154,0)</f>
        <v/>
      </c>
      <c r="G159" s="184" t="n"/>
      <c r="H159" s="184" t="n"/>
    </row>
    <row r="160">
      <c r="A160" s="41" t="inlineStr">
        <is>
          <t>Share repurchases – year 3</t>
        </is>
      </c>
      <c r="B160" s="184" t="n"/>
      <c r="C160" s="184" t="n"/>
      <c r="D160" s="42">
        <f>-D21</f>
        <v/>
      </c>
      <c r="E160" s="42">
        <f>-E21</f>
        <v/>
      </c>
      <c r="F160" s="42">
        <f>-ROUND(F22*F155,0)</f>
        <v/>
      </c>
      <c r="G160" s="184" t="n"/>
      <c r="H160" s="184" t="n"/>
    </row>
    <row r="161">
      <c r="A161" s="41" t="inlineStr">
        <is>
          <t>Share repurchases – year 4</t>
        </is>
      </c>
      <c r="B161" s="184" t="n"/>
      <c r="C161" s="184" t="n"/>
      <c r="D161" s="42">
        <f>-D21</f>
        <v/>
      </c>
      <c r="E161" s="42">
        <f>-E21</f>
        <v/>
      </c>
      <c r="F161" s="42">
        <f>-ROUND(F22*F156,0)</f>
        <v/>
      </c>
      <c r="G161" s="184" t="n"/>
      <c r="H161" s="184" t="n"/>
    </row>
    <row r="162">
      <c r="A162" s="41" t="inlineStr">
        <is>
          <t>Share repurchases – year 5</t>
        </is>
      </c>
      <c r="B162" s="184" t="n"/>
      <c r="C162" s="184" t="n"/>
      <c r="D162" s="42">
        <f>-D21</f>
        <v/>
      </c>
      <c r="E162" s="42">
        <f>-E21</f>
        <v/>
      </c>
      <c r="F162" s="42">
        <f>-ROUND(F22*F157,0)</f>
        <v/>
      </c>
      <c r="G162" s="184" t="n"/>
      <c r="H162" s="184" t="n"/>
    </row>
    <row r="163">
      <c r="A163" s="41" t="inlineStr">
        <is>
          <t>Cash &amp; equivalents – year 1</t>
        </is>
      </c>
      <c r="B163" s="184" t="n"/>
      <c r="C163" s="184" t="n"/>
      <c r="D163" s="42">
        <f>1807202+D153+D158</f>
        <v/>
      </c>
      <c r="E163" s="42">
        <f>1807202+E153+E158</f>
        <v/>
      </c>
      <c r="F163" s="42">
        <f>1807202+F153+F158</f>
        <v/>
      </c>
      <c r="G163" s="184" t="n"/>
      <c r="H163" s="184" t="n"/>
    </row>
    <row r="164">
      <c r="A164" s="41" t="inlineStr">
        <is>
          <t>Cash &amp; equivalents – year 2</t>
        </is>
      </c>
      <c r="B164" s="184" t="n"/>
      <c r="C164" s="184" t="n"/>
      <c r="D164" s="42">
        <f>D163+D154+D159</f>
        <v/>
      </c>
      <c r="E164" s="42">
        <f>E163+E154+E159</f>
        <v/>
      </c>
      <c r="F164" s="42">
        <f>F163+F154+F159</f>
        <v/>
      </c>
      <c r="G164" s="184" t="n"/>
      <c r="H164" s="184" t="n"/>
    </row>
    <row r="165">
      <c r="A165" s="41" t="inlineStr">
        <is>
          <t>Cash &amp; equivalents – year 3</t>
        </is>
      </c>
      <c r="B165" s="184" t="n"/>
      <c r="C165" s="184" t="n"/>
      <c r="D165" s="42">
        <f>D164+D155+D160</f>
        <v/>
      </c>
      <c r="E165" s="42">
        <f>E164+E155+E160</f>
        <v/>
      </c>
      <c r="F165" s="42">
        <f>F164+F155+F160</f>
        <v/>
      </c>
      <c r="G165" s="184" t="n"/>
      <c r="H165" s="184" t="n"/>
    </row>
    <row r="166">
      <c r="A166" s="41" t="inlineStr">
        <is>
          <t>Cash &amp; equivalents – year 4</t>
        </is>
      </c>
      <c r="B166" s="184" t="n"/>
      <c r="C166" s="184" t="n"/>
      <c r="D166" s="42">
        <f>D165+D156+D161</f>
        <v/>
      </c>
      <c r="E166" s="42">
        <f>E165+E156+E161</f>
        <v/>
      </c>
      <c r="F166" s="42">
        <f>F165+F156+F161</f>
        <v/>
      </c>
      <c r="G166" s="184" t="n"/>
      <c r="H166" s="184" t="n"/>
    </row>
    <row r="167">
      <c r="A167" s="41" t="inlineStr">
        <is>
          <t>Cash &amp; equivalents – year 5</t>
        </is>
      </c>
      <c r="B167" s="184" t="n"/>
      <c r="C167" s="184" t="n"/>
      <c r="D167" s="42">
        <f>D166+D157+D162</f>
        <v/>
      </c>
      <c r="E167" s="42">
        <f>E166+E157+E162</f>
        <v/>
      </c>
      <c r="F167" s="42">
        <f>F166+F157+F162</f>
        <v/>
      </c>
      <c r="G167" s="184" t="n"/>
      <c r="H167" s="184" t="n"/>
    </row>
    <row r="168">
      <c r="A168" s="41" t="inlineStr">
        <is>
          <t>Total assets – year 1</t>
        </is>
      </c>
      <c r="B168" s="184" t="n"/>
      <c r="C168" s="184" t="n"/>
      <c r="D168" s="42">
        <f>8456743*D25/DCF!$B$6</f>
        <v/>
      </c>
      <c r="E168" s="42">
        <f>8456743*E25/DCF!$B$6</f>
        <v/>
      </c>
      <c r="F168" s="42">
        <f>8456743*F25/DCF!$B$6</f>
        <v/>
      </c>
      <c r="G168" s="184" t="n"/>
      <c r="H168" s="184" t="n"/>
    </row>
    <row r="169">
      <c r="A169" s="41" t="inlineStr">
        <is>
          <t>Total assets – year 2</t>
        </is>
      </c>
      <c r="B169" s="184" t="n"/>
      <c r="C169" s="184" t="n"/>
      <c r="D169" s="42">
        <f>8456743*D26/DCF!$B$6</f>
        <v/>
      </c>
      <c r="E169" s="42">
        <f>8456743*E26/DCF!$B$6</f>
        <v/>
      </c>
      <c r="F169" s="42">
        <f>8456743*F26/DCF!$B$6</f>
        <v/>
      </c>
      <c r="G169" s="184" t="n"/>
      <c r="H169" s="184" t="n"/>
    </row>
    <row r="170">
      <c r="A170" s="41" t="inlineStr">
        <is>
          <t>Total assets – year 3</t>
        </is>
      </c>
      <c r="B170" s="184" t="n"/>
      <c r="C170" s="184" t="n"/>
      <c r="D170" s="42">
        <f>8456743*D27/DCF!$B$6</f>
        <v/>
      </c>
      <c r="E170" s="42">
        <f>8456743*E27/DCF!$B$6</f>
        <v/>
      </c>
      <c r="F170" s="42">
        <f>8456743*F27/DCF!$B$6</f>
        <v/>
      </c>
      <c r="G170" s="184" t="n"/>
      <c r="H170" s="184" t="n"/>
    </row>
    <row r="171">
      <c r="A171" s="41" t="inlineStr">
        <is>
          <t>Total assets – year 4</t>
        </is>
      </c>
      <c r="B171" s="184" t="n"/>
      <c r="C171" s="184" t="n"/>
      <c r="D171" s="42">
        <f>8456743*D28/DCF!$B$6</f>
        <v/>
      </c>
      <c r="E171" s="42">
        <f>8456743*E28/DCF!$B$6</f>
        <v/>
      </c>
      <c r="F171" s="42">
        <f>8456743*F28/DCF!$B$6</f>
        <v/>
      </c>
      <c r="G171" s="184" t="n"/>
      <c r="H171" s="184" t="n"/>
    </row>
    <row r="172">
      <c r="A172" s="41" t="inlineStr">
        <is>
          <t>Total assets – year 5</t>
        </is>
      </c>
      <c r="B172" s="184" t="n"/>
      <c r="C172" s="184" t="n"/>
      <c r="D172" s="42">
        <f>8456743*D29/DCF!$B$6</f>
        <v/>
      </c>
      <c r="E172" s="42">
        <f>8456743*E29/DCF!$B$6</f>
        <v/>
      </c>
      <c r="F172" s="42">
        <f>8456743*F29/DCF!$B$6</f>
        <v/>
      </c>
      <c r="G172" s="184" t="n"/>
      <c r="H172" s="184" t="n"/>
    </row>
    <row r="173">
      <c r="A173" s="41" t="inlineStr">
        <is>
          <t>Total liabilities – year 1</t>
        </is>
      </c>
      <c r="B173" s="184" t="n"/>
      <c r="C173" s="184" t="n"/>
      <c r="D173" s="42">
        <f>3494903*D25/DCF!$B$6</f>
        <v/>
      </c>
      <c r="E173" s="42">
        <f>3494903*E25/DCF!$B$6</f>
        <v/>
      </c>
      <c r="F173" s="42">
        <f>3494903*F25/DCF!$B$6</f>
        <v/>
      </c>
      <c r="G173" s="184" t="n"/>
      <c r="H173" s="184" t="n"/>
    </row>
    <row r="174">
      <c r="A174" s="41" t="inlineStr">
        <is>
          <t>Total liabilities – year 2</t>
        </is>
      </c>
      <c r="B174" s="184" t="n"/>
      <c r="C174" s="184" t="n"/>
      <c r="D174" s="42">
        <f>3494903*D26/DCF!$B$6</f>
        <v/>
      </c>
      <c r="E174" s="42">
        <f>3494903*E26/DCF!$B$6</f>
        <v/>
      </c>
      <c r="F174" s="42">
        <f>3494903*F26/DCF!$B$6</f>
        <v/>
      </c>
      <c r="G174" s="184" t="n"/>
      <c r="H174" s="184" t="n"/>
    </row>
    <row r="175">
      <c r="A175" s="41" t="inlineStr">
        <is>
          <t>Total liabilities – year 3</t>
        </is>
      </c>
      <c r="B175" s="184" t="n"/>
      <c r="C175" s="184" t="n"/>
      <c r="D175" s="42">
        <f>3494903*D27/DCF!$B$6</f>
        <v/>
      </c>
      <c r="E175" s="42">
        <f>3494903*E27/DCF!$B$6</f>
        <v/>
      </c>
      <c r="F175" s="42">
        <f>3494903*F27/DCF!$B$6</f>
        <v/>
      </c>
      <c r="G175" s="184" t="n"/>
      <c r="H175" s="184" t="n"/>
    </row>
    <row r="176">
      <c r="A176" s="41" t="inlineStr">
        <is>
          <t>Total liabilities – year 4</t>
        </is>
      </c>
      <c r="B176" s="184" t="n"/>
      <c r="C176" s="184" t="n"/>
      <c r="D176" s="42">
        <f>3494903*D28/DCF!$B$6</f>
        <v/>
      </c>
      <c r="E176" s="42">
        <f>3494903*E28/DCF!$B$6</f>
        <v/>
      </c>
      <c r="F176" s="42">
        <f>3494903*F28/DCF!$B$6</f>
        <v/>
      </c>
      <c r="G176" s="184" t="n"/>
      <c r="H176" s="184" t="n"/>
    </row>
    <row r="177">
      <c r="A177" s="41" t="inlineStr">
        <is>
          <t>Total liabilities – year 5</t>
        </is>
      </c>
      <c r="B177" s="184" t="n"/>
      <c r="C177" s="184" t="n"/>
      <c r="D177" s="42">
        <f>3494903*D29/DCF!$B$6</f>
        <v/>
      </c>
      <c r="E177" s="42">
        <f>3494903*E29/DCF!$B$6</f>
        <v/>
      </c>
      <c r="F177" s="42">
        <f>3494903*F29/DCF!$B$6</f>
        <v/>
      </c>
      <c r="G177" s="184" t="n"/>
      <c r="H177" s="184" t="n"/>
    </row>
    <row r="178">
      <c r="A178" s="41" t="inlineStr">
        <is>
          <t>Total equity – year 1</t>
        </is>
      </c>
      <c r="B178" s="184" t="n"/>
      <c r="C178" s="184" t="n"/>
      <c r="D178" s="42">
        <f>4961840*D25/DCF!$B$6</f>
        <v/>
      </c>
      <c r="E178" s="42">
        <f>4961840*E25/DCF!$B$6</f>
        <v/>
      </c>
      <c r="F178" s="42">
        <f>4961840*F25/DCF!$B$6</f>
        <v/>
      </c>
      <c r="G178" s="184" t="n"/>
      <c r="H178" s="184" t="n"/>
    </row>
    <row r="179">
      <c r="A179" s="41" t="inlineStr">
        <is>
          <t>Total equity – year 2</t>
        </is>
      </c>
      <c r="B179" s="184" t="n"/>
      <c r="C179" s="184" t="n"/>
      <c r="D179" s="42">
        <f>4961840*D26/DCF!$B$6</f>
        <v/>
      </c>
      <c r="E179" s="42">
        <f>4961840*E26/DCF!$B$6</f>
        <v/>
      </c>
      <c r="F179" s="42">
        <f>4961840*F26/DCF!$B$6</f>
        <v/>
      </c>
      <c r="G179" s="184" t="n"/>
      <c r="H179" s="184" t="n"/>
    </row>
    <row r="180">
      <c r="A180" s="41" t="inlineStr">
        <is>
          <t>Total equity – year 3</t>
        </is>
      </c>
      <c r="B180" s="184" t="n"/>
      <c r="C180" s="184" t="n"/>
      <c r="D180" s="42">
        <f>4961840*D27/DCF!$B$6</f>
        <v/>
      </c>
      <c r="E180" s="42">
        <f>4961840*E27/DCF!$B$6</f>
        <v/>
      </c>
      <c r="F180" s="42">
        <f>4961840*F27/DCF!$B$6</f>
        <v/>
      </c>
      <c r="G180" s="184" t="n"/>
      <c r="H180" s="184" t="n"/>
    </row>
    <row r="181">
      <c r="A181" s="41" t="inlineStr">
        <is>
          <t>Total equity – year 4</t>
        </is>
      </c>
      <c r="B181" s="184" t="n"/>
      <c r="C181" s="184" t="n"/>
      <c r="D181" s="42">
        <f>4961840*D28/DCF!$B$6</f>
        <v/>
      </c>
      <c r="E181" s="42">
        <f>4961840*E28/DCF!$B$6</f>
        <v/>
      </c>
      <c r="F181" s="42">
        <f>4961840*F28/DCF!$B$6</f>
        <v/>
      </c>
      <c r="G181" s="184" t="n"/>
      <c r="H181" s="184" t="n"/>
    </row>
    <row r="182">
      <c r="A182" s="41" t="inlineStr">
        <is>
          <t>Total equity – year 5</t>
        </is>
      </c>
      <c r="B182" s="184" t="n"/>
      <c r="C182" s="184" t="n"/>
      <c r="D182" s="42">
        <f>4961840*D29/DCF!$B$6</f>
        <v/>
      </c>
      <c r="E182" s="42">
        <f>4961840*E29/DCF!$B$6</f>
        <v/>
      </c>
      <c r="F182" s="42">
        <f>4961840*F29/DCF!$B$6</f>
        <v/>
      </c>
      <c r="G182" s="184" t="n"/>
      <c r="H182" s="184" t="n"/>
    </row>
    <row r="183">
      <c r="A183" s="41" t="inlineStr">
        <is>
          <t>Diluted shares (000) – year 1</t>
        </is>
      </c>
      <c r="B183" s="184" t="n"/>
      <c r="C183" s="184" t="n"/>
      <c r="D183" s="133">
        <f>$B$197-ROUND(D22*D153,0)/$B$198</f>
        <v/>
      </c>
      <c r="E183" s="42">
        <f>119068-E21/100</f>
        <v/>
      </c>
      <c r="F183" s="42">
        <f>119068-ROUND(F22*F153,0)/100</f>
        <v/>
      </c>
      <c r="G183" s="184" t="n"/>
      <c r="H183" s="184" t="n"/>
    </row>
    <row r="184">
      <c r="A184" s="41" t="inlineStr">
        <is>
          <t>Diluted shares (000) – year 2</t>
        </is>
      </c>
      <c r="B184" s="184" t="n"/>
      <c r="C184" s="184" t="n"/>
      <c r="D184" s="133">
        <f>D183-ROUND(D22*D154,0)/$B$199</f>
        <v/>
      </c>
      <c r="E184" s="42">
        <f>E183-E21/108</f>
        <v/>
      </c>
      <c r="F184" s="42">
        <f>F183-ROUND(F22*F154,0)/108</f>
        <v/>
      </c>
      <c r="G184" s="184" t="n"/>
      <c r="H184" s="184" t="n"/>
    </row>
    <row r="185">
      <c r="A185" s="41" t="inlineStr">
        <is>
          <t>Diluted shares (000) – year 3</t>
        </is>
      </c>
      <c r="B185" s="184" t="n"/>
      <c r="C185" s="184" t="n"/>
      <c r="D185" s="133">
        <f>D184-ROUND(D22*D155,0)/$B$200</f>
        <v/>
      </c>
      <c r="E185" s="42">
        <f>E184-E21/115</f>
        <v/>
      </c>
      <c r="F185" s="42">
        <f>F184-ROUND(F22*F155,0)/115</f>
        <v/>
      </c>
      <c r="G185" s="184" t="n"/>
      <c r="H185" s="184" t="n"/>
    </row>
    <row r="186">
      <c r="A186" s="41" t="inlineStr">
        <is>
          <t>Diluted shares (000) – year 4</t>
        </is>
      </c>
      <c r="B186" s="184" t="n"/>
      <c r="C186" s="184" t="n"/>
      <c r="D186" s="133">
        <f>D185-ROUND(D22*D156,0)/$B$201</f>
        <v/>
      </c>
      <c r="E186" s="42">
        <f>E185-E21/122</f>
        <v/>
      </c>
      <c r="F186" s="42">
        <f>F185-ROUND(F22*F156,0)/122</f>
        <v/>
      </c>
      <c r="G186" s="184" t="n"/>
      <c r="H186" s="184" t="n"/>
    </row>
    <row r="187">
      <c r="A187" s="41" t="inlineStr">
        <is>
          <t>Diluted shares (000) – year 5</t>
        </is>
      </c>
      <c r="B187" s="184" t="n"/>
      <c r="C187" s="184" t="n"/>
      <c r="D187" s="133">
        <f>D186-ROUND(D22*D157,0)/$B$202</f>
        <v/>
      </c>
      <c r="E187" s="42">
        <f>E186-E21/130</f>
        <v/>
      </c>
      <c r="F187" s="42">
        <f>F186-ROUND(F22*F157,0)/130</f>
        <v/>
      </c>
      <c r="G187" s="184" t="n"/>
      <c r="H187" s="184" t="n"/>
    </row>
    <row r="188">
      <c r="A188" s="41" t="inlineStr">
        <is>
          <t>Diluted EPS ($) – year 1</t>
        </is>
      </c>
      <c r="B188" s="184" t="n"/>
      <c r="C188" s="184" t="n"/>
      <c r="D188" s="49">
        <f>D143/D183</f>
        <v/>
      </c>
      <c r="E188" s="49">
        <f>E143/E183</f>
        <v/>
      </c>
      <c r="F188" s="49">
        <f>F143/F183</f>
        <v/>
      </c>
      <c r="G188" s="184" t="n"/>
      <c r="H188" s="184" t="n"/>
    </row>
    <row r="189">
      <c r="A189" s="41" t="inlineStr">
        <is>
          <t>Diluted EPS ($) – year 2</t>
        </is>
      </c>
      <c r="B189" s="184" t="n"/>
      <c r="C189" s="184" t="n"/>
      <c r="D189" s="49">
        <f>D144/D184</f>
        <v/>
      </c>
      <c r="E189" s="49">
        <f>E144/E184</f>
        <v/>
      </c>
      <c r="F189" s="49">
        <f>F144/F184</f>
        <v/>
      </c>
      <c r="G189" s="184" t="n"/>
      <c r="H189" s="184" t="n"/>
    </row>
    <row r="190">
      <c r="A190" s="41" t="inlineStr">
        <is>
          <t>Diluted EPS ($) – year 3</t>
        </is>
      </c>
      <c r="B190" s="184" t="n"/>
      <c r="C190" s="184" t="n"/>
      <c r="D190" s="49">
        <f>D145/D185</f>
        <v/>
      </c>
      <c r="E190" s="49">
        <f>E145/E185</f>
        <v/>
      </c>
      <c r="F190" s="49">
        <f>F145/F185</f>
        <v/>
      </c>
      <c r="G190" s="184" t="n"/>
      <c r="H190" s="184" t="n"/>
    </row>
    <row r="191">
      <c r="A191" s="41" t="inlineStr">
        <is>
          <t>Diluted EPS ($) – year 4</t>
        </is>
      </c>
      <c r="B191" s="184" t="n"/>
      <c r="C191" s="184" t="n"/>
      <c r="D191" s="49">
        <f>D146/D186</f>
        <v/>
      </c>
      <c r="E191" s="49">
        <f>E146/E186</f>
        <v/>
      </c>
      <c r="F191" s="49">
        <f>F146/F186</f>
        <v/>
      </c>
      <c r="G191" s="184" t="n"/>
      <c r="H191" s="184" t="n"/>
    </row>
    <row r="192">
      <c r="A192" s="41" t="inlineStr">
        <is>
          <t>Diluted EPS ($) – year 5</t>
        </is>
      </c>
      <c r="B192" s="184" t="n"/>
      <c r="C192" s="184" t="n"/>
      <c r="D192" s="49">
        <f>D147/D187</f>
        <v/>
      </c>
      <c r="E192" s="49">
        <f>E147/E187</f>
        <v/>
      </c>
      <c r="F192" s="49">
        <f>F147/F187</f>
        <v/>
      </c>
      <c r="G192" s="184" t="n"/>
      <c r="H192" s="184" t="n"/>
    </row>
    <row r="193">
      <c r="A193" s="184" t="inlineStr">
        <is>
          <t>Assumptions (FY25 anchors &amp; repurchase prices)</t>
        </is>
      </c>
      <c r="B193" s="184" t="n"/>
      <c r="C193" s="184" t="n"/>
      <c r="D193" s="184" t="n"/>
      <c r="E193" s="184" t="n"/>
      <c r="F193" s="184" t="n"/>
      <c r="G193" s="184" t="n"/>
      <c r="H193" s="184" t="n"/>
    </row>
    <row r="194">
      <c r="A194" s="184" t="n"/>
      <c r="B194" s="184" t="n"/>
      <c r="C194" s="184" t="n"/>
      <c r="D194" s="184" t="n"/>
      <c r="E194" s="184" t="n"/>
      <c r="F194" s="184" t="n"/>
      <c r="G194" s="184" t="n"/>
      <c r="H194" s="184" t="n"/>
    </row>
    <row r="195">
      <c r="A195" s="184" t="n"/>
      <c r="B195" s="184" t="n"/>
      <c r="C195" s="184" t="n"/>
      <c r="D195" s="184" t="n"/>
      <c r="E195" s="184" t="n"/>
      <c r="F195" s="184" t="n"/>
      <c r="G195" s="184" t="n"/>
      <c r="H195" s="184" t="n"/>
    </row>
    <row r="196">
      <c r="A196" s="184" t="n"/>
      <c r="B196" s="184" t="n"/>
      <c r="C196" s="184" t="n"/>
      <c r="D196" s="184" t="n"/>
      <c r="E196" s="184" t="n"/>
      <c r="F196" s="184" t="n"/>
      <c r="G196" s="184" t="n"/>
      <c r="H196" s="184" t="n"/>
    </row>
    <row r="197">
      <c r="A197" s="184" t="n"/>
      <c r="B197" s="184" t="n"/>
      <c r="C197" s="184" t="n"/>
      <c r="D197" s="184" t="n"/>
      <c r="E197" s="184" t="n"/>
      <c r="F197" s="184" t="n"/>
      <c r="G197" s="184" t="n"/>
      <c r="H197" s="184" t="n"/>
    </row>
    <row r="198">
      <c r="A198" s="184" t="inlineStr">
        <is>
          <t>Repurchase avg price Y1 ($/sh)</t>
        </is>
      </c>
      <c r="B198" s="184" t="n"/>
      <c r="C198" s="184" t="n"/>
      <c r="D198" s="184" t="n"/>
      <c r="E198" s="184" t="n"/>
      <c r="F198" s="184" t="n"/>
      <c r="G198" s="184" t="n"/>
      <c r="H198" s="184" t="n"/>
    </row>
    <row r="199">
      <c r="A199" s="184" t="inlineStr">
        <is>
          <t>Repurchase avg price Y2 ($/sh)</t>
        </is>
      </c>
      <c r="B199" s="184" t="n"/>
      <c r="C199" s="184" t="n"/>
      <c r="D199" s="184" t="n"/>
      <c r="E199" s="184" t="n"/>
      <c r="F199" s="184" t="n"/>
      <c r="G199" s="184" t="n"/>
      <c r="H199" s="184" t="n"/>
    </row>
    <row r="200">
      <c r="A200" s="184" t="inlineStr">
        <is>
          <t>Repurchase avg price Y3 ($/sh)</t>
        </is>
      </c>
      <c r="B200" s="184" t="n"/>
      <c r="C200" s="184" t="n"/>
      <c r="D200" s="184" t="n"/>
      <c r="E200" s="184" t="n"/>
      <c r="F200" s="184" t="n"/>
      <c r="G200" s="184" t="n"/>
      <c r="H200" s="184" t="n"/>
    </row>
    <row r="201">
      <c r="A201" s="184" t="inlineStr">
        <is>
          <t>Repurchase avg price Y4 ($/sh)</t>
        </is>
      </c>
      <c r="B201" s="184" t="n"/>
      <c r="C201" s="184" t="n"/>
      <c r="D201" s="184" t="n"/>
      <c r="E201" s="184" t="n"/>
      <c r="F201" s="184" t="n"/>
      <c r="G201" s="184" t="n"/>
      <c r="H201" s="184" t="n"/>
    </row>
    <row r="202">
      <c r="A202" s="184" t="inlineStr">
        <is>
          <t>Repurchase avg price Y5 ($/sh)</t>
        </is>
      </c>
      <c r="B202" s="184" t="n"/>
      <c r="C202" s="184" t="n"/>
      <c r="D202" s="184" t="n"/>
      <c r="E202" s="184" t="n"/>
      <c r="F202" s="184" t="n"/>
      <c r="G202" s="184" t="n"/>
      <c r="H202" s="184" t="n"/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applyStyles="1" summaryBelow="1" summaryRight="1" showOutlineSymbols="0"/>
    <pageSetUpPr/>
  </sheetPr>
  <dimension ref="A1:I56"/>
  <sheetViews>
    <sheetView showGridLines="0" showOutlineSymbols="0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0" customWidth="1" min="9" max="9"/>
    <col width="28" customWidth="1" min="10" max="10"/>
    <col width="16" customWidth="1" min="11" max="11"/>
    <col width="36" customWidth="1" min="12" max="12"/>
  </cols>
  <sheetData>
    <row r="1">
      <c r="A1" s="199" t="inlineStr">
        <is>
          <t>Revenue drivers (FY26–30)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</row>
    <row r="2">
      <c r="A2" s="26" t="inlineStr">
        <is>
          <t>FY2025A = historical 10-K anchors (blue). FY26–30 = red operational assumptions.</t>
        </is>
      </c>
      <c r="B2" s="184" t="n"/>
      <c r="C2" s="184" t="n"/>
      <c r="D2" s="184" t="n"/>
      <c r="E2" s="184" t="n"/>
      <c r="F2" s="184" t="n"/>
      <c r="G2" s="184" t="n"/>
      <c r="H2" s="184" t="n"/>
      <c r="I2" s="184" t="n"/>
    </row>
    <row r="3">
      <c r="A3" s="184" t="n"/>
      <c r="B3" s="184" t="n"/>
      <c r="C3" s="184" t="n"/>
      <c r="D3" s="184" t="n"/>
      <c r="E3" s="184" t="n"/>
      <c r="F3" s="184" t="n"/>
      <c r="G3" s="184" t="n"/>
      <c r="H3" s="184" t="n"/>
      <c r="I3" s="200" t="inlineStr">
        <is>
          <t>Notes</t>
        </is>
      </c>
    </row>
    <row r="4">
      <c r="A4" s="68" t="inlineStr">
        <is>
          <t>I. STORE FLEET &amp; SQUARE FOOTAGE (company-operated)</t>
        </is>
      </c>
      <c r="B4" s="184" t="n"/>
      <c r="C4" s="184" t="n"/>
      <c r="D4" s="184" t="n"/>
      <c r="E4" s="184" t="n"/>
      <c r="F4" s="184" t="n"/>
      <c r="G4" s="184" t="n"/>
      <c r="H4" s="184" t="n"/>
      <c r="I4" s="184" t="n"/>
    </row>
    <row r="5">
      <c r="A5" s="201" t="inlineStr">
        <is>
          <t>Driver</t>
        </is>
      </c>
      <c r="B5" s="202" t="inlineStr">
        <is>
          <t>FY2025A</t>
        </is>
      </c>
      <c r="C5" s="203" t="inlineStr">
        <is>
          <t>FY2026E</t>
        </is>
      </c>
      <c r="D5" s="202" t="inlineStr">
        <is>
          <t>FY2027E</t>
        </is>
      </c>
      <c r="E5" s="202" t="inlineStr">
        <is>
          <t>FY2028E</t>
        </is>
      </c>
      <c r="F5" s="202" t="inlineStr">
        <is>
          <t>FY2029E</t>
        </is>
      </c>
      <c r="G5" s="202" t="inlineStr">
        <is>
          <t>FY2030E</t>
        </is>
      </c>
      <c r="H5" s="202" t="inlineStr">
        <is>
          <t>Units</t>
        </is>
      </c>
      <c r="I5" s="134" t="inlineStr">
        <is>
          <t>Notes</t>
        </is>
      </c>
    </row>
    <row r="6" ht="28" customHeight="1">
      <c r="A6" s="41" t="inlineStr">
        <is>
          <t>Americas — beginning stores</t>
        </is>
      </c>
      <c r="B6" s="42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126" t="inlineStr">
        <is>
          <t>Beginning stores = last year's ending count. Same number, just carried forward into the new fiscal year.</t>
        </is>
      </c>
    </row>
    <row r="7" ht="28" customHeight="1">
      <c r="A7" s="41" t="inlineStr">
        <is>
          <t>Americas — openings</t>
        </is>
      </c>
      <c r="B7" s="184" t="n"/>
      <c r="C7" s="42" t="n">
        <v>8</v>
      </c>
      <c r="D7" s="42" t="n">
        <v>7</v>
      </c>
      <c r="E7" s="42" t="n">
        <v>6</v>
      </c>
      <c r="F7" s="42" t="n">
        <v>5</v>
      </c>
      <c r="G7" s="42" t="n">
        <v>4</v>
      </c>
      <c r="H7" s="58" t="inlineStr">
        <is>
          <t>stores</t>
        </is>
      </c>
      <c r="I7" s="126" t="inlineStr">
        <is>
          <t>Store openings skew to China (+20 FY26) vs mature Americas (+8). Anchored to FY25 +44 net stores and 11% sq-ft growth.</t>
        </is>
      </c>
    </row>
    <row r="8" ht="28" customHeight="1">
      <c r="A8" s="41" t="inlineStr">
        <is>
          <t>Americas — closures</t>
        </is>
      </c>
      <c r="B8" s="184" t="n"/>
      <c r="C8" s="42" t="n">
        <v>3</v>
      </c>
      <c r="D8" s="42" t="n">
        <v>3</v>
      </c>
      <c r="E8" s="42" t="n">
        <v>2</v>
      </c>
      <c r="F8" s="42" t="n">
        <v>2</v>
      </c>
      <c r="G8" s="42" t="n">
        <v>2</v>
      </c>
      <c r="H8" s="58" t="inlineStr">
        <is>
          <t>stores</t>
        </is>
      </c>
      <c r="I8" s="126" t="inlineStr">
        <is>
          <t>Closures assume 2–3 per mature region annually as leases roll; immaterial vs openings in expansion markets.</t>
        </is>
      </c>
    </row>
    <row r="9" ht="28" customHeight="1">
      <c r="A9" s="61" t="inlineStr">
        <is>
          <t>Americas — ending stores</t>
        </is>
      </c>
      <c r="B9" s="42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126" t="inlineStr">
        <is>
          <t>Simple roll-forward: where you started, plus openings, minus closures. That's your ending store count for the year.</t>
        </is>
      </c>
    </row>
    <row r="10" ht="28" customHeight="1">
      <c r="A10" s="41" t="inlineStr">
        <is>
          <t>China Mainland — beginning stores</t>
        </is>
      </c>
      <c r="B10" s="42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126" t="inlineStr">
        <is>
          <t>Beginning stores = last year's ending count. Same number, just carried forward into the new fiscal year.</t>
        </is>
      </c>
    </row>
    <row r="11" ht="28" customHeight="1">
      <c r="A11" s="41" t="inlineStr">
        <is>
          <t>China Mainland — openings</t>
        </is>
      </c>
      <c r="B11" s="184" t="n"/>
      <c r="C11" s="42" t="n">
        <v>20</v>
      </c>
      <c r="D11" s="42" t="n">
        <v>18</v>
      </c>
      <c r="E11" s="42" t="n">
        <v>16</v>
      </c>
      <c r="F11" s="42" t="n">
        <v>14</v>
      </c>
      <c r="G11" s="42" t="n">
        <v>12</v>
      </c>
      <c r="H11" s="58" t="inlineStr">
        <is>
          <t>stores</t>
        </is>
      </c>
      <c r="I11" s="126" t="inlineStr">
        <is>
          <t>Store openings skew to China (+20 FY26) vs mature Americas (+8). Anchored to FY25 +44 net stores and 11% sq-ft growth.</t>
        </is>
      </c>
    </row>
    <row r="12" ht="28" customHeight="1">
      <c r="A12" s="41" t="inlineStr">
        <is>
          <t>China Mainland — closures</t>
        </is>
      </c>
      <c r="B12" s="184" t="n"/>
      <c r="C12" s="42" t="n">
        <v>1</v>
      </c>
      <c r="D12" s="42" t="n">
        <v>1</v>
      </c>
      <c r="E12" s="42" t="n">
        <v>1</v>
      </c>
      <c r="F12" s="42" t="n">
        <v>1</v>
      </c>
      <c r="G12" s="42" t="n">
        <v>1</v>
      </c>
      <c r="H12" s="58" t="inlineStr">
        <is>
          <t>stores</t>
        </is>
      </c>
      <c r="I12" s="126" t="inlineStr">
        <is>
          <t>Closures assume 2–3 per mature region annually as leases roll; immaterial vs openings in expansion markets.</t>
        </is>
      </c>
    </row>
    <row r="13" ht="28" customHeight="1">
      <c r="A13" s="61" t="inlineStr">
        <is>
          <t>China Mainland — ending stores</t>
        </is>
      </c>
      <c r="B13" s="42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126" t="inlineStr">
        <is>
          <t>Simple roll-forward: where you started, plus openings, minus closures. That's your ending store count for the year.</t>
        </is>
      </c>
    </row>
    <row r="14" ht="28" customHeight="1">
      <c r="A14" s="41" t="inlineStr">
        <is>
          <t>Rest of World — beginning stores</t>
        </is>
      </c>
      <c r="B14" s="42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126" t="inlineStr">
        <is>
          <t>Beginning stores = last year's ending count. Same number, just carried forward into the new fiscal year.</t>
        </is>
      </c>
    </row>
    <row r="15" ht="28" customHeight="1">
      <c r="A15" s="41" t="inlineStr">
        <is>
          <t>Rest of World — openings</t>
        </is>
      </c>
      <c r="B15" s="184" t="n"/>
      <c r="C15" s="42" t="n">
        <v>7</v>
      </c>
      <c r="D15" s="42" t="n">
        <v>6</v>
      </c>
      <c r="E15" s="42" t="n">
        <v>5</v>
      </c>
      <c r="F15" s="42" t="n">
        <v>5</v>
      </c>
      <c r="G15" s="42" t="n">
        <v>4</v>
      </c>
      <c r="H15" s="58" t="inlineStr">
        <is>
          <t>stores</t>
        </is>
      </c>
      <c r="I15" s="126" t="inlineStr">
        <is>
          <t>Store openings skew to China (+20 FY26) vs mature Americas (+8). Anchored to FY25 +44 net stores and 11% sq-ft growth.</t>
        </is>
      </c>
    </row>
    <row r="16" ht="28" customHeight="1">
      <c r="A16" s="41" t="inlineStr">
        <is>
          <t>Rest of World — closures</t>
        </is>
      </c>
      <c r="B16" s="184" t="n"/>
      <c r="C16" s="42" t="n">
        <v>2</v>
      </c>
      <c r="D16" s="42" t="n">
        <v>2</v>
      </c>
      <c r="E16" s="42" t="n">
        <v>2</v>
      </c>
      <c r="F16" s="42" t="n">
        <v>2</v>
      </c>
      <c r="G16" s="42" t="n">
        <v>2</v>
      </c>
      <c r="H16" s="58" t="inlineStr">
        <is>
          <t>stores</t>
        </is>
      </c>
      <c r="I16" s="126" t="inlineStr">
        <is>
          <t>Closures assume 2–3 per mature region annually as leases roll; immaterial vs openings in expansion markets.</t>
        </is>
      </c>
    </row>
    <row r="17" ht="28" customHeight="1">
      <c r="A17" s="61" t="inlineStr">
        <is>
          <t>Rest of World — ending stores</t>
        </is>
      </c>
      <c r="B17" s="42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126" t="inlineStr">
        <is>
          <t>Simple roll-forward: where you started, plus openings, minus closures. That's your ending store count for the year.</t>
        </is>
      </c>
    </row>
    <row r="18" ht="28" customHeight="1">
      <c r="A18" s="61" t="inlineStr">
        <is>
          <t>Total ending stores</t>
        </is>
      </c>
      <c r="B18" s="204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H18" s="184" t="n"/>
      <c r="I18" s="126" t="inlineStr">
        <is>
          <t>Add up Americas + China + RoW ending stores. Should tie to the 10-K total company-operated count.</t>
        </is>
      </c>
    </row>
    <row r="19" ht="28" customHeight="1">
      <c r="A19" s="41" t="inlineStr">
        <is>
          <t>Avg square feet per store</t>
        </is>
      </c>
      <c r="B19" s="133" t="n">
        <v>4366</v>
      </c>
      <c r="C19" s="133" t="n">
        <v>4400</v>
      </c>
      <c r="D19" s="133" t="n">
        <v>4425</v>
      </c>
      <c r="E19" s="133" t="n">
        <v>4450</v>
      </c>
      <c r="F19" s="133" t="n">
        <v>4475</v>
      </c>
      <c r="G19" s="133" t="n">
        <v>4500</v>
      </c>
      <c r="H19" s="58" t="inlineStr">
        <is>
          <t>sq ft</t>
        </is>
      </c>
      <c r="I19" s="126" t="inlineStr">
        <is>
          <t>4,367 avg sq ft/store = implied FY25 total sq ft / 811 stores. Modest expansion to 4,500 by FY30.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126" t="inlineStr">
        <is>
          <t>Ending stores times avg sq ft per box. Gives you total fleet square footage for the productivity math.</t>
        </is>
      </c>
    </row>
    <row r="21">
      <c r="A21" s="184" t="n"/>
      <c r="B21" s="184" t="n"/>
      <c r="C21" s="184" t="n"/>
      <c r="D21" s="184" t="n"/>
      <c r="E21" s="184" t="n"/>
      <c r="F21" s="184" t="n"/>
      <c r="G21" s="184" t="n"/>
      <c r="H21" s="184" t="n"/>
      <c r="I21" s="184" t="n"/>
    </row>
    <row r="22">
      <c r="A22" s="68" t="inlineStr">
        <is>
          <t>II. STORE PRODUCTIVITY (brick &amp; mortar channel)</t>
        </is>
      </c>
      <c r="B22" s="184" t="n"/>
      <c r="C22" s="184" t="n"/>
      <c r="D22" s="184" t="n"/>
      <c r="E22" s="184" t="n"/>
      <c r="F22" s="184" t="n"/>
      <c r="G22" s="184" t="n"/>
      <c r="H22" s="184" t="n"/>
      <c r="I22" s="184" t="n"/>
    </row>
    <row r="23">
      <c r="A23" s="201" t="inlineStr">
        <is>
          <t>Driver</t>
        </is>
      </c>
      <c r="B23" s="202" t="inlineStr">
        <is>
          <t>FY2025A</t>
        </is>
      </c>
      <c r="C23" s="203" t="inlineStr">
        <is>
          <t>FY2026E</t>
        </is>
      </c>
      <c r="D23" s="202" t="inlineStr">
        <is>
          <t>FY2027E</t>
        </is>
      </c>
      <c r="E23" s="202" t="inlineStr">
        <is>
          <t>FY2028E</t>
        </is>
      </c>
      <c r="F23" s="202" t="inlineStr">
        <is>
          <t>FY2029E</t>
        </is>
      </c>
      <c r="G23" s="202" t="inlineStr">
        <is>
          <t>FY2030E</t>
        </is>
      </c>
      <c r="H23" s="202" t="inlineStr">
        <is>
          <t>Units</t>
        </is>
      </c>
      <c r="I23" s="134" t="inlineStr">
        <is>
          <t>Notes</t>
        </is>
      </c>
    </row>
    <row r="24" ht="28" customHeight="1">
      <c r="A24" s="41" t="inlineStr">
        <is>
          <t>Sales per square foot ($)</t>
        </is>
      </c>
      <c r="B24" s="133" t="n">
        <v>1426</v>
      </c>
      <c r="C24" s="133" t="n">
        <v>1360</v>
      </c>
      <c r="D24" s="133" t="n">
        <v>1380</v>
      </c>
      <c r="E24" s="133" t="n">
        <v>1400</v>
      </c>
      <c r="F24" s="133" t="n">
        <v>1420</v>
      </c>
      <c r="G24" s="133" t="n">
        <v>1440</v>
      </c>
      <c r="H24" s="58" t="inlineStr">
        <is>
          <t>$/sq ft</t>
        </is>
      </c>
      <c r="I24" s="126" t="inlineStr">
        <is>
          <t>FY26 SPSF $1,380 reflects Americas traffic/conversion pressure; recovers toward $1,440 by FY30.</t>
        </is>
      </c>
    </row>
    <row r="25" ht="28" customHeight="1">
      <c r="A25" s="41" t="inlineStr">
        <is>
          <t>Americas — comparable sales growth</t>
        </is>
      </c>
      <c r="B25" s="43" t="n">
        <v>-0.03</v>
      </c>
      <c r="C25" s="43" t="n">
        <v>-0.04</v>
      </c>
      <c r="D25" s="43" t="n">
        <v>0</v>
      </c>
      <c r="E25" s="43" t="n">
        <v>0.01</v>
      </c>
      <c r="F25" s="43" t="n">
        <v>0.02</v>
      </c>
      <c r="G25" s="43" t="n">
        <v>0.02</v>
      </c>
      <c r="H25" s="58" t="inlineStr">
        <is>
          <t>%</t>
        </is>
      </c>
      <c r="I25" s="126" t="inlineStr">
        <is>
          <t>FY25 Americas comp −3% per 10-K (traffic, conversion, AOV down). FY26 −4%: modest step-down before flat FY27 as promo clears.</t>
        </is>
      </c>
    </row>
    <row r="26" ht="28" customHeight="1">
      <c r="A26" s="41" t="inlineStr">
        <is>
          <t>China Mainland — comparable sales growth</t>
        </is>
      </c>
      <c r="B26" s="43" t="n">
        <v>0.2</v>
      </c>
      <c r="C26" s="43" t="n">
        <v>0.14</v>
      </c>
      <c r="D26" s="43" t="n">
        <v>0.12</v>
      </c>
      <c r="E26" s="43" t="n">
        <v>0.1</v>
      </c>
      <c r="F26" s="43" t="n">
        <v>0.08</v>
      </c>
      <c r="G26" s="43" t="n">
        <v>0.07000000000000001</v>
      </c>
      <c r="H26" s="58" t="inlineStr">
        <is>
          <t>%</t>
        </is>
      </c>
      <c r="I26" s="126" t="inlineStr">
        <is>
          <t>FY25 China comp +20% (+19% CCY) per 10-K. FY26 +14%: still fastest region but moderating as the store base scales.</t>
        </is>
      </c>
    </row>
    <row r="27" ht="28" customHeight="1">
      <c r="A27" s="41" t="inlineStr">
        <is>
          <t>Rest of World — comparable sales growth</t>
        </is>
      </c>
      <c r="B27" s="43" t="n">
        <v>0.09</v>
      </c>
      <c r="C27" s="43" t="n">
        <v>0.07000000000000001</v>
      </c>
      <c r="D27" s="43" t="n">
        <v>0.06</v>
      </c>
      <c r="E27" s="43" t="n">
        <v>0.05</v>
      </c>
      <c r="F27" s="43" t="n">
        <v>0.04</v>
      </c>
      <c r="G27" s="43" t="n">
        <v>0.04</v>
      </c>
      <c r="H27" s="58" t="inlineStr">
        <is>
          <t>%</t>
        </is>
      </c>
      <c r="I27" s="126" t="inlineStr">
        <is>
          <t>FY25 RoW comp +9% (+7% CCY) per 10-K. FY26 +7%: hold above CCY, fade to +4% by FY30 as APAC/Europe base matures.</t>
        </is>
      </c>
    </row>
    <row r="28" ht="28" customHeight="1">
      <c r="A28" s="41" t="inlineStr">
        <is>
          <t>Prior-year store channel revenue ($000)</t>
        </is>
      </c>
      <c r="B28" s="20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126" t="inlineStr">
        <is>
          <t>Last year's total store-channel revenue; the base you're growing comps off of, not the new boxes.</t>
        </is>
      </c>
    </row>
    <row r="29" ht="28" customHeight="1">
      <c r="A29" s="41" t="inlineStr">
        <is>
          <t>Comparable store revenue ($000)</t>
        </is>
      </c>
      <c r="B29" s="42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H29" s="184" t="n"/>
      <c r="I29" s="126" t="inlineStr">
        <is>
          <t>Existing-store sales only; prior store rev grown by geo comp %. New doors are a separate line, not in here.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H30" s="184" t="n"/>
      <c r="I30" s="126" t="inlineStr">
        <is>
          <t>Net new doors × sq ft × $/sq ft is plain dollars. /1000 to $000 on this tab. ×0.55 'cause year-one stores don't run full.</t>
        </is>
      </c>
    </row>
    <row r="31" ht="28" customHeight="1">
      <c r="A31" s="61" t="inlineStr">
        <is>
          <t>Store channel revenue ($000)</t>
        </is>
      </c>
      <c r="B31" s="204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H31" s="184" t="n"/>
      <c r="I31" s="126" t="inlineStr">
        <is>
          <t>Brick-and-mortar channel = comp store sales plus whatever the net new stores contributed. That's the whole store line.</t>
        </is>
      </c>
    </row>
    <row r="32" ht="28" customHeight="1">
      <c r="A32" s="184" t="n"/>
      <c r="B32" s="184" t="n"/>
      <c r="C32" s="184" t="n"/>
      <c r="D32" s="184" t="n"/>
      <c r="E32" s="184" t="n"/>
      <c r="F32" s="184" t="n"/>
      <c r="G32" s="184" t="n"/>
      <c r="H32" s="184" t="n"/>
      <c r="I32" s="184" t="n"/>
    </row>
    <row r="33" ht="28" customHeight="1">
      <c r="A33" s="68" t="inlineStr">
        <is>
          <t>III. DIRECT-TO-CONSUMER (e-commerce / digital)</t>
        </is>
      </c>
      <c r="B33" s="184" t="n"/>
      <c r="C33" s="184" t="n"/>
      <c r="D33" s="184" t="n"/>
      <c r="E33" s="184" t="n"/>
      <c r="F33" s="184" t="n"/>
      <c r="G33" s="184" t="n"/>
      <c r="H33" s="184" t="n"/>
      <c r="I33" s="184" t="n"/>
    </row>
    <row r="34" ht="28" customHeight="1">
      <c r="A34" s="201" t="inlineStr">
        <is>
          <t>Driver</t>
        </is>
      </c>
      <c r="B34" s="202" t="inlineStr">
        <is>
          <t>FY2025A</t>
        </is>
      </c>
      <c r="C34" s="203" t="inlineStr">
        <is>
          <t>FY2026E</t>
        </is>
      </c>
      <c r="D34" s="202" t="inlineStr">
        <is>
          <t>FY2027E</t>
        </is>
      </c>
      <c r="E34" s="202" t="inlineStr">
        <is>
          <t>FY2028E</t>
        </is>
      </c>
      <c r="F34" s="202" t="inlineStr">
        <is>
          <t>FY2029E</t>
        </is>
      </c>
      <c r="G34" s="202" t="inlineStr">
        <is>
          <t>FY2030E</t>
        </is>
      </c>
      <c r="H34" s="202" t="inlineStr">
        <is>
          <t>Units</t>
        </is>
      </c>
      <c r="I34" s="206" t="inlineStr">
        <is>
          <t>Notes</t>
        </is>
      </c>
    </row>
    <row r="35">
      <c r="A35" s="41" t="inlineStr">
        <is>
          <t>Unique digital sessions (millions)</t>
        </is>
      </c>
      <c r="B35" s="42" t="n">
        <v>485</v>
      </c>
      <c r="C35" s="42" t="n">
        <v>485</v>
      </c>
      <c r="D35" s="42" t="n">
        <v>505</v>
      </c>
      <c r="E35" s="42" t="n">
        <v>525</v>
      </c>
      <c r="F35" s="42" t="n">
        <v>545</v>
      </c>
      <c r="G35" s="42" t="n">
        <v>560</v>
      </c>
      <c r="H35" s="58" t="inlineStr">
        <is>
          <t>M</t>
        </is>
      </c>
      <c r="I35" s="126" t="inlineStr">
        <is>
          <t>485M FY25 sessions implied from reported e-comm revenue / conv / AOV. FY26 −3% on Americas softness.</t>
        </is>
      </c>
    </row>
    <row r="36">
      <c r="A36" s="41" t="inlineStr">
        <is>
          <t>Digital conversion rate</t>
        </is>
      </c>
      <c r="B36" s="43" t="n">
        <v>0.033</v>
      </c>
      <c r="C36" s="43" t="n">
        <v>0.033</v>
      </c>
      <c r="D36" s="43" t="n">
        <v>0.034</v>
      </c>
      <c r="E36" s="43" t="n">
        <v>0.035</v>
      </c>
      <c r="F36" s="43" t="n">
        <v>0.035</v>
      </c>
      <c r="G36" s="43" t="n">
        <v>0.036</v>
      </c>
      <c r="H36" s="184" t="n"/>
      <c r="I36" s="126" t="inlineStr">
        <is>
          <t>3.3% FY26 digital conversion vs 3.5% pressure cited in 10-K Americas; gradual recovery to 3.6%.</t>
        </is>
      </c>
    </row>
    <row r="37">
      <c r="A37" s="41" t="inlineStr">
        <is>
          <t>Digital average order value ($)</t>
        </is>
      </c>
      <c r="B37" s="49" t="n">
        <v>307</v>
      </c>
      <c r="C37" s="49" t="n">
        <v>305</v>
      </c>
      <c r="D37" s="49" t="n">
        <v>308</v>
      </c>
      <c r="E37" s="49" t="n">
        <v>310</v>
      </c>
      <c r="F37" s="49" t="n">
        <v>312</v>
      </c>
      <c r="G37" s="49" t="n">
        <v>315</v>
      </c>
      <c r="H37" s="184" t="n"/>
      <c r="I37" s="139" t="inlineStr">
        <is>
          <t>Notes</t>
        </is>
      </c>
    </row>
    <row r="38" ht="28" customHeight="1">
      <c r="A38" s="61" t="inlineStr">
        <is>
          <t>E-commerce revenue ($000)</t>
        </is>
      </c>
      <c r="B38" s="204" t="n">
        <v>4918697</v>
      </c>
      <c r="C38" s="62">
        <f>C38*1000000*C39*C40/1000</f>
        <v/>
      </c>
      <c r="D38" s="62">
        <f>D38*1000000*D39*D40/1000</f>
        <v/>
      </c>
      <c r="E38" s="62">
        <f>E38*1000000*E39*E40/1000</f>
        <v/>
      </c>
      <c r="F38" s="62">
        <f>F38*1000000*F39*F40/1000</f>
        <v/>
      </c>
      <c r="G38" s="62">
        <f>G38*1000000*G39*G40/1000</f>
        <v/>
      </c>
      <c r="H38" s="184" t="n"/>
      <c r="I38" s="126" t="inlineStr">
        <is>
          <t>Traffic × conversion × AOV is dollars. ×1M 'cause sessions are in millions; /1000 puts it in $000 like everything else.</t>
        </is>
      </c>
    </row>
    <row r="39" ht="28" customHeight="1">
      <c r="A39" s="184" t="n"/>
      <c r="B39" s="184" t="n"/>
      <c r="C39" s="184" t="n"/>
      <c r="D39" s="184" t="n"/>
      <c r="E39" s="184" t="n"/>
      <c r="F39" s="184" t="n"/>
      <c r="G39" s="184" t="n"/>
      <c r="H39" s="184" t="n"/>
      <c r="I39" s="184" t="n"/>
    </row>
    <row r="40" ht="28" customHeight="1">
      <c r="A40" s="68" t="inlineStr">
        <is>
          <t>IV. OTHER CHANNELS, GEOGRAPHY &amp; PRODUCT MIX</t>
        </is>
      </c>
      <c r="B40" s="184" t="n"/>
      <c r="C40" s="184" t="n"/>
      <c r="D40" s="184" t="n"/>
      <c r="E40" s="184" t="n"/>
      <c r="F40" s="184" t="n"/>
      <c r="G40" s="184" t="n"/>
      <c r="H40" s="184" t="n"/>
      <c r="I40" s="184" t="n"/>
    </row>
    <row r="41" ht="28" customHeight="1">
      <c r="A41" s="201" t="inlineStr">
        <is>
          <t>Driver</t>
        </is>
      </c>
      <c r="B41" s="202" t="inlineStr">
        <is>
          <t>FY2025A</t>
        </is>
      </c>
      <c r="C41" s="203" t="inlineStr">
        <is>
          <t>FY2026E</t>
        </is>
      </c>
      <c r="D41" s="202" t="inlineStr">
        <is>
          <t>FY2027E</t>
        </is>
      </c>
      <c r="E41" s="202" t="inlineStr">
        <is>
          <t>FY2028E</t>
        </is>
      </c>
      <c r="F41" s="202" t="inlineStr">
        <is>
          <t>FY2029E</t>
        </is>
      </c>
      <c r="G41" s="202" t="inlineStr">
        <is>
          <t>FY2030E</t>
        </is>
      </c>
      <c r="H41" s="202" t="inlineStr">
        <is>
          <t>Units</t>
        </is>
      </c>
      <c r="I41" s="206" t="inlineStr">
        <is>
          <t>Notes</t>
        </is>
      </c>
    </row>
    <row r="42">
      <c r="A42" s="41" t="inlineStr">
        <is>
          <t>Other channels (wholesale / license / outlets) ($000)</t>
        </is>
      </c>
      <c r="B42" s="205" t="n">
        <v>1134159</v>
      </c>
      <c r="C42" s="42">
        <f>B45*(1+-0.02)</f>
        <v/>
      </c>
      <c r="D42" s="42">
        <f>C45*(1+0.0)</f>
        <v/>
      </c>
      <c r="E42" s="42">
        <f>D45*(1+0.02)</f>
        <v/>
      </c>
      <c r="F42" s="42">
        <f>E45*(1+0.02)</f>
        <v/>
      </c>
      <c r="G42" s="42">
        <f>F45*(1+0.02)</f>
        <v/>
      </c>
      <c r="H42" s="58" t="inlineStr">
        <is>
          <t>$000</t>
        </is>
      </c>
      <c r="I42" s="126" t="inlineStr">
        <is>
          <t>Other channels (wholesale/license/outlets) held at FY25 $1.13B base; low-single-digit growth thereafter.</t>
        </is>
      </c>
    </row>
    <row r="43">
      <c r="A43" s="41" t="inlineStr">
        <is>
          <t>Americas net revenue ($000)</t>
        </is>
      </c>
      <c r="B43" s="205" t="n">
        <v>7847044</v>
      </c>
      <c r="C43" s="42">
        <f>B46*(C31+C41+C45)/(B31+B41+B45)</f>
        <v/>
      </c>
      <c r="D43" s="42">
        <f>B46*(D31+D41+D45)/(B31+B41+B45)</f>
        <v/>
      </c>
      <c r="E43" s="42">
        <f>B46*(E31+E41+E45)/(B31+B41+B45)</f>
        <v/>
      </c>
      <c r="F43" s="42">
        <f>B46*(F31+F41+F45)/(B31+B41+B45)</f>
        <v/>
      </c>
      <c r="G43" s="42">
        <f>B46*(G31+G41+G45)/(B31+B41+B45)</f>
        <v/>
      </c>
      <c r="H43" s="58" t="inlineStr">
        <is>
          <t>$000</t>
        </is>
      </c>
      <c r="I43" s="126" t="inlineStr">
        <is>
          <t>Geographic split scales with consolidated growth; FY25 Americas 70.7% of revenue per 10-K segment table.</t>
        </is>
      </c>
    </row>
    <row r="44">
      <c r="A44" s="41" t="inlineStr">
        <is>
          <t>China Mainland net revenue ($000)</t>
        </is>
      </c>
      <c r="B44" s="205" t="n">
        <v>1754799</v>
      </c>
      <c r="C44" s="42">
        <f>B47*(C31+C41+C45)/(B31+B41+B45)</f>
        <v/>
      </c>
      <c r="D44" s="42">
        <f>B47*(D31+D41+D45)/(B31+B41+B45)</f>
        <v/>
      </c>
      <c r="E44" s="42">
        <f>B47*(E31+E41+E45)/(B31+B41+B45)</f>
        <v/>
      </c>
      <c r="F44" s="42">
        <f>B47*(F31+F41+F45)/(B31+B41+B45)</f>
        <v/>
      </c>
      <c r="G44" s="42">
        <f>B47*(G31+G41+G45)/(B31+B41+B45)</f>
        <v/>
      </c>
      <c r="H44" s="58" t="inlineStr">
        <is>
          <t>$000</t>
        </is>
      </c>
      <c r="I44" s="139" t="inlineStr">
        <is>
          <t>Notes</t>
        </is>
      </c>
    </row>
    <row r="45" ht="28" customHeight="1">
      <c r="A45" s="41" t="inlineStr">
        <is>
          <t>Rest of World net revenue ($000)</t>
        </is>
      </c>
      <c r="B45" s="205" t="n">
        <v>1500757</v>
      </c>
      <c r="C45" s="42">
        <f>B48*(C31+C41+C45)/(B31+B41+B45)</f>
        <v/>
      </c>
      <c r="D45" s="42">
        <f>B48*(D31+D41+D45)/(B31+B41+B45)</f>
        <v/>
      </c>
      <c r="E45" s="42">
        <f>B48*(E31+E41+E45)/(B31+B41+B45)</f>
        <v/>
      </c>
      <c r="F45" s="42">
        <f>B48*(F31+F41+F45)/(B31+B41+B45)</f>
        <v/>
      </c>
      <c r="G45" s="42">
        <f>B48*(G31+G41+G45)/(B31+B41+B45)</f>
        <v/>
      </c>
      <c r="H45" s="58" t="inlineStr">
        <is>
          <t>$000</t>
        </is>
      </c>
      <c r="I45" s="126" t="inlineStr">
        <is>
          <t>Rest of World 13.5% of FY25 revenue; mid-single-digit comps and steady openings.</t>
        </is>
      </c>
    </row>
    <row r="46" ht="70" customHeight="1">
      <c r="A46" s="41" t="inlineStr">
        <is>
          <t>Women's % of revenue</t>
        </is>
      </c>
      <c r="B46" s="42" t="n">
        <v>0.63</v>
      </c>
      <c r="C46" s="42" t="n">
        <v>0.62</v>
      </c>
      <c r="D46" s="42" t="n">
        <v>0.615</v>
      </c>
      <c r="E46" s="42" t="n">
        <v>0.61</v>
      </c>
      <c r="F46" s="42" t="n">
        <v>0.605</v>
      </c>
      <c r="G46" s="42" t="n">
        <v>0.6</v>
      </c>
      <c r="H46" s="184" t="n"/>
      <c r="I46" s="126" t="inlineStr">
        <is>
          <t>Women's mix fades 62.5% to 60% as men's penetrates; FY25 reported 63% women's per 10-K category disclosure.</t>
        </is>
      </c>
    </row>
    <row r="47" ht="70" customHeight="1">
      <c r="A47" s="41" t="inlineStr">
        <is>
          <t>Men's % of revenue</t>
        </is>
      </c>
      <c r="B47" s="42" t="n">
        <v>0.24</v>
      </c>
      <c r="C47" s="42" t="n">
        <v>0.25</v>
      </c>
      <c r="D47" s="42" t="n">
        <v>0.255</v>
      </c>
      <c r="E47" s="42" t="n">
        <v>0.26</v>
      </c>
      <c r="F47" s="42" t="n">
        <v>0.265</v>
      </c>
      <c r="G47" s="42" t="n">
        <v>0.27</v>
      </c>
      <c r="H47" s="184" t="n"/>
      <c r="I47" s="126" t="inlineStr">
        <is>
          <t>Men's mix rises 24.5% to 27%; FY25 men's grew 4% vs women's 5% per 10-K category commentary.</t>
        </is>
      </c>
    </row>
    <row r="48" ht="70" customHeight="1">
      <c r="A48" s="41" t="inlineStr">
        <is>
          <t>Accessories &amp; other % of revenue</t>
        </is>
      </c>
      <c r="B48" s="42" t="n">
        <v>0.13</v>
      </c>
      <c r="C48" s="42" t="n">
        <v>0.13</v>
      </c>
      <c r="D48" s="42" t="n">
        <v>0.13</v>
      </c>
      <c r="E48" s="42" t="n">
        <v>0.13</v>
      </c>
      <c r="F48" s="42" t="n">
        <v>0.13</v>
      </c>
      <c r="G48" s="42" t="n">
        <v>0.13</v>
      </c>
      <c r="H48" s="184" t="n"/>
      <c r="I48" s="126" t="inlineStr">
        <is>
          <t>Accessories steady at 13% of revenue; FY25 accessories +8% per 10-K category disclosure.</t>
        </is>
      </c>
    </row>
    <row r="49" ht="28" customHeight="1">
      <c r="A49" s="184" t="n"/>
      <c r="B49" s="184" t="n"/>
      <c r="C49" s="184" t="n"/>
      <c r="D49" s="184" t="n"/>
      <c r="E49" s="184" t="n"/>
      <c r="F49" s="184" t="n"/>
      <c r="G49" s="184" t="n"/>
      <c r="H49" s="184" t="n"/>
      <c r="I49" s="184" t="n"/>
    </row>
    <row r="50" ht="28" customHeight="1">
      <c r="A50" s="68" t="inlineStr">
        <is>
          <t>Consolidated revenue check</t>
        </is>
      </c>
      <c r="B50" s="184" t="n"/>
      <c r="C50" s="184" t="n"/>
      <c r="D50" s="184" t="n"/>
      <c r="E50" s="184" t="n"/>
      <c r="F50" s="184" t="n"/>
      <c r="G50" s="184" t="n"/>
      <c r="H50" s="184" t="n"/>
      <c r="I50" s="184" t="n"/>
    </row>
    <row r="51" ht="28" customHeight="1">
      <c r="A51" s="201" t="inlineStr">
        <is>
          <t>Driver</t>
        </is>
      </c>
      <c r="B51" s="202" t="inlineStr">
        <is>
          <t>FY2025A</t>
        </is>
      </c>
      <c r="C51" s="203" t="inlineStr">
        <is>
          <t>FY2026E</t>
        </is>
      </c>
      <c r="D51" s="202" t="inlineStr">
        <is>
          <t>FY2027E</t>
        </is>
      </c>
      <c r="E51" s="202" t="inlineStr">
        <is>
          <t>FY2028E</t>
        </is>
      </c>
      <c r="F51" s="202" t="inlineStr">
        <is>
          <t>FY2029E</t>
        </is>
      </c>
      <c r="G51" s="202" t="inlineStr">
        <is>
          <t>FY2030E</t>
        </is>
      </c>
      <c r="H51" s="202" t="inlineStr">
        <is>
          <t>Units</t>
        </is>
      </c>
      <c r="I51" s="206" t="inlineStr">
        <is>
          <t>Notes</t>
        </is>
      </c>
    </row>
    <row r="52">
      <c r="A52" s="68" t="inlineStr">
        <is>
          <t>Total revenue ($000)</t>
        </is>
      </c>
      <c r="B52" s="207" t="n">
        <v>11102600</v>
      </c>
      <c r="C52" s="70">
        <f>C31+C41+C45</f>
        <v/>
      </c>
      <c r="D52" s="70">
        <f>D31+D41+D45</f>
        <v/>
      </c>
      <c r="E52" s="70">
        <f>E31+E41+E45</f>
        <v/>
      </c>
      <c r="F52" s="70">
        <f>F31+F41+F45</f>
        <v/>
      </c>
      <c r="G52" s="70">
        <f>G31+G41+G45</f>
        <v/>
      </c>
      <c r="H52" s="184" t="n"/>
      <c r="I52" s="126" t="inlineStr">
        <is>
          <t>Bottom-up total = store channel + e-comm + other. That's your driver-built revenue before you check Scenarios.</t>
        </is>
      </c>
    </row>
    <row r="53">
      <c r="A53" s="41" t="inlineStr">
        <is>
          <t>Scenarios base-case revenue ($000)</t>
        </is>
      </c>
      <c r="B53" s="205" t="n">
        <v>11102600</v>
      </c>
      <c r="C53" s="42">
        <f>Scenarios!E25</f>
        <v/>
      </c>
      <c r="D53" s="42">
        <f>Scenarios!E26</f>
        <v/>
      </c>
      <c r="E53" s="42">
        <f>Scenarios!E27</f>
        <v/>
      </c>
      <c r="F53" s="42">
        <f>Scenarios!E28</f>
        <v/>
      </c>
      <c r="G53" s="42">
        <f>Scenarios!E29</f>
        <v/>
      </c>
      <c r="H53" s="184" t="n"/>
      <c r="I53" s="126" t="inlineStr">
        <is>
          <t>Pulls the Scenarios base-case revenue path; that's still the number the DCF actually uses, not the driver total.</t>
        </is>
      </c>
    </row>
    <row r="54">
      <c r="A54" s="41" t="inlineStr">
        <is>
          <t>Variance (bottom-up − scenarios) ($000)</t>
        </is>
      </c>
      <c r="B54" s="42">
        <f>B52-B53</f>
        <v/>
      </c>
      <c r="C54" s="42">
        <f>C52-C53</f>
        <v/>
      </c>
      <c r="D54" s="42">
        <f>D52-D53</f>
        <v/>
      </c>
      <c r="E54" s="42">
        <f>E52-E53</f>
        <v/>
      </c>
      <c r="F54" s="42">
        <f>F52-F53</f>
        <v/>
      </c>
      <c r="G54" s="42">
        <f>G52-G53</f>
        <v/>
      </c>
      <c r="H54" s="184" t="n"/>
      <c r="I54" s="139" t="inlineStr">
        <is>
          <t>Notes</t>
        </is>
      </c>
    </row>
    <row r="55" ht="28" customHeight="1">
      <c r="A55" s="41" t="inlineStr">
        <is>
          <t>Variance (%)</t>
        </is>
      </c>
      <c r="B55" s="43">
        <f>IF(B53=0,"",B54/B53)</f>
        <v/>
      </c>
      <c r="C55" s="43">
        <f>IF(C53=0,"",C54/C53)</f>
        <v/>
      </c>
      <c r="D55" s="43">
        <f>IF(D53=0,"",D54/D53)</f>
        <v/>
      </c>
      <c r="E55" s="43">
        <f>IF(E53=0,"",E54/E53)</f>
        <v/>
      </c>
      <c r="F55" s="43">
        <f>IF(F53=0,"",F54/F53)</f>
        <v/>
      </c>
      <c r="G55" s="43">
        <f>IF(G53=0,"",G54/G53)</f>
        <v/>
      </c>
      <c r="H55" s="184" t="n"/>
      <c r="I55" s="126" t="inlineStr">
        <is>
          <t>Variance as a percent of Scenarios revenue. Easy read on whether the driver schedule is close or way out of line.</t>
        </is>
      </c>
    </row>
    <row r="56" ht="28" customHeight="1">
      <c r="A56" s="184" t="n"/>
      <c r="B56" s="184" t="inlineStr">
        <is>
          <t>https://www.sec.gov/Archives/edgar/data/1397187/000139718726000020/lulu-20260201.htm</t>
        </is>
      </c>
      <c r="C56" s="184" t="n"/>
      <c r="D56" s="184" t="n"/>
      <c r="E56" s="184" t="n"/>
      <c r="F56" s="184" t="n"/>
      <c r="G56" s="184" t="n"/>
      <c r="H56" s="184" t="n"/>
      <c r="I56" s="184" t="n"/>
    </row>
    <row r="57" ht="28" customHeight="1"/>
    <row r="58" ht="28" customHeight="1"/>
  </sheetData>
  <hyperlinks>
    <hyperlink xmlns:r="http://schemas.openxmlformats.org/officeDocument/2006/relationships" ref="B18" r:id="rId1"/>
    <hyperlink xmlns:r="http://schemas.openxmlformats.org/officeDocument/2006/relationships" ref="B28" r:id="rId2"/>
    <hyperlink xmlns:r="http://schemas.openxmlformats.org/officeDocument/2006/relationships" ref="B31" r:id="rId3"/>
    <hyperlink xmlns:r="http://schemas.openxmlformats.org/officeDocument/2006/relationships" ref="B41" r:id="rId4"/>
    <hyperlink xmlns:r="http://schemas.openxmlformats.org/officeDocument/2006/relationships" ref="B45" r:id="rId5"/>
    <hyperlink xmlns:r="http://schemas.openxmlformats.org/officeDocument/2006/relationships" ref="B46" r:id="rId6"/>
    <hyperlink xmlns:r="http://schemas.openxmlformats.org/officeDocument/2006/relationships" ref="B47" r:id="rId7"/>
    <hyperlink xmlns:r="http://schemas.openxmlformats.org/officeDocument/2006/relationships" ref="B48" r:id="rId8"/>
    <hyperlink xmlns:r="http://schemas.openxmlformats.org/officeDocument/2006/relationships" ref="B55" r:id="rId9"/>
    <hyperlink xmlns:r="http://schemas.openxmlformats.org/officeDocument/2006/relationships" ref="B56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applyStyles="1" summaryBelow="1" summaryRight="1" showOutlineSymbols="0"/>
    <pageSetUpPr/>
  </sheetPr>
  <dimension ref="A1:H41"/>
  <sheetViews>
    <sheetView showGridLines="0" showOutlineSymbol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28" customWidth="1" min="3" max="3"/>
    <col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91" t="inlineStr">
        <is>
          <t>NOPAT NORMALIZATION PIPELINE (BASE CASE)</t>
        </is>
      </c>
      <c r="B1" s="192" t="n"/>
      <c r="C1" s="192" t="n"/>
      <c r="D1" s="192" t="n"/>
      <c r="E1" s="192" t="n"/>
      <c r="F1" s="192" t="n"/>
      <c r="G1" s="192" t="n"/>
      <c r="H1" s="192" t="n"/>
    </row>
    <row r="2">
      <c r="A2" s="184" t="n"/>
      <c r="B2" s="129" t="inlineStr">
        <is>
          <t>Notes</t>
        </is>
      </c>
      <c r="C2" s="129" t="inlineStr">
        <is>
          <t>Source</t>
        </is>
      </c>
      <c r="D2" s="208" t="inlineStr">
        <is>
          <t>FY2025A</t>
        </is>
      </c>
      <c r="E2" s="209" t="inlineStr">
        <is>
          <t>FY2026E</t>
        </is>
      </c>
      <c r="F2" s="209" t="inlineStr">
        <is>
          <t>FY2027E</t>
        </is>
      </c>
      <c r="G2" s="209" t="inlineStr">
        <is>
          <t>FY2028E</t>
        </is>
      </c>
      <c r="H2" s="209" t="inlineStr">
        <is>
          <t>FY2030E</t>
        </is>
      </c>
    </row>
    <row r="3">
      <c r="A3" s="68" t="inlineStr">
        <is>
          <t>Reported EBIT to Normalized NOPAT (5-phase pipeline)</t>
        </is>
      </c>
      <c r="B3" s="184" t="n"/>
      <c r="C3" s="184" t="n"/>
      <c r="D3" s="184" t="n"/>
      <c r="E3" s="184" t="n"/>
      <c r="F3" s="184" t="n"/>
      <c r="G3" s="184" t="n"/>
      <c r="H3" s="184" t="n"/>
    </row>
    <row r="4">
      <c r="A4" s="26" t="inlineStr">
        <is>
          <t>Phases 1–4 clean and forecast operating profit.</t>
        </is>
      </c>
      <c r="B4" s="184" t="n"/>
      <c r="C4" s="184" t="n"/>
      <c r="D4" s="184" t="n"/>
      <c r="E4" s="184" t="n"/>
      <c r="F4" s="184" t="n"/>
      <c r="G4" s="184" t="n"/>
      <c r="H4" s="184" t="n"/>
    </row>
    <row r="5">
      <c r="A5" s="184" t="n"/>
      <c r="B5" s="184" t="n"/>
      <c r="C5" s="184" t="n"/>
      <c r="D5" s="184" t="n"/>
      <c r="E5" s="184" t="n"/>
      <c r="F5" s="184" t="n"/>
      <c r="G5" s="184" t="n"/>
      <c r="H5" s="184" t="n"/>
    </row>
    <row r="6">
      <c r="A6" s="68" t="inlineStr">
        <is>
          <t>Driver assumptions</t>
        </is>
      </c>
      <c r="B6" s="184" t="n"/>
      <c r="C6" s="184" t="n"/>
      <c r="D6" s="184" t="n"/>
      <c r="E6" s="184" t="n"/>
      <c r="F6" s="184" t="n"/>
      <c r="G6" s="184" t="n"/>
      <c r="H6" s="184" t="n"/>
    </row>
    <row r="7" ht="42" customHeight="1">
      <c r="A7" s="16" t="inlineStr">
        <is>
          <t>SBC add-back flag (0 = expensed)</t>
        </is>
      </c>
      <c r="B7" s="126" t="inlineStr">
        <is>
          <t>SBC add-back (0)</t>
        </is>
      </c>
      <c r="C7" s="197" t="inlineStr">
        <is>
          <t>LULU CF statement (10-K): stock-based compensation</t>
        </is>
      </c>
      <c r="D7" s="75" t="n">
        <v>0</v>
      </c>
      <c r="E7" s="75" t="n">
        <v>0</v>
      </c>
      <c r="F7" s="75" t="n">
        <v>0</v>
      </c>
      <c r="G7" s="75" t="n">
        <v>0</v>
      </c>
      <c r="H7" s="90" t="n">
        <v>0</v>
      </c>
    </row>
    <row r="8">
      <c r="A8" s="26" t="n"/>
      <c r="B8" s="184" t="n"/>
      <c r="C8" s="184" t="n"/>
      <c r="D8" s="184" t="n"/>
      <c r="E8" s="184" t="n"/>
      <c r="F8" s="184" t="n"/>
      <c r="G8" s="184" t="n"/>
      <c r="H8" s="184" t="n"/>
    </row>
    <row r="9" ht="70" customHeight="1">
      <c r="A9" s="16" t="inlineStr">
        <is>
          <t>Store-channel EBIT margin %</t>
        </is>
      </c>
      <c r="B9" s="126" t="inlineStr">
        <is>
          <t>Store EBIT % of Store Rev</t>
        </is>
      </c>
      <c r="C9" s="197" t="inlineStr">
        <is>
          <t>FY2025 10-K: company-operated stores net revenue</t>
        </is>
      </c>
      <c r="D9" s="32" t="n">
        <v>0.186</v>
      </c>
      <c r="E9" s="32" t="n">
        <v>0.186</v>
      </c>
      <c r="F9" s="32" t="n">
        <v>0.186</v>
      </c>
      <c r="G9" s="32" t="n">
        <v>0.186</v>
      </c>
      <c r="H9" s="32" t="n">
        <v>0.186</v>
      </c>
    </row>
    <row r="10" ht="70" customHeight="1">
      <c r="A10" s="16" t="inlineStr">
        <is>
          <t>E-commerce EBIT margin %</t>
        </is>
      </c>
      <c r="B10" s="126" t="inlineStr">
        <is>
          <t>E-comm EBIT % of E-comm Rev</t>
        </is>
      </c>
      <c r="C10" s="197" t="inlineStr">
        <is>
          <t>FY2025 10-K: e-commerce net revenue</t>
        </is>
      </c>
      <c r="D10" s="32" t="n">
        <v>0.236</v>
      </c>
      <c r="E10" s="32" t="n">
        <v>0.236</v>
      </c>
      <c r="F10" s="32" t="n">
        <v>0.236</v>
      </c>
      <c r="G10" s="32" t="n">
        <v>0.236</v>
      </c>
      <c r="H10" s="32" t="n">
        <v>0.236</v>
      </c>
    </row>
    <row r="11" ht="70" customHeight="1">
      <c r="A11" s="16" t="inlineStr">
        <is>
          <t>Other-channels EBIT margin %</t>
        </is>
      </c>
      <c r="B11" s="126" t="inlineStr">
        <is>
          <t>Other EBIT % of Other Rev</t>
        </is>
      </c>
      <c r="C11" s="197" t="inlineStr">
        <is>
          <t>FY2025 10-K: other channels (residual)</t>
        </is>
      </c>
      <c r="D11" s="32" t="n">
        <v>0.091</v>
      </c>
      <c r="E11" s="32" t="n">
        <v>0.091</v>
      </c>
      <c r="F11" s="32" t="n">
        <v>0.091</v>
      </c>
      <c r="G11" s="32" t="n">
        <v>0.091</v>
      </c>
      <c r="H11" s="32" t="n">
        <v>0.091</v>
      </c>
    </row>
    <row r="12" ht="28" customHeight="1">
      <c r="A12" s="16" t="inlineStr">
        <is>
          <t>Terminal marginal tax rate</t>
        </is>
      </c>
      <c r="B12" s="126" t="inlineStr">
        <is>
          <t>Statutory Marginal (30%)</t>
        </is>
      </c>
      <c r="C12" s="197" t="inlineStr">
        <is>
          <t>Q2 FY2026 outlook: tax rate ≈ 30%</t>
        </is>
      </c>
      <c r="D12" s="32" t="n">
        <v>0.3</v>
      </c>
      <c r="E12" s="32" t="n">
        <v>0.3</v>
      </c>
      <c r="F12" s="32" t="n">
        <v>0.3</v>
      </c>
      <c r="G12" s="32" t="n">
        <v>0.3</v>
      </c>
      <c r="H12" s="32" t="n">
        <v>0.3</v>
      </c>
    </row>
    <row r="13" ht="28" customHeight="1">
      <c r="A13" s="16" t="inlineStr">
        <is>
          <t>R&amp;D / software amortization period (years)</t>
        </is>
      </c>
      <c r="B13" s="126" t="inlineStr">
        <is>
          <t>R&amp;D Capitalization Period</t>
        </is>
      </c>
      <c r="C13" s="24" t="inlineStr">
        <is>
          <t>NOPAT Bridge: capitalization convention</t>
        </is>
      </c>
      <c r="D13" s="90" t="n">
        <v>4</v>
      </c>
      <c r="E13" s="90" t="n">
        <v>4</v>
      </c>
      <c r="F13" s="90" t="n">
        <v>4</v>
      </c>
      <c r="G13" s="90" t="n">
        <v>4</v>
      </c>
      <c r="H13" s="90" t="n">
        <v>4</v>
      </c>
    </row>
    <row r="14">
      <c r="A14" s="184" t="n"/>
      <c r="B14" s="184" t="n"/>
      <c r="C14" s="184" t="n"/>
      <c r="D14" s="184" t="n"/>
      <c r="E14" s="184" t="n"/>
      <c r="F14" s="184" t="n"/>
      <c r="G14" s="184" t="n"/>
      <c r="H14" s="184" t="n"/>
    </row>
    <row r="15">
      <c r="A15" s="61" t="inlineStr">
        <is>
          <t>Reported EBIT adjustments</t>
        </is>
      </c>
      <c r="B15" s="184" t="n"/>
      <c r="C15" s="184" t="n"/>
      <c r="D15" s="184" t="n"/>
      <c r="E15" s="184" t="n"/>
      <c r="F15" s="184" t="n"/>
      <c r="G15" s="184" t="n"/>
      <c r="H15" s="184" t="n"/>
    </row>
    <row r="16" ht="28" customHeight="1">
      <c r="A16" s="16" t="inlineStr">
        <is>
          <t>Reported operating income (EBIT)</t>
        </is>
      </c>
      <c r="B16" s="126" t="inlineStr">
        <is>
          <t>10-K EBIT / Scenarios Forecast</t>
        </is>
      </c>
      <c r="C16" s="197">
        <f>DCF!C11</f>
        <v/>
      </c>
      <c r="D16" s="210">
        <f>DCF!D11</f>
        <v/>
      </c>
      <c r="E16" s="75">
        <f>DCF!E11</f>
        <v/>
      </c>
      <c r="F16" s="75">
        <f>DCF!F11</f>
        <v/>
      </c>
      <c r="G16" s="75">
        <f>DCF!G11</f>
        <v/>
      </c>
      <c r="H16" s="75">
        <f>Scenarios!E49</f>
        <v/>
      </c>
    </row>
    <row r="17" ht="28" customHeight="1">
      <c r="A17" s="16" t="inlineStr">
        <is>
          <t>+ Impairment / intangible amortization (add-back)</t>
        </is>
      </c>
      <c r="B17" s="126" t="inlineStr">
        <is>
          <t>Adds back run-rate intangible amortization</t>
        </is>
      </c>
      <c r="C17" s="197" t="inlineStr">
        <is>
          <t>LULU FY2025 10-K: amortization of intangible assets</t>
        </is>
      </c>
      <c r="D17" s="210" t="n">
        <v>6961</v>
      </c>
      <c r="E17" s="75" t="n">
        <v>0</v>
      </c>
      <c r="F17" s="75" t="n">
        <v>0</v>
      </c>
      <c r="G17" s="75" t="n">
        <v>0</v>
      </c>
      <c r="H17" s="75" t="n">
        <v>0</v>
      </c>
    </row>
    <row r="18" ht="28" customHeight="1">
      <c r="A18" s="16" t="inlineStr">
        <is>
          <t>+ Restructuring costs (add-back)</t>
        </is>
      </c>
      <c r="B18" s="126" t="inlineStr">
        <is>
          <t>Non-Recurring Restructuring Add-Back</t>
        </is>
      </c>
      <c r="C18" s="197" t="inlineStr">
        <is>
          <t>LULU FY2025 10-K: restructuring charges</t>
        </is>
      </c>
      <c r="D18" s="210" t="n">
        <v>0</v>
      </c>
      <c r="E18" s="75" t="n">
        <v>0</v>
      </c>
      <c r="F18" s="75" t="n">
        <v>0</v>
      </c>
      <c r="G18" s="75" t="n">
        <v>0</v>
      </c>
      <c r="H18" s="75" t="n">
        <v>0</v>
      </c>
    </row>
    <row r="19" ht="28" customHeight="1">
      <c r="A19" s="16" t="inlineStr">
        <is>
          <t>+ Legal / M&amp;A one-offs (add-back)</t>
        </is>
      </c>
      <c r="B19" s="126" t="inlineStr">
        <is>
          <t>One-Off Legal / M&amp;A Strip</t>
        </is>
      </c>
      <c r="C19" s="197" t="inlineStr">
        <is>
          <t>LULU FY2025 10-K: SG&amp;A one-offs</t>
        </is>
      </c>
      <c r="D19" s="210" t="n">
        <v>0</v>
      </c>
      <c r="E19" s="75" t="n">
        <v>0</v>
      </c>
      <c r="F19" s="75" t="n">
        <v>0</v>
      </c>
      <c r="G19" s="75" t="n">
        <v>0</v>
      </c>
      <c r="H19" s="75" t="n">
        <v>0</v>
      </c>
    </row>
    <row r="20" ht="42" customHeight="1">
      <c r="A20" s="16" t="inlineStr">
        <is>
          <t>+ Stock-based compensation (add-back only if flag = 1)</t>
        </is>
      </c>
      <c r="B20" s="126" t="inlineStr">
        <is>
          <t>SBC Add-Back (if flag = 1)</t>
        </is>
      </c>
      <c r="C20" s="197">
        <f>IF($B$7=1,DCF!C6*$B$20/DCF!$B$6,0)</f>
        <v/>
      </c>
      <c r="D20" s="75">
        <f>IF($B$7=1,DCF!D6*$B$20/DCF!$B$6,0)</f>
        <v/>
      </c>
      <c r="E20" s="75">
        <f>IF($B$7=1,DCF!E6*$B$20/DCF!$B$6,0)</f>
        <v/>
      </c>
      <c r="F20" s="75">
        <f>IF($B$7=1,DCF!F6*$B$20/DCF!$B$6,0)</f>
        <v/>
      </c>
      <c r="G20" s="75">
        <f>IF($B$7=1,DCF!G6*$B$20/DCF!$B$6,0)</f>
        <v/>
      </c>
      <c r="H20" s="75">
        <f>Scenarios!E29/DCF!$B$6*62203*$D$7</f>
        <v/>
      </c>
    </row>
    <row r="21" ht="28" customHeight="1">
      <c r="A21" s="68">
        <f> Adjusted EBIT</f>
        <v/>
      </c>
      <c r="B21" s="126" t="inlineStr">
        <is>
          <t>Reported EBIT + add-backs</t>
        </is>
      </c>
      <c r="C21" s="24" t="inlineStr">
        <is>
          <t>Subtotal</t>
        </is>
      </c>
      <c r="D21" s="184" t="n"/>
      <c r="E21" s="25">
        <f>E16+E17+E18+E19+E20</f>
        <v/>
      </c>
      <c r="F21" s="25">
        <f>F16+F17+F18+F19+F20</f>
        <v/>
      </c>
      <c r="G21" s="25">
        <f>G16+G17+G18+G19+G20</f>
        <v/>
      </c>
      <c r="H21" s="25">
        <f>H16+H17+H18+H19+H20</f>
        <v/>
      </c>
    </row>
    <row r="22">
      <c r="A22" s="61" t="inlineStr">
        <is>
          <t>Lease &amp; R&amp;D adjustments</t>
        </is>
      </c>
      <c r="B22" s="184" t="n"/>
      <c r="C22" s="184" t="n"/>
      <c r="D22" s="184" t="n"/>
      <c r="E22" s="184" t="n"/>
      <c r="F22" s="184" t="n"/>
      <c r="G22" s="184" t="n"/>
      <c r="H22" s="184" t="n"/>
    </row>
    <row r="23" ht="42" customHeight="1">
      <c r="A23" s="16" t="inlineStr">
        <is>
          <t>+ Implied lease interest expense (reclass from rent)</t>
        </is>
      </c>
      <c r="B23" s="126" t="inlineStr">
        <is>
          <t>Lease Interest Reclass (memo)</t>
        </is>
      </c>
      <c r="C23" s="197">
        <f>$B$23*(DCF!C6/DCF!$B$6)</f>
        <v/>
      </c>
      <c r="D23" s="210">
        <f>$B$23*(DCF!D6/DCF!$B$6)</f>
        <v/>
      </c>
      <c r="E23" s="75">
        <f>$B$23*(DCF!E6/DCF!$B$6)</f>
        <v/>
      </c>
      <c r="F23" s="75">
        <f>$B$23*(DCF!F6/DCF!$B$6)</f>
        <v/>
      </c>
      <c r="G23" s="75">
        <f>$B$23*(DCF!G6/DCF!$B$6)</f>
        <v/>
      </c>
      <c r="H23" s="75">
        <f>1028*(Scenarios!E29/DCF!$B$6)</f>
        <v/>
      </c>
    </row>
    <row r="24" ht="28" customHeight="1">
      <c r="A24" s="16" t="inlineStr">
        <is>
          <t>+ Capitalize R&amp;D / software (current-year expense)</t>
        </is>
      </c>
      <c r="B24" s="126" t="inlineStr">
        <is>
          <t>R&amp;D Capitalization (immaterial)</t>
        </is>
      </c>
      <c r="C24" s="197" t="inlineStr">
        <is>
          <t>LULU FY2025 10-K: R&amp;D / software expense</t>
        </is>
      </c>
      <c r="D24" s="210" t="n">
        <v>0</v>
      </c>
      <c r="E24" s="75" t="n">
        <v>0</v>
      </c>
      <c r="F24" s="75" t="n">
        <v>0</v>
      </c>
      <c r="G24" s="75" t="n">
        <v>0</v>
      </c>
      <c r="H24" s="75" t="n">
        <v>0</v>
      </c>
    </row>
    <row r="25" ht="28" customHeight="1">
      <c r="A25" s="16" t="inlineStr">
        <is>
          <t>− Amortization of prior capitalized intangibles</t>
        </is>
      </c>
      <c r="B25" s="126" t="inlineStr">
        <is>
          <t>Amortization of prior capitalized intangibles</t>
        </is>
      </c>
      <c r="C25" s="197" t="inlineStr">
        <is>
          <t>LULU FY2025 10-K: intangible amortization</t>
        </is>
      </c>
      <c r="D25" s="210" t="n">
        <v>6961</v>
      </c>
      <c r="E25" s="75" t="n">
        <v>0</v>
      </c>
      <c r="F25" s="75" t="n">
        <v>0</v>
      </c>
      <c r="G25" s="75" t="n">
        <v>0</v>
      </c>
      <c r="H25" s="75" t="n">
        <v>0</v>
      </c>
    </row>
    <row r="26" ht="28" customHeight="1">
      <c r="A26" s="68">
        <f> EBIT after lease &amp; capitalization</f>
        <v/>
      </c>
      <c r="B26" s="126" t="inlineStr">
        <is>
          <t>Phase 1 + lease/R&amp;D adjustments</t>
        </is>
      </c>
      <c r="C26" s="24" t="inlineStr">
        <is>
          <t>Subtotal</t>
        </is>
      </c>
      <c r="D26" s="184" t="n"/>
      <c r="E26" s="25">
        <f>E21+E23+E24-E25</f>
        <v/>
      </c>
      <c r="F26" s="25">
        <f>F21+F23+F24-F25</f>
        <v/>
      </c>
      <c r="G26" s="25">
        <f>G21+G23+G24-G25</f>
        <v/>
      </c>
      <c r="H26" s="25">
        <f>H21+H23+H24-H25</f>
        <v/>
      </c>
    </row>
    <row r="27">
      <c r="A27" s="61" t="inlineStr">
        <is>
          <t>Channel EBIT mix</t>
        </is>
      </c>
      <c r="B27" s="184" t="n"/>
      <c r="C27" s="184" t="n"/>
      <c r="D27" s="184" t="n"/>
      <c r="E27" s="184" t="n"/>
      <c r="F27" s="184" t="n"/>
      <c r="G27" s="184" t="n"/>
      <c r="H27" s="184" t="n"/>
    </row>
    <row r="28" ht="28" customHeight="1">
      <c r="A28" s="16" t="inlineStr">
        <is>
          <t>Store-channel revenue</t>
        </is>
      </c>
      <c r="B28" s="126" t="inlineStr">
        <is>
          <t>Not % of revenue; store-channel revenue from Revenue Drivers tab</t>
        </is>
      </c>
      <c r="C28" s="197" t="inlineStr">
        <is>
          <t>Revenue Drivers tab: store-channel revenue</t>
        </is>
      </c>
      <c r="D28" s="210" t="n">
        <v>5049744</v>
      </c>
      <c r="E28" s="75">
        <f>'Revenue Drivers'!F31</f>
        <v/>
      </c>
      <c r="F28" s="75">
        <f>'Revenue Drivers'!G31</f>
        <v/>
      </c>
      <c r="G28" s="75">
        <f>'Revenue Drivers'!H31</f>
        <v/>
      </c>
      <c r="H28" s="75">
        <f>'Revenue Drivers'!I31</f>
        <v/>
      </c>
    </row>
    <row r="29" ht="28" customHeight="1">
      <c r="A29" s="16" t="inlineStr">
        <is>
          <t>E-commerce revenue</t>
        </is>
      </c>
      <c r="B29" s="126" t="inlineStr">
        <is>
          <t>Not % of revenue; e-commerce revenue from Revenue Drivers tab</t>
        </is>
      </c>
      <c r="C29" s="197" t="inlineStr">
        <is>
          <t>Revenue Drivers tab: e-commerce revenue</t>
        </is>
      </c>
      <c r="D29" s="210" t="n">
        <v>4918697</v>
      </c>
      <c r="E29" s="75">
        <f>'Revenue Drivers'!F41</f>
        <v/>
      </c>
      <c r="F29" s="75">
        <f>'Revenue Drivers'!G41</f>
        <v/>
      </c>
      <c r="G29" s="75">
        <f>'Revenue Drivers'!H41</f>
        <v/>
      </c>
      <c r="H29" s="75">
        <f>'Revenue Drivers'!I41</f>
        <v/>
      </c>
    </row>
    <row r="30" ht="28" customHeight="1">
      <c r="A30" s="16" t="inlineStr">
        <is>
          <t>Other channels revenue</t>
        </is>
      </c>
      <c r="B30" s="126" t="inlineStr">
        <is>
          <t>Not % of revenue; wholesale/license/outlet revenue from Revenue Drivers tab</t>
        </is>
      </c>
      <c r="C30" s="197" t="inlineStr">
        <is>
          <t>Revenue Drivers tab: other channels revenue</t>
        </is>
      </c>
      <c r="D30" s="210" t="n">
        <v>1134159</v>
      </c>
      <c r="E30" s="75">
        <f>'Revenue Drivers'!F45</f>
        <v/>
      </c>
      <c r="F30" s="75">
        <f>'Revenue Drivers'!G45</f>
        <v/>
      </c>
      <c r="G30" s="75">
        <f>'Revenue Drivers'!H45</f>
        <v/>
      </c>
      <c r="H30" s="75">
        <f>'Revenue Drivers'!I45</f>
        <v/>
      </c>
    </row>
    <row r="31" ht="70" customHeight="1">
      <c r="A31" s="16" t="inlineStr">
        <is>
          <t>Store-channel EBIT (= Rev × store margin)</t>
        </is>
      </c>
      <c r="B31" s="126" t="inlineStr">
        <is>
          <t>Not % of consolidated revenue; store EBIT ÷ store revenue only (not Scenarios co</t>
        </is>
      </c>
      <c r="C31" s="197" t="inlineStr">
        <is>
          <t>FY2025 10-K: company-operated stores net revenue</t>
        </is>
      </c>
      <c r="D31" s="32" t="n">
        <v>939252.384</v>
      </c>
      <c r="E31" s="32">
        <f>E28*D$9</f>
        <v/>
      </c>
      <c r="F31" s="32">
        <f>F28*D$9</f>
        <v/>
      </c>
      <c r="G31" s="32">
        <f>G28*D$9</f>
        <v/>
      </c>
      <c r="H31" s="75">
        <f>H28*D$9</f>
        <v/>
      </c>
    </row>
    <row r="32" ht="70" customHeight="1">
      <c r="A32" s="16" t="inlineStr">
        <is>
          <t>E-commerce EBIT (= Rev × e-comm margin)</t>
        </is>
      </c>
      <c r="B32" s="126" t="inlineStr">
        <is>
          <t>Not % of consolidated revenue; e-commerce EBIT ÷ e-commerce revenue only (not Sc</t>
        </is>
      </c>
      <c r="C32" s="197" t="inlineStr">
        <is>
          <t>FY2025 10-K: e-commerce net revenue</t>
        </is>
      </c>
      <c r="D32" s="32" t="n">
        <v>1160812.492</v>
      </c>
      <c r="E32" s="32">
        <f>E29*D$10</f>
        <v/>
      </c>
      <c r="F32" s="32">
        <f>F29*D$10</f>
        <v/>
      </c>
      <c r="G32" s="32">
        <f>G29*D$10</f>
        <v/>
      </c>
      <c r="H32" s="75">
        <f>H29*D$10</f>
        <v/>
      </c>
    </row>
    <row r="33" ht="56" customHeight="1">
      <c r="A33" s="16" t="inlineStr">
        <is>
          <t>Other-channels EBIT (= Rev × other margin)</t>
        </is>
      </c>
      <c r="B33" s="126" t="inlineStr">
        <is>
          <t>Not % of consolidated revenue; other-channel EBIT ÷ other revenue only (not Scen</t>
        </is>
      </c>
      <c r="C33" s="197" t="inlineStr">
        <is>
          <t>FY2025 10-K: other channels (residual)</t>
        </is>
      </c>
      <c r="D33" s="32" t="n">
        <v>103208.469</v>
      </c>
      <c r="E33" s="32">
        <f>E30*D$11</f>
        <v/>
      </c>
      <c r="F33" s="32">
        <f>F30*D$11</f>
        <v/>
      </c>
      <c r="G33" s="32">
        <f>G30*D$11</f>
        <v/>
      </c>
      <c r="H33" s="75">
        <f>H30*D$11</f>
        <v/>
      </c>
    </row>
    <row r="34" ht="28" customHeight="1">
      <c r="A34" s="68" t="inlineStr">
        <is>
          <t>Channel EBIT (sum of sector EBIT)</t>
        </is>
      </c>
      <c r="B34" s="126" t="inlineStr">
        <is>
          <t>Sum of channel EBIT</t>
        </is>
      </c>
      <c r="C34" s="24" t="inlineStr">
        <is>
          <t>NOPAT Bridge tab: sector EBIT subtotal</t>
        </is>
      </c>
      <c r="D34" s="184" t="n"/>
      <c r="E34" s="70">
        <f>E31+E32+E33+Scenarios!E7</f>
        <v/>
      </c>
      <c r="F34" s="70">
        <f>F31+F32+F33</f>
        <v/>
      </c>
      <c r="G34" s="70">
        <f>G31+G32+G33</f>
        <v/>
      </c>
      <c r="H34" s="70">
        <f>H31+H32+H33</f>
        <v/>
      </c>
    </row>
    <row r="35" ht="28" customHeight="1">
      <c r="A35" s="68">
        <f> EBIT after channel mix</f>
        <v/>
      </c>
      <c r="B35" s="126" t="inlineStr">
        <is>
          <t>Channel-mix EBIT output (Phase 3)</t>
        </is>
      </c>
      <c r="C35" s="24" t="inlineStr">
        <is>
          <t>Subtotal</t>
        </is>
      </c>
      <c r="D35" s="211" t="n">
        <v>2203273.345</v>
      </c>
      <c r="E35" s="30">
        <f>E34</f>
        <v/>
      </c>
      <c r="F35" s="30">
        <f>F34</f>
        <v/>
      </c>
      <c r="G35" s="30">
        <f>G34</f>
        <v/>
      </c>
      <c r="H35" s="25">
        <f>H34</f>
        <v/>
      </c>
    </row>
    <row r="36" ht="28" customHeight="1">
      <c r="A36" s="68">
        <f> Normalized EBIT (tax base for NOPAT)</f>
        <v/>
      </c>
      <c r="B36" s="126" t="inlineStr">
        <is>
          <t>FY25: Phases 1–2 walk-through (SBC not added back; flag = 0)</t>
        </is>
      </c>
      <c r="C36" s="24">
        <f>DCF!C11</f>
        <v/>
      </c>
      <c r="D36" s="25">
        <f>DCF!D11</f>
        <v/>
      </c>
      <c r="E36" s="25">
        <f>DCF!E11</f>
        <v/>
      </c>
      <c r="F36" s="25">
        <f>DCF!F11</f>
        <v/>
      </c>
      <c r="G36" s="25">
        <f>DCF!G11</f>
        <v/>
      </c>
      <c r="H36" s="25">
        <f>Scenarios!E49</f>
        <v/>
      </c>
    </row>
    <row r="37">
      <c r="A37" s="16" t="inlineStr">
        <is>
          <t>Check vs Scenarios EBIT (base case)</t>
        </is>
      </c>
      <c r="B37" s="184" t="n"/>
      <c r="C37" s="184" t="n"/>
      <c r="D37" s="184" t="n"/>
      <c r="E37" s="75">
        <f>E36-Scenarios!E45</f>
        <v/>
      </c>
      <c r="F37" s="75">
        <f>F36-Scenarios!E46</f>
        <v/>
      </c>
      <c r="G37" s="75">
        <f>G36-Scenarios!E47</f>
        <v/>
      </c>
      <c r="H37" s="75">
        <f>H36-Scenarios!E49</f>
        <v/>
      </c>
    </row>
    <row r="38">
      <c r="A38" s="61" t="inlineStr">
        <is>
          <t>Tax normalization</t>
        </is>
      </c>
      <c r="B38" s="184" t="n"/>
      <c r="C38" s="184" t="n"/>
      <c r="D38" s="184" t="n"/>
      <c r="E38" s="184" t="n"/>
      <c r="F38" s="184" t="n"/>
      <c r="G38" s="184" t="n"/>
      <c r="H38" s="184" t="n"/>
    </row>
    <row r="39" ht="70" customHeight="1">
      <c r="A39" s="16" t="inlineStr">
        <is>
          <t>Operating effective tax rate (t_operating)</t>
        </is>
      </c>
      <c r="B39" s="126" t="inlineStr">
        <is>
          <t>Operating effective tax rate: (tax + interest shield) ÷ (EBT + interest)</t>
        </is>
      </c>
      <c r="C39" s="197" t="inlineStr">
        <is>
          <t>LULU FY2025 10-K: income tax &amp; interest expense</t>
        </is>
      </c>
      <c r="D39" s="212" t="n">
        <v>0.2946847649213503</v>
      </c>
      <c r="E39" s="32">
        <f>0.29468476492135026+(E$12-0.29468476492135026)*1/5</f>
        <v/>
      </c>
      <c r="F39" s="32">
        <f>0.29468476492135026+(F$12-0.29468476492135026)*2/5</f>
        <v/>
      </c>
      <c r="G39" s="32">
        <f>0.29468476492135026+(G$12-0.29468476492135026)*3/5</f>
        <v/>
      </c>
      <c r="H39" s="32">
        <f>0.29468476492135026+(H$12-0.29468476492135026)*5/5</f>
        <v/>
      </c>
    </row>
    <row r="40" ht="28" customHeight="1">
      <c r="A40" s="16" t="inlineStr">
        <is>
          <t>Unlevered tax on normalized EBIT</t>
        </is>
      </c>
      <c r="B40" s="126" t="inlineStr">
        <is>
          <t>Unlevered tax = normalized EBIT × t_operating</t>
        </is>
      </c>
      <c r="C40" s="24" t="inlineStr">
        <is>
          <t>NOPAT Bridge tab: unlevered tax expense</t>
        </is>
      </c>
      <c r="D40" s="184" t="n"/>
      <c r="E40" s="75">
        <f>E36*E39</f>
        <v/>
      </c>
      <c r="F40" s="75">
        <f>F36*F39</f>
        <v/>
      </c>
      <c r="G40" s="75">
        <f>G36*G39</f>
        <v/>
      </c>
      <c r="H40" s="75">
        <f>H36*H39</f>
        <v/>
      </c>
    </row>
    <row r="41" ht="28" customHeight="1">
      <c r="A41" s="68" t="inlineStr">
        <is>
          <t>NORMALIZED NOPAT</t>
        </is>
      </c>
      <c r="B41" s="126" t="inlineStr">
        <is>
          <t>NORMALIZED NOPAT = EBIT_norm × (1 − t_operating)</t>
        </is>
      </c>
      <c r="C41" s="24" t="inlineStr">
        <is>
          <t>NOPAT Bridge tab: normalized NOPAT</t>
        </is>
      </c>
      <c r="D41" s="184" t="n"/>
      <c r="E41" s="25">
        <f>E36-E40</f>
        <v/>
      </c>
      <c r="F41" s="25">
        <f>F36-F40</f>
        <v/>
      </c>
      <c r="G41" s="25">
        <f>G36-G40</f>
        <v/>
      </c>
      <c r="H41" s="25">
        <f>H36-H40</f>
        <v/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applyStyles="1" summaryBelow="1" summaryRight="1" showOutlineSymbols="0"/>
    <pageSetUpPr/>
  </sheetPr>
  <dimension ref="A1:M104"/>
  <sheetViews>
    <sheetView showGridLines="0" showOutlineSymbol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16" customWidth="1" min="3" max="3"/>
    <col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91" t="inlineStr">
        <is>
          <t>DISCOUNTED CASH FLOW — BASE CASE (US$ thousands)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84" t="n"/>
      <c r="K1" s="184" t="n"/>
      <c r="L1" s="184" t="n"/>
      <c r="M1" s="184" t="n"/>
    </row>
    <row r="2">
      <c r="A2" s="184" t="n"/>
      <c r="B2" s="213" t="n"/>
      <c r="C2" s="68" t="inlineStr">
        <is>
          <t>Source</t>
        </is>
      </c>
      <c r="D2" s="213" t="n"/>
      <c r="E2" s="208" t="inlineStr">
        <is>
          <t>FY2025A</t>
        </is>
      </c>
      <c r="F2" s="209" t="inlineStr">
        <is>
          <t>FY2026E</t>
        </is>
      </c>
      <c r="G2" s="209" t="inlineStr">
        <is>
          <t>FY2027E</t>
        </is>
      </c>
      <c r="H2" s="209" t="inlineStr">
        <is>
          <t>FY2029E</t>
        </is>
      </c>
      <c r="I2" s="209" t="inlineStr">
        <is>
          <t>FY2030E</t>
        </is>
      </c>
      <c r="J2" s="87" t="inlineStr">
        <is>
          <t>Δ vs Scenarios</t>
        </is>
      </c>
      <c r="K2" s="213" t="n"/>
      <c r="L2" s="213" t="n"/>
      <c r="M2" s="184" t="n"/>
    </row>
    <row r="3" ht="28" customHeight="1">
      <c r="A3" s="107" t="inlineStr">
        <is>
          <t>Active case (1=Bear, 2=Base, 3=Bull)</t>
        </is>
      </c>
      <c r="B3" s="184" t="n">
        <v>2</v>
      </c>
      <c r="C3" s="19" t="n"/>
      <c r="D3" s="184" t="n"/>
      <c r="E3" s="214" t="inlineStr">
        <is>
          <t>10-K</t>
        </is>
      </c>
      <c r="F3" s="184" t="n"/>
      <c r="G3" s="184" t="n"/>
      <c r="H3" s="184" t="n"/>
      <c r="I3" s="184" t="n"/>
      <c r="J3" s="215" t="inlineStr">
        <is>
          <t>(should be 0)</t>
        </is>
      </c>
      <c r="K3" s="184" t="n"/>
      <c r="L3" s="184" t="n"/>
      <c r="M3" s="184" t="n"/>
    </row>
    <row r="4" ht="36" customHeight="1">
      <c r="A4" s="198" t="inlineStr">
        <is>
          <t>Assumptions Guide (PDF) — see Cover tab link.</t>
        </is>
      </c>
      <c r="B4" s="184" t="n"/>
      <c r="C4" s="216" t="inlineStr">
        <is>
          <t>NOPAT Bridge</t>
        </is>
      </c>
      <c r="D4" s="216" t="inlineStr">
        <is>
          <t>'Revenue Drivers'!A1</t>
        </is>
      </c>
      <c r="E4" s="184" t="n"/>
      <c r="F4" s="184" t="n"/>
      <c r="G4" s="184" t="n"/>
      <c r="H4" s="184" t="n"/>
      <c r="I4" s="184" t="n"/>
      <c r="J4" s="184" t="n"/>
      <c r="K4" s="184" t="n"/>
      <c r="L4" s="184" t="n"/>
      <c r="M4" s="184" t="n"/>
    </row>
    <row r="5">
      <c r="A5" s="16" t="inlineStr">
        <is>
          <t>Net revenue</t>
        </is>
      </c>
      <c r="B5" s="184" t="n"/>
      <c r="C5" s="184">
        <f>B5*(1+C6)</f>
        <v/>
      </c>
      <c r="D5" s="217">
        <f>C5*(1+D6)</f>
        <v/>
      </c>
      <c r="E5" s="210">
        <f>D5*(1+E6)</f>
        <v/>
      </c>
      <c r="F5" s="75">
        <f>E5*(1+F6)</f>
        <v/>
      </c>
      <c r="G5" s="75">
        <f>F5*(1+G6)</f>
        <v/>
      </c>
      <c r="H5" s="75">
        <f>Scenarios!E28</f>
        <v/>
      </c>
      <c r="I5" s="75">
        <f>Scenarios!E29</f>
        <v/>
      </c>
      <c r="J5" s="86">
        <f>IF(MAX(ABS(F5-Scenarios!$E$25),ABS(G5-Scenarios!$E$26),ABS(H5-Scenarios!$E$27),ABS(H5-Scenarios!$E$28),ABS(I5-Scenarios!$E$29))&lt;0.5,"OK","CHECK")</f>
        <v/>
      </c>
      <c r="K5" s="184" t="n"/>
      <c r="L5" s="184" t="n"/>
      <c r="M5" s="184" t="n"/>
    </row>
    <row r="6" ht="42" customHeight="1">
      <c r="A6" s="16" t="inlineStr">
        <is>
          <t>Revenue growth %</t>
        </is>
      </c>
      <c r="B6" s="19" t="n"/>
      <c r="C6" s="198">
        <f>CHOOSE(DCF!$B$3,Scenarios!$B$4,Scenarios!$C$4,Scenarios!$D$4)</f>
        <v/>
      </c>
      <c r="D6" s="19">
        <f>CHOOSE(DCF!$B$3,Scenarios!$B$5,Scenarios!$C$5,Scenarios!$D$5)</f>
        <v/>
      </c>
      <c r="E6" s="184">
        <f>CHOOSE(DCF!$B$3,Scenarios!$B$5,Scenarios!$C$5,Scenarios!$D$5)</f>
        <v/>
      </c>
      <c r="F6" s="32">
        <f>CHOOSE(DCF!$B$3,Scenarios!$B$5,Scenarios!$C$5,Scenarios!$D$5)</f>
        <v/>
      </c>
      <c r="G6" s="32">
        <f>CHOOSE(DCF!$B$3,Scenarios!$B$5,Scenarios!$C$5,Scenarios!$D$5)</f>
        <v/>
      </c>
      <c r="H6" s="32">
        <f>H5/H5-1</f>
        <v/>
      </c>
      <c r="I6" s="32">
        <f>I5/H5-1</f>
        <v/>
      </c>
      <c r="J6" s="184" t="n"/>
      <c r="K6" s="184" t="n"/>
      <c r="L6" s="184" t="n"/>
      <c r="M6" s="184" t="n"/>
    </row>
    <row r="7" ht="112" customHeight="1">
      <c r="A7" s="16" t="inlineStr">
        <is>
          <t>Gross margin %</t>
        </is>
      </c>
      <c r="B7" s="17" t="n"/>
      <c r="C7" s="197">
        <f>(C5-C8)/C5</f>
        <v/>
      </c>
      <c r="D7" s="145">
        <f>(D5-D8)/D5</f>
        <v/>
      </c>
      <c r="E7" s="212">
        <f>(E5-E8)/E5</f>
        <v/>
      </c>
      <c r="F7" s="32">
        <f>(F5-F8)/F5</f>
        <v/>
      </c>
      <c r="G7" s="32">
        <f>(G5-G8)/G5</f>
        <v/>
      </c>
      <c r="H7" s="32">
        <f>Scenarios!$E$14</f>
        <v/>
      </c>
      <c r="I7" s="32">
        <f>Scenarios!$E$14</f>
        <v/>
      </c>
      <c r="J7" s="184" t="n"/>
      <c r="K7" s="184" t="n"/>
      <c r="L7" s="184" t="n"/>
      <c r="M7" s="184" t="n"/>
    </row>
    <row r="8">
      <c r="A8" s="16" t="inlineStr">
        <is>
          <t>Cost of goods sold (COGS)</t>
        </is>
      </c>
      <c r="B8" s="184" t="n"/>
      <c r="C8" s="184">
        <f>C5*(1-CHOOSE(DCF!$B$3,Scenarios!$B$14,Scenarios!$C$14,Scenarios!$D$14))</f>
        <v/>
      </c>
      <c r="D8" s="217">
        <f>D5*(1-CHOOSE(DCF!$B$3,Scenarios!$B$14,Scenarios!$C$14,Scenarios!$D$14))</f>
        <v/>
      </c>
      <c r="E8" s="210">
        <f>E5*(1-CHOOSE(DCF!$B$3,Scenarios!$B$14,Scenarios!$C$14,Scenarios!$D$14))</f>
        <v/>
      </c>
      <c r="F8" s="75">
        <f>F5*(1-CHOOSE(DCF!$B$3,Scenarios!$B$14,Scenarios!$C$14,Scenarios!$D$14))</f>
        <v/>
      </c>
      <c r="G8" s="75">
        <f>G5*(1-CHOOSE(DCF!$B$3,Scenarios!$B$14,Scenarios!$C$14,Scenarios!$D$14))</f>
        <v/>
      </c>
      <c r="H8" s="75">
        <f>Scenarios!E38</f>
        <v/>
      </c>
      <c r="I8" s="75">
        <f>Scenarios!E39</f>
        <v/>
      </c>
      <c r="J8" s="86">
        <f>IF(MAX(ABS(F8-Scenarios!$E$35),ABS(G8-Scenarios!$E$36),ABS(H8-Scenarios!$E$37),ABS(H8-Scenarios!$E$38),ABS(I8-Scenarios!$E$39))&lt;0.5,"OK","CHECK")</f>
        <v/>
      </c>
      <c r="K8" s="184" t="n"/>
      <c r="L8" s="184" t="n"/>
      <c r="M8" s="184" t="n"/>
    </row>
    <row r="9" ht="42" customHeight="1">
      <c r="A9" s="16" t="inlineStr">
        <is>
          <t>Clean / run-rate EBIT margin %</t>
        </is>
      </c>
      <c r="B9" s="19" t="n"/>
      <c r="C9" s="198">
        <f>CHOOSE(DCF!$B$3,Scenarios!$B$6,Scenarios!$C$6,Scenarios!$D$6)</f>
        <v/>
      </c>
      <c r="D9" s="19">
        <f>C9+(CHOOSE(DCF!$B$3,Scenarios!$B$8,Scenarios!$C$8,Scenarios!$D$8)-CHOOSE(DCF!$B$3,Scenarios!$B$6,Scenarios!$C$6,Scenarios!$D$6))/4</f>
        <v/>
      </c>
      <c r="E9" s="184">
        <f>D9+(CHOOSE(DCF!$B$3,Scenarios!$B$8,Scenarios!$C$8,Scenarios!$D$8)-CHOOSE(DCF!$B$3,Scenarios!$B$6,Scenarios!$C$6,Scenarios!$D$6))/4</f>
        <v/>
      </c>
      <c r="F9" s="32">
        <f>E9+(CHOOSE(DCF!$B$3,Scenarios!$B$8,Scenarios!$C$8,Scenarios!$D$8)-CHOOSE(DCF!$B$3,Scenarios!$B$6,Scenarios!$C$6,Scenarios!$D$6))/4</f>
        <v/>
      </c>
      <c r="G9" s="32">
        <f>F9+(CHOOSE(DCF!$B$3,Scenarios!$B$8,Scenarios!$C$8,Scenarios!$D$8)-CHOOSE(DCF!$B$3,Scenarios!$B$6,Scenarios!$C$6,Scenarios!$D$6))/4</f>
        <v/>
      </c>
      <c r="H9" s="32">
        <f>Scenarios!E43</f>
        <v/>
      </c>
      <c r="I9" s="32">
        <f>Scenarios!E44</f>
        <v/>
      </c>
      <c r="J9" s="86">
        <f>IF(MAX(ABS(F9-Scenarios!$E$40),ABS(G9-Scenarios!$E$41),ABS(H9-Scenarios!$E$42),ABS(H9-Scenarios!$E$43),ABS(I9-Scenarios!$E$44))&lt;0.0001,"OK","CHECK")</f>
        <v/>
      </c>
      <c r="K9" s="184" t="n"/>
      <c r="L9" s="184" t="n"/>
      <c r="M9" s="184" t="n"/>
    </row>
    <row r="10" ht="28" customHeight="1">
      <c r="A10" s="16" t="inlineStr">
        <is>
          <t>Plus: FY26 IEEPA tariff refunds (one-time)</t>
        </is>
      </c>
      <c r="B10" s="17" t="n"/>
      <c r="C10" s="197">
        <f>CHOOSE(DCF!$B$3,Scenarios!$B$7,Scenarios!$C$7,Scenarios!$D$7)</f>
        <v/>
      </c>
      <c r="D10" s="163" t="n">
        <v>0</v>
      </c>
      <c r="E10" s="210" t="n">
        <v>0</v>
      </c>
      <c r="F10" s="75" t="n">
        <v>0</v>
      </c>
      <c r="G10" s="75" t="n">
        <v>0</v>
      </c>
      <c r="H10" s="75" t="n">
        <v>0</v>
      </c>
      <c r="I10" s="75" t="n">
        <v>0</v>
      </c>
      <c r="J10" s="184" t="n"/>
      <c r="K10" s="184" t="n"/>
      <c r="L10" s="184" t="n"/>
      <c r="M10" s="184" t="n"/>
    </row>
    <row r="11">
      <c r="A11" s="68" t="inlineStr">
        <is>
          <t>EBIT (incl. FY26 refund)</t>
        </is>
      </c>
      <c r="B11" s="184" t="n"/>
      <c r="C11" s="184">
        <f>C5*C9+C10</f>
        <v/>
      </c>
      <c r="D11" s="217">
        <f>D5*D9</f>
        <v/>
      </c>
      <c r="E11" s="218">
        <f>E5*E9</f>
        <v/>
      </c>
      <c r="F11" s="25">
        <f>F5*F9</f>
        <v/>
      </c>
      <c r="G11" s="25">
        <f>G5*G9</f>
        <v/>
      </c>
      <c r="H11" s="25">
        <f>Scenarios!E48</f>
        <v/>
      </c>
      <c r="I11" s="25">
        <f>Scenarios!E49</f>
        <v/>
      </c>
      <c r="J11" s="87">
        <f>IF(MAX(ABS(F11-Scenarios!$E$45),ABS(G11-Scenarios!$E$46),ABS(H11-Scenarios!$E$47),ABS(H11-Scenarios!$E$48),ABS(I11-Scenarios!$E$49))&lt;0.5,"OK","CHECK")</f>
        <v/>
      </c>
      <c r="K11" s="184" t="n"/>
      <c r="L11" s="184" t="n"/>
      <c r="M11" s="184" t="n"/>
    </row>
    <row r="12">
      <c r="A12" s="16" t="inlineStr">
        <is>
          <t>Reported EBIT margin % (incl. FY26 refund)</t>
        </is>
      </c>
      <c r="B12" s="184" t="n"/>
      <c r="C12" s="184">
        <f>C11/C5</f>
        <v/>
      </c>
      <c r="D12" s="219">
        <f>D11/D5</f>
        <v/>
      </c>
      <c r="E12" s="212">
        <f>E11/E5</f>
        <v/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184" t="n"/>
      <c r="K12" s="184" t="n"/>
      <c r="L12" s="184" t="n"/>
      <c r="M12" s="184" t="n"/>
    </row>
    <row r="13">
      <c r="A13" s="16" t="inlineStr">
        <is>
          <t>Less: unlevered tax (t_operating from NOPAT Bridge)</t>
        </is>
      </c>
      <c r="B13" s="184" t="n"/>
      <c r="C13" s="184">
        <f>-'NOPAT Bridge'!C40</f>
        <v/>
      </c>
      <c r="D13" s="184">
        <f>-'NOPAT Bridge'!D40</f>
        <v/>
      </c>
      <c r="E13" s="184">
        <f>-'NOPAT Bridge'!E40</f>
        <v/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Bridge'!H40</f>
        <v/>
      </c>
      <c r="J13" s="184" t="n"/>
      <c r="K13" s="184" t="n"/>
      <c r="L13" s="184" t="n"/>
      <c r="M13" s="184" t="n"/>
    </row>
    <row r="14">
      <c r="A14" s="68" t="inlineStr">
        <is>
          <t>NOPAT</t>
        </is>
      </c>
      <c r="B14" s="184" t="n"/>
      <c r="C14" s="184">
        <f>'NOPAT Bridge'!C41</f>
        <v/>
      </c>
      <c r="D14" s="184">
        <f>'NOPAT Bridge'!D41</f>
        <v/>
      </c>
      <c r="E14" s="184">
        <f>'NOPAT Bridge'!E41</f>
        <v/>
      </c>
      <c r="F14" s="25">
        <f>'NOPAT Bridge'!F41</f>
        <v/>
      </c>
      <c r="G14" s="25">
        <f>'NOPAT Bridge'!G41</f>
        <v/>
      </c>
      <c r="H14" s="25">
        <f>Scenarios!E53</f>
        <v/>
      </c>
      <c r="I14" s="25">
        <f>Scenarios!E54</f>
        <v/>
      </c>
      <c r="J14" s="87">
        <f>IF(MAX(ABS(F14-Scenarios!$E$50),ABS(G14-Scenarios!$E$51),ABS(H14-Scenarios!$E$52),ABS(H14-Scenarios!$E$53),ABS(I14-Scenarios!$E$54))&lt;0.5,"OK","CHECK")</f>
        <v/>
      </c>
      <c r="K14" s="184" t="n"/>
      <c r="L14" s="184" t="n"/>
      <c r="M14" s="184" t="n"/>
    </row>
    <row r="15" ht="28" customHeight="1">
      <c r="A15" s="16" t="inlineStr">
        <is>
          <t>D&amp;A % of revenue</t>
        </is>
      </c>
      <c r="B15" s="17" t="n"/>
      <c r="C15" s="197">
        <f>CHOOSE(DCF!$B$3,Scenarios!$B$12,Scenarios!$C$12,Scenarios!$D$12)</f>
        <v/>
      </c>
      <c r="D15" s="19">
        <f>CHOOSE(DCF!$B$3,Scenarios!$B$12,Scenarios!$C$12,Scenarios!$D$12)</f>
        <v/>
      </c>
      <c r="E15" s="184">
        <f>CHOOSE(DCF!$B$3,Scenarios!$B$12,Scenarios!$C$12,Scenarios!$D$12)</f>
        <v/>
      </c>
      <c r="F15" s="32">
        <f>CHOOSE(DCF!$B$3,Scenarios!$B$12,Scenarios!$C$12,Scenarios!$D$12)</f>
        <v/>
      </c>
      <c r="G15" s="32">
        <f>CHOOSE(DCF!$B$3,Scenarios!$B$12,Scenarios!$C$12,Scenarios!$D$12)</f>
        <v/>
      </c>
      <c r="H15" s="32">
        <f>Scenarios!$E$12</f>
        <v/>
      </c>
      <c r="I15" s="32">
        <f>Scenarios!$E$12</f>
        <v/>
      </c>
      <c r="J15" s="184" t="n"/>
      <c r="K15" s="184" t="n"/>
      <c r="L15" s="184" t="n"/>
      <c r="M15" s="184" t="n"/>
    </row>
    <row r="16">
      <c r="A16" s="16" t="inlineStr">
        <is>
          <t>Plus: depreciation &amp; amortization</t>
        </is>
      </c>
      <c r="B16" s="184" t="n"/>
      <c r="C16" s="184" t="n"/>
      <c r="D16" s="184" t="n"/>
      <c r="E16" s="184" t="n"/>
      <c r="F16" s="75">
        <f>Scenarios!E55</f>
        <v/>
      </c>
      <c r="G16" s="75">
        <f>Scenarios!E56</f>
        <v/>
      </c>
      <c r="H16" s="75">
        <f>Scenarios!E58</f>
        <v/>
      </c>
      <c r="I16" s="75">
        <f>Scenarios!E59</f>
        <v/>
      </c>
      <c r="J16" s="86">
        <f>IF(MAX(ABS(F16-Scenarios!$E$55),ABS(G16-Scenarios!$E$56),ABS(H16-Scenarios!$E$57),ABS(H16-Scenarios!$E$58),ABS(I16-Scenarios!$E$59))&lt;0.5,"OK","CHECK")</f>
        <v/>
      </c>
      <c r="K16" s="184" t="n"/>
      <c r="L16" s="184" t="n"/>
      <c r="M16" s="184" t="n"/>
    </row>
    <row r="17" ht="150" customHeight="1">
      <c r="A17" s="16" t="inlineStr">
        <is>
          <t>Capex % of revenue</t>
        </is>
      </c>
      <c r="B17" s="19" t="n"/>
      <c r="C17" s="198">
        <f>CHOOSE(DCF!$B$3,Scenarios!$B$13,Scenarios!$C$13,Scenarios!$D$13)</f>
        <v/>
      </c>
      <c r="D17" s="19">
        <f>CHOOSE(DCF!$B$3,Scenarios!$B$13,Scenarios!$C$13,Scenarios!$D$13)</f>
        <v/>
      </c>
      <c r="E17" s="184">
        <f>CHOOSE(DCF!$B$3,Scenarios!$B$13,Scenarios!$C$13,Scenarios!$D$13)</f>
        <v/>
      </c>
      <c r="F17" s="32">
        <f>CHOOSE(DCF!$B$3,Scenarios!$B$13,Scenarios!$C$13,Scenarios!$D$13)</f>
        <v/>
      </c>
      <c r="G17" s="32">
        <f>CHOOSE(DCF!$B$3,Scenarios!$B$13,Scenarios!$C$13,Scenarios!$D$13)</f>
        <v/>
      </c>
      <c r="H17" s="32">
        <f>Scenarios!$E$13</f>
        <v/>
      </c>
      <c r="I17" s="32">
        <f>Scenarios!$E$13</f>
        <v/>
      </c>
      <c r="J17" s="184" t="n"/>
      <c r="K17" s="184" t="n"/>
      <c r="L17" s="184" t="n"/>
      <c r="M17" s="184" t="n"/>
    </row>
    <row r="18">
      <c r="A18" s="16" t="inlineStr">
        <is>
          <t>Less: capital expenditures</t>
        </is>
      </c>
      <c r="B18" s="184" t="n"/>
      <c r="C18" s="184" t="n"/>
      <c r="D18" s="184" t="n"/>
      <c r="E18" s="184" t="n"/>
      <c r="F18" s="75">
        <f>-Scenarios!E60</f>
        <v/>
      </c>
      <c r="G18" s="75">
        <f>-Scenarios!E61</f>
        <v/>
      </c>
      <c r="H18" s="75">
        <f>-Scenarios!E63</f>
        <v/>
      </c>
      <c r="I18" s="75">
        <f>-Scenarios!E64</f>
        <v/>
      </c>
      <c r="J18" s="86">
        <f>IF(MAX(ABS(F18+Scenarios!$E$60),ABS(G18+Scenarios!$E$61),ABS(H18+Scenarios!$E$62),ABS(H18+Scenarios!$E$63),ABS(I18+Scenarios!$E$64))&lt;0.5,"OK","CHECK")</f>
        <v/>
      </c>
      <c r="K18" s="184" t="n"/>
      <c r="L18" s="184" t="n"/>
      <c r="M18" s="184" t="n"/>
    </row>
    <row r="19">
      <c r="A19" s="68" t="inlineStr">
        <is>
          <t>Working capital schedule (driver-based) [click − to collapse detail]</t>
        </is>
      </c>
      <c r="B19" s="184" t="n"/>
      <c r="C19" s="184">
        <f>-C5*CHOOSE(DCF!$B$3,Scenarios!$B$13,Scenarios!$C$13,Scenarios!$D$13)</f>
        <v/>
      </c>
      <c r="D19" s="184">
        <f>-D5*CHOOSE(DCF!$B$3,Scenarios!$B$13,Scenarios!$C$13,Scenarios!$D$13)</f>
        <v/>
      </c>
      <c r="E19" s="184">
        <f>-E5*CHOOSE(DCF!$B$3,Scenarios!$B$13,Scenarios!$C$13,Scenarios!$D$13)</f>
        <v/>
      </c>
      <c r="F19" s="184">
        <f>-F5*CHOOSE(DCF!$B$3,Scenarios!$B$13,Scenarios!$C$13,Scenarios!$D$13)</f>
        <v/>
      </c>
      <c r="G19" s="184">
        <f>-G5*CHOOSE(DCF!$B$3,Scenarios!$B$13,Scenarios!$C$13,Scenarios!$D$13)</f>
        <v/>
      </c>
      <c r="H19" s="184" t="n"/>
      <c r="I19" s="184" t="n"/>
      <c r="J19" s="184" t="n"/>
      <c r="K19" s="184" t="n"/>
      <c r="L19" s="184" t="n"/>
      <c r="M19" s="184" t="n"/>
    </row>
    <row r="20" ht="150" customHeight="1">
      <c r="A20" s="16" t="inlineStr">
        <is>
          <t>DSO (days) — flat vs FY25</t>
        </is>
      </c>
      <c r="B20" s="17" t="n"/>
      <c r="C20" s="197">
        <f>CHOOSE(DCF!$B$3,Scenarios!$B$15,Scenarios!$C$15,Scenarios!$D$15)</f>
        <v/>
      </c>
      <c r="D20" s="147">
        <f>CHOOSE(DCF!$B$3,Scenarios!$B$15,Scenarios!$C$15,Scenarios!$D$15)</f>
        <v/>
      </c>
      <c r="E20" s="220">
        <f>CHOOSE(DCF!$B$3,Scenarios!$B$15,Scenarios!$C$15,Scenarios!$D$15)</f>
        <v/>
      </c>
      <c r="F20" s="164">
        <f>CHOOSE(DCF!$B$3,Scenarios!$B$15,Scenarios!$C$15,Scenarios!$D$15)</f>
        <v/>
      </c>
      <c r="G20" s="164">
        <f>CHOOSE(DCF!$B$3,Scenarios!$B$15,Scenarios!$C$15,Scenarios!$D$15)</f>
        <v/>
      </c>
      <c r="H20" s="28">
        <f>Scenarios!E68</f>
        <v/>
      </c>
      <c r="I20" s="28">
        <f>Scenarios!E69</f>
        <v/>
      </c>
      <c r="J20" s="86">
        <f>IF(MAX(ABS(F20-Scenarios!$E$65),ABS(G20-Scenarios!$E$66),ABS(H20-Scenarios!$E$67),ABS(H20-Scenarios!$E$68),ABS(I20-Scenarios!$E$69))&lt;0.5,"OK","CHECK")</f>
        <v/>
      </c>
      <c r="K20" s="184" t="n"/>
      <c r="L20" s="184" t="n"/>
      <c r="M20" s="184" t="n"/>
    </row>
    <row r="21" ht="98" customHeight="1">
      <c r="A21" s="16" t="inlineStr">
        <is>
          <t>Accounts receivable, net</t>
        </is>
      </c>
      <c r="B21" s="17" t="n"/>
      <c r="C21" s="197">
        <f>C5*C20/365</f>
        <v/>
      </c>
      <c r="D21" s="149">
        <f>D5*D20/365</f>
        <v/>
      </c>
      <c r="E21" s="221">
        <f>E5*E20/365</f>
        <v/>
      </c>
      <c r="F21" s="75">
        <f>F5*F20/365</f>
        <v/>
      </c>
      <c r="G21" s="75">
        <f>G5*G20/365</f>
        <v/>
      </c>
      <c r="H21" s="75">
        <f>Scenarios!E73</f>
        <v/>
      </c>
      <c r="I21" s="75">
        <f>Scenarios!E74</f>
        <v/>
      </c>
      <c r="J21" s="86">
        <f>IF(MAX(ABS(F21-Scenarios!$E$70),ABS(G21-Scenarios!$E$71),ABS(H21-Scenarios!$E$72),ABS(H21-Scenarios!$E$73),ABS(I21-Scenarios!$E$74))&lt;0.5,"OK","CHECK")</f>
        <v/>
      </c>
      <c r="K21" s="184" t="n"/>
      <c r="L21" s="184" t="n"/>
      <c r="M21" s="184" t="n"/>
    </row>
    <row r="22" ht="150" customHeight="1">
      <c r="A22" s="16" t="inlineStr">
        <is>
          <t>DIO (days) — FY25 anchor, −1 day/yr</t>
        </is>
      </c>
      <c r="B22" s="19" t="n"/>
      <c r="C22" s="198">
        <f>CHOOSE(DCF!$B$3,Scenarios!$B$16,Scenarios!$C$16,Scenarios!$D$16)-0*CHOOSE(DCF!$B$3,Scenarios!$B$17,Scenarios!$C$17,Scenarios!$D$17)</f>
        <v/>
      </c>
      <c r="D22" s="147">
        <f>CHOOSE(DCF!$B$3,Scenarios!$B$16,Scenarios!$C$16,Scenarios!$D$16)-1*CHOOSE(DCF!$B$3,Scenarios!$B$17,Scenarios!$C$17,Scenarios!$D$17)</f>
        <v/>
      </c>
      <c r="E22" s="220">
        <f>CHOOSE(DCF!$B$3,Scenarios!$B$16,Scenarios!$C$16,Scenarios!$D$16)-2*CHOOSE(DCF!$B$3,Scenarios!$B$17,Scenarios!$C$17,Scenarios!$D$17)</f>
        <v/>
      </c>
      <c r="F22" s="164">
        <f>CHOOSE(DCF!$B$3,Scenarios!$B$16,Scenarios!$C$16,Scenarios!$D$16)-3*CHOOSE(DCF!$B$3,Scenarios!$B$17,Scenarios!$C$17,Scenarios!$D$17)</f>
        <v/>
      </c>
      <c r="G22" s="164">
        <f>CHOOSE(DCF!$B$3,Scenarios!$B$16,Scenarios!$C$16,Scenarios!$D$16)-4*CHOOSE(DCF!$B$3,Scenarios!$B$17,Scenarios!$C$17,Scenarios!$D$17)</f>
        <v/>
      </c>
      <c r="H22" s="28">
        <f>Scenarios!E78</f>
        <v/>
      </c>
      <c r="I22" s="28">
        <f>Scenarios!E79</f>
        <v/>
      </c>
      <c r="J22" s="86">
        <f>IF(MAX(ABS(F22-Scenarios!$E$75),ABS(G22-Scenarios!$E$76),ABS(H22-Scenarios!$E$77),ABS(H22-Scenarios!$E$78),ABS(I22-Scenarios!$E$79))&lt;0.5,"OK","CHECK")</f>
        <v/>
      </c>
      <c r="K22" s="184" t="n"/>
      <c r="L22" s="184" t="n"/>
      <c r="M22" s="184" t="n"/>
    </row>
    <row r="23" ht="112" customHeight="1">
      <c r="A23" s="16" t="inlineStr">
        <is>
          <t>Inventories</t>
        </is>
      </c>
      <c r="B23" s="17" t="n"/>
      <c r="C23" s="197">
        <f>C8*C22/365</f>
        <v/>
      </c>
      <c r="D23" s="149">
        <f>D8*D22/365</f>
        <v/>
      </c>
      <c r="E23" s="221">
        <f>E8*E22/365</f>
        <v/>
      </c>
      <c r="F23" s="75">
        <f>F8*F22/365</f>
        <v/>
      </c>
      <c r="G23" s="75">
        <f>G8*G22/365</f>
        <v/>
      </c>
      <c r="H23" s="75">
        <f>Scenarios!E83</f>
        <v/>
      </c>
      <c r="I23" s="75">
        <f>Scenarios!E84</f>
        <v/>
      </c>
      <c r="J23" s="86">
        <f>IF(MAX(ABS(F23-Scenarios!$E$80),ABS(G23-Scenarios!$E$81),ABS(H23-Scenarios!$E$82),ABS(H23-Scenarios!$E$83),ABS(I23-Scenarios!$E$84))&lt;0.5,"OK","CHECK")</f>
        <v/>
      </c>
      <c r="K23" s="184" t="n"/>
      <c r="L23" s="184" t="n"/>
      <c r="M23" s="184" t="n"/>
    </row>
    <row r="24" ht="84" customHeight="1">
      <c r="A24" s="16" t="inlineStr">
        <is>
          <t>DPO (days) — flat vs FY25</t>
        </is>
      </c>
      <c r="B24" s="17" t="n"/>
      <c r="C24" s="197">
        <f>CHOOSE(DCF!$B$3,Scenarios!$B$18,Scenarios!$C$18,Scenarios!$D$18)</f>
        <v/>
      </c>
      <c r="D24" s="147">
        <f>CHOOSE(DCF!$B$3,Scenarios!$B$18,Scenarios!$C$18,Scenarios!$D$18)</f>
        <v/>
      </c>
      <c r="E24" s="220">
        <f>CHOOSE(DCF!$B$3,Scenarios!$B$18,Scenarios!$C$18,Scenarios!$D$18)</f>
        <v/>
      </c>
      <c r="F24" s="164">
        <f>CHOOSE(DCF!$B$3,Scenarios!$B$18,Scenarios!$C$18,Scenarios!$D$18)</f>
        <v/>
      </c>
      <c r="G24" s="164">
        <f>CHOOSE(DCF!$B$3,Scenarios!$B$18,Scenarios!$C$18,Scenarios!$D$18)</f>
        <v/>
      </c>
      <c r="H24" s="28">
        <f>Scenarios!E88</f>
        <v/>
      </c>
      <c r="I24" s="28">
        <f>Scenarios!E89</f>
        <v/>
      </c>
      <c r="J24" s="86">
        <f>IF(MAX(ABS(F24-Scenarios!$E$85),ABS(G24-Scenarios!$E$86),ABS(H24-Scenarios!$E$87),ABS(H24-Scenarios!$E$88),ABS(I24-Scenarios!$E$89))&lt;0.5,"OK","CHECK")</f>
        <v/>
      </c>
      <c r="K24" s="184" t="n"/>
      <c r="L24" s="184" t="n"/>
      <c r="M24" s="184" t="n"/>
    </row>
    <row r="25" ht="84" customHeight="1">
      <c r="A25" s="16" t="inlineStr">
        <is>
          <t>Accounts payable</t>
        </is>
      </c>
      <c r="B25" s="17" t="n"/>
      <c r="C25" s="197">
        <f>C8*C24/365</f>
        <v/>
      </c>
      <c r="D25" s="163">
        <f>D8*D24/365</f>
        <v/>
      </c>
      <c r="E25" s="210">
        <f>E8*E24/365</f>
        <v/>
      </c>
      <c r="F25" s="75">
        <f>F8*F24/365</f>
        <v/>
      </c>
      <c r="G25" s="75">
        <f>G8*G24/365</f>
        <v/>
      </c>
      <c r="H25" s="75">
        <f>Scenarios!E93</f>
        <v/>
      </c>
      <c r="I25" s="75">
        <f>Scenarios!E94</f>
        <v/>
      </c>
      <c r="J25" s="86">
        <f>IF(MAX(ABS(F25-Scenarios!$E$90),ABS(G25-Scenarios!$E$91),ABS(H25-Scenarios!$E$92),ABS(H25-Scenarios!$E$93),ABS(I25-Scenarios!$E$94))&lt;0.5,"OK","CHECK")</f>
        <v/>
      </c>
      <c r="K25" s="184" t="n"/>
      <c r="L25" s="184" t="n"/>
      <c r="M25" s="184" t="n"/>
    </row>
    <row r="26" ht="84" customHeight="1">
      <c r="A26" s="16" t="inlineStr">
        <is>
          <t>Prepaid expenses (% of revenue)</t>
        </is>
      </c>
      <c r="B26" s="17" t="n"/>
      <c r="C26" s="197" t="inlineStr">
        <is>
          <t>10-K</t>
        </is>
      </c>
      <c r="D26" s="145" t="n">
        <v>0.05080692810692991</v>
      </c>
      <c r="E26" s="212" t="n">
        <v>0.05080692810692991</v>
      </c>
      <c r="F26" s="32">
        <f>Scenarios!$E$19</f>
        <v/>
      </c>
      <c r="G26" s="32">
        <f>Scenarios!$E$19</f>
        <v/>
      </c>
      <c r="H26" s="32">
        <f>Scenarios!$E$19</f>
        <v/>
      </c>
      <c r="I26" s="32">
        <f>Scenarios!$E$19</f>
        <v/>
      </c>
      <c r="J26" s="184" t="n"/>
      <c r="K26" s="184" t="n"/>
      <c r="L26" s="184" t="n"/>
      <c r="M26" s="184" t="n"/>
    </row>
    <row r="27" ht="84" customHeight="1">
      <c r="A27" s="16" t="inlineStr">
        <is>
          <t>Prepaid expenses (other current assets)</t>
        </is>
      </c>
      <c r="B27" s="17" t="n"/>
      <c r="C27" s="197">
        <f>C5*C27</f>
        <v/>
      </c>
      <c r="D27" s="163">
        <f>D5*D27</f>
        <v/>
      </c>
      <c r="E27" s="210">
        <f>E5*E27</f>
        <v/>
      </c>
      <c r="F27" s="75">
        <f>F5*F27</f>
        <v/>
      </c>
      <c r="G27" s="75">
        <f>G5*G27</f>
        <v/>
      </c>
      <c r="H27" s="75">
        <f>Scenarios!E98</f>
        <v/>
      </c>
      <c r="I27" s="75">
        <f>Scenarios!E99</f>
        <v/>
      </c>
      <c r="J27" s="86">
        <f>IF(MAX(ABS(F27-Scenarios!$E$95),ABS(G27-Scenarios!$E$96),ABS(H27-Scenarios!$E$97),ABS(H27-Scenarios!$E$98),ABS(I27-Scenarios!$E$99))&lt;0.5,"OK","CHECK")</f>
        <v/>
      </c>
      <c r="K27" s="184" t="n"/>
      <c r="L27" s="184" t="n"/>
      <c r="M27" s="184" t="n"/>
    </row>
    <row r="28" ht="84" customHeight="1">
      <c r="A28" s="16" t="inlineStr">
        <is>
          <t>Accrued liabilities (% of revenue)</t>
        </is>
      </c>
      <c r="B28" s="17" t="n"/>
      <c r="C28" s="197" t="inlineStr">
        <is>
          <t>10-K</t>
        </is>
      </c>
      <c r="D28" s="145" t="n">
        <v>0.05971412101669879</v>
      </c>
      <c r="E28" s="212" t="n">
        <v>0.05971412101669879</v>
      </c>
      <c r="F28" s="75">
        <f>Scenarios!$E$20</f>
        <v/>
      </c>
      <c r="G28" s="75">
        <f>Scenarios!$E$20</f>
        <v/>
      </c>
      <c r="H28" s="32">
        <f>Scenarios!$E$20</f>
        <v/>
      </c>
      <c r="I28" s="32">
        <f>Scenarios!$E$20</f>
        <v/>
      </c>
      <c r="J28" s="184" t="n"/>
      <c r="K28" s="184" t="n"/>
      <c r="L28" s="184" t="n"/>
      <c r="M28" s="184" t="n"/>
    </row>
    <row r="29" ht="84" customHeight="1">
      <c r="A29" s="16" t="inlineStr">
        <is>
          <t>Accrued liabilities and other</t>
        </is>
      </c>
      <c r="B29" s="17" t="n"/>
      <c r="C29" s="197">
        <f>C5*C29</f>
        <v/>
      </c>
      <c r="D29" s="163">
        <f>D5*D29</f>
        <v/>
      </c>
      <c r="E29" s="210">
        <f>E5*E29</f>
        <v/>
      </c>
      <c r="F29" s="75">
        <f>F5*F29</f>
        <v/>
      </c>
      <c r="G29" s="75">
        <f>G5*G29</f>
        <v/>
      </c>
      <c r="H29" s="75">
        <f>Scenarios!E103</f>
        <v/>
      </c>
      <c r="I29" s="75">
        <f>Scenarios!E104</f>
        <v/>
      </c>
      <c r="J29" s="86">
        <f>IF(MAX(ABS(F29-Scenarios!$E$100),ABS(G29-Scenarios!$E$101),ABS(H29-Scenarios!$E$102),ABS(H29-Scenarios!$E$103),ABS(I29-Scenarios!$E$104))&lt;0.5,"OK","CHECK")</f>
        <v/>
      </c>
      <c r="K29" s="184" t="n"/>
      <c r="L29" s="184" t="n"/>
      <c r="M29" s="184" t="n"/>
    </row>
    <row r="30" ht="42" customHeight="1">
      <c r="A30" s="16" t="inlineStr">
        <is>
          <t>Current operating assets (AR + inv + prepaids)</t>
        </is>
      </c>
      <c r="B30" s="17" t="n"/>
      <c r="C30" s="197">
        <f>C21+C23+C27</f>
        <v/>
      </c>
      <c r="D30" s="19">
        <f>D21+D23+D27</f>
        <v/>
      </c>
      <c r="E30" s="184">
        <f>E21+E23+E27</f>
        <v/>
      </c>
      <c r="F30" s="75">
        <f>F21+F23+F27</f>
        <v/>
      </c>
      <c r="G30" s="75">
        <f>G21+G23+G27</f>
        <v/>
      </c>
      <c r="H30" s="75">
        <f>Scenarios!E108</f>
        <v/>
      </c>
      <c r="I30" s="75">
        <f>Scenarios!E109</f>
        <v/>
      </c>
      <c r="J30" s="86">
        <f>IF(MAX(ABS(F30-Scenarios!$E$105),ABS(G30-Scenarios!$E$106),ABS(H30-Scenarios!$E$107),ABS(H30-Scenarios!$E$108),ABS(I30-Scenarios!$E$109))&lt;0.5,"OK","CHECK")</f>
        <v/>
      </c>
      <c r="K30" s="184" t="n"/>
      <c r="L30" s="184" t="n"/>
      <c r="M30" s="184" t="n"/>
    </row>
    <row r="31" ht="42" customHeight="1">
      <c r="A31" s="16" t="inlineStr">
        <is>
          <t>Current operating liabilities (AP + accruals)</t>
        </is>
      </c>
      <c r="B31" s="17" t="n"/>
      <c r="C31" s="197">
        <f>C25+C29</f>
        <v/>
      </c>
      <c r="D31" s="19">
        <f>D25+D29</f>
        <v/>
      </c>
      <c r="E31" s="184">
        <f>E25+E29</f>
        <v/>
      </c>
      <c r="F31" s="75">
        <f>F25+F29</f>
        <v/>
      </c>
      <c r="G31" s="75">
        <f>G25+G29</f>
        <v/>
      </c>
      <c r="H31" s="75">
        <f>Scenarios!E113</f>
        <v/>
      </c>
      <c r="I31" s="75">
        <f>Scenarios!E114</f>
        <v/>
      </c>
      <c r="J31" s="86">
        <f>IF(MAX(ABS(F31-Scenarios!$E$110),ABS(G31-Scenarios!$E$111),ABS(H31-Scenarios!$E$112),ABS(H31-Scenarios!$E$113),ABS(I31-Scenarios!$E$114))&lt;0.5,"OK","CHECK")</f>
        <v/>
      </c>
      <c r="K31" s="184" t="n"/>
      <c r="L31" s="184" t="n"/>
      <c r="M31" s="184" t="n"/>
    </row>
    <row r="32" ht="42" customHeight="1">
      <c r="A32" s="68" t="inlineStr">
        <is>
          <t>Net working capital</t>
        </is>
      </c>
      <c r="B32" s="17" t="n"/>
      <c r="C32" s="197">
        <f>C30-C31</f>
        <v/>
      </c>
      <c r="D32" s="163">
        <f>D30-D31</f>
        <v/>
      </c>
      <c r="E32" s="218">
        <f>E30-E31</f>
        <v/>
      </c>
      <c r="F32" s="25">
        <f>F30-F31</f>
        <v/>
      </c>
      <c r="G32" s="25">
        <f>G30-G31</f>
        <v/>
      </c>
      <c r="H32" s="25">
        <f>Scenarios!E118</f>
        <v/>
      </c>
      <c r="I32" s="25">
        <f>Scenarios!E119</f>
        <v/>
      </c>
      <c r="J32" s="87">
        <f>IF(MAX(ABS(F32-Scenarios!$E$115),ABS(G32-Scenarios!$E$116),ABS(H32-Scenarios!$E$117),ABS(H32-Scenarios!$E$118),ABS(I32-Scenarios!$E$119))&lt;0.5,"OK","CHECK")</f>
        <v/>
      </c>
      <c r="K32" s="184" t="n"/>
      <c r="L32" s="184" t="n"/>
      <c r="M32" s="184" t="n"/>
    </row>
    <row r="33" ht="56" customHeight="1">
      <c r="A33" s="68" t="inlineStr">
        <is>
          <t>ΔNWC (prior yr − current yr)</t>
        </is>
      </c>
      <c r="B33" s="17" t="n"/>
      <c r="C33" s="197" t="inlineStr">
        <is>
          <t>Scenarios</t>
        </is>
      </c>
      <c r="D33" s="19" t="n"/>
      <c r="E33" s="184" t="n"/>
      <c r="F33" s="25">
        <f>Scenarios!E120</f>
        <v/>
      </c>
      <c r="G33" s="25">
        <f>Scenarios!E121</f>
        <v/>
      </c>
      <c r="H33" s="25">
        <f>Scenarios!E123</f>
        <v/>
      </c>
      <c r="I33" s="25">
        <f>Scenarios!E124</f>
        <v/>
      </c>
      <c r="J33" s="87">
        <f>IF(MAX(ABS(F33-Scenarios!$E$120),ABS(G33-Scenarios!$E$121),ABS(H33-Scenarios!$E$122),ABS(H33-Scenarios!$E$123),ABS(I33-Scenarios!$E$124))&lt;0.5,"OK","CHECK")</f>
        <v/>
      </c>
      <c r="K33" s="184" t="n"/>
      <c r="L33" s="184" t="n"/>
      <c r="M33" s="184" t="n"/>
    </row>
    <row r="34">
      <c r="A34" s="68" t="inlineStr">
        <is>
          <t>Unlevered free cash flow</t>
        </is>
      </c>
      <c r="B34" s="184" t="n"/>
      <c r="C34" s="184">
        <f>C14+C17+C19+C34</f>
        <v/>
      </c>
      <c r="D34" s="184">
        <f>D14+D17+D19+D34</f>
        <v/>
      </c>
      <c r="E34" s="184">
        <f>E14+E17+E19+E34</f>
        <v/>
      </c>
      <c r="F34" s="89">
        <f>F14+F17+F19+F34</f>
        <v/>
      </c>
      <c r="G34" s="89">
        <f>G14+G17+G19+G34</f>
        <v/>
      </c>
      <c r="H34" s="89">
        <f>Scenarios!E128</f>
        <v/>
      </c>
      <c r="I34" s="89">
        <f>Scenarios!E129</f>
        <v/>
      </c>
      <c r="J34" s="87">
        <f>IF(MAX(ABS(F35-Scenarios!$E$125),ABS(G35-Scenarios!$E$126),ABS(H35-Scenarios!$E$127),ABS(H35-Scenarios!$E$128),ABS(I35-Scenarios!$E$129))&lt;0.5,"OK","CHECK")</f>
        <v/>
      </c>
      <c r="K34" s="184" t="n"/>
      <c r="L34" s="184" t="n"/>
      <c r="M34" s="184" t="n"/>
    </row>
    <row r="35">
      <c r="A35" s="16" t="inlineStr">
        <is>
          <t>Discount period (years)</t>
        </is>
      </c>
      <c r="B35" s="184" t="n"/>
      <c r="C35" s="184" t="n"/>
      <c r="D35" s="184" t="n"/>
      <c r="E35" s="184" t="n">
        <v>1</v>
      </c>
      <c r="F35" s="90" t="n">
        <v>2</v>
      </c>
      <c r="G35" s="90" t="n">
        <v>3</v>
      </c>
      <c r="H35" s="90" t="n">
        <v>5</v>
      </c>
      <c r="I35" s="90" t="n">
        <v>5</v>
      </c>
      <c r="J35" s="184" t="n"/>
      <c r="K35" s="184" t="n"/>
      <c r="L35" s="184" t="n"/>
      <c r="M35" s="184" t="n"/>
    </row>
    <row r="36">
      <c r="A36" s="16" t="inlineStr">
        <is>
          <t>Discount factor @ WACC</t>
        </is>
      </c>
      <c r="B36" s="184" t="n"/>
      <c r="C36" s="184" t="n"/>
      <c r="D36" s="184" t="n"/>
      <c r="E36" s="184" t="n"/>
      <c r="F36" s="91">
        <f>1/(1+Scenarios!$E$9)^F36</f>
        <v/>
      </c>
      <c r="G36" s="91">
        <f>1/(1+Scenarios!$E$9)^G36</f>
        <v/>
      </c>
      <c r="H36" s="91">
        <f>1/(1+Scenarios!$E$9)^H36</f>
        <v/>
      </c>
      <c r="I36" s="91">
        <f>1/(1+Scenarios!$E$9)^I36</f>
        <v/>
      </c>
      <c r="J36" s="184" t="n"/>
      <c r="K36" s="184" t="n"/>
      <c r="L36" s="184" t="n"/>
      <c r="M36" s="184" t="n"/>
    </row>
    <row r="37">
      <c r="A37" s="68" t="inlineStr">
        <is>
          <t>PV of unlevered FCF</t>
        </is>
      </c>
      <c r="B37" s="184" t="n"/>
      <c r="C37" s="184" t="n"/>
      <c r="D37" s="184" t="n"/>
      <c r="E37" s="184" t="n"/>
      <c r="F37" s="25">
        <f>F35*F37</f>
        <v/>
      </c>
      <c r="G37" s="25">
        <f>G35*G37</f>
        <v/>
      </c>
      <c r="H37" s="25">
        <f>H35*H37</f>
        <v/>
      </c>
      <c r="I37" s="25">
        <f>I35*I37</f>
        <v/>
      </c>
      <c r="J37" s="184" t="n"/>
      <c r="K37" s="184" t="n"/>
      <c r="L37" s="184" t="n"/>
      <c r="M37" s="184" t="n"/>
    </row>
    <row r="38">
      <c r="A38" s="184" t="n"/>
      <c r="B38" s="184" t="n"/>
      <c r="C38" s="184" t="n"/>
      <c r="D38" s="184" t="n"/>
      <c r="E38" s="184" t="n"/>
      <c r="F38" s="184" t="n"/>
      <c r="G38" s="184" t="n"/>
      <c r="H38" s="184" t="n"/>
      <c r="I38" s="184" t="n"/>
      <c r="J38" s="184" t="n"/>
      <c r="K38" s="184" t="n"/>
      <c r="L38" s="184" t="n"/>
      <c r="M38" s="184" t="n"/>
    </row>
    <row r="39">
      <c r="A39" s="61" t="inlineStr">
        <is>
          <t>Scenarios linkage summary (column K should all read OK)</t>
        </is>
      </c>
      <c r="B39" s="184" t="n"/>
      <c r="C39" s="184" t="n"/>
      <c r="D39" s="184" t="n"/>
      <c r="E39" s="184" t="n"/>
      <c r="F39" s="184" t="n"/>
      <c r="G39" s="184" t="n"/>
      <c r="H39" s="184" t="n"/>
      <c r="I39" s="184" t="n"/>
      <c r="J39" s="222">
        <f>IF(COUNTIF(J5:J35,"CHECK")=0,"ALL OK","REVIEW")</f>
        <v/>
      </c>
      <c r="K39" s="184" t="n"/>
      <c r="L39" s="184" t="n"/>
      <c r="M39" s="184" t="n"/>
    </row>
    <row r="40">
      <c r="A40" s="134" t="inlineStr">
        <is>
          <t>VALUATION — GORDON GROWTH (PERPETUITY) METHOD</t>
        </is>
      </c>
      <c r="B40" s="192" t="n"/>
      <c r="C40" s="192" t="n"/>
      <c r="D40" s="184" t="n"/>
      <c r="E40" s="184" t="n"/>
      <c r="F40" s="184" t="n"/>
      <c r="G40" s="184" t="n"/>
      <c r="H40" s="184" t="n"/>
      <c r="I40" s="184" t="n"/>
      <c r="J40" s="184" t="n"/>
      <c r="K40" s="184" t="n"/>
      <c r="L40" s="184" t="n"/>
      <c r="M40" s="184" t="n"/>
    </row>
    <row r="41">
      <c r="A41" s="68" t="inlineStr">
        <is>
          <t>Sum of PV of explicit FCF (FY26–FY30)</t>
        </is>
      </c>
      <c r="B41" s="184" t="n"/>
      <c r="C41" s="184" t="n"/>
      <c r="D41" s="184" t="n"/>
      <c r="E41" s="70">
        <f>SUM(F38:I38)</f>
        <v/>
      </c>
      <c r="F41" s="184" t="n"/>
      <c r="G41" s="184" t="n"/>
      <c r="H41" s="184" t="n"/>
      <c r="I41" s="184" t="n"/>
      <c r="J41" s="184" t="n"/>
      <c r="K41" s="184" t="n"/>
      <c r="L41" s="184" t="n"/>
      <c r="M41" s="184" t="n"/>
    </row>
    <row r="42">
      <c r="A42" s="16" t="inlineStr">
        <is>
          <t>Terminal growth rate (g)</t>
        </is>
      </c>
      <c r="B42" s="17" t="n"/>
      <c r="C42" s="197" t="inlineStr">
        <is>
          <t>FRED</t>
        </is>
      </c>
      <c r="D42" s="19" t="n"/>
      <c r="E42" s="32">
        <f>Scenarios!$E$10</f>
        <v/>
      </c>
      <c r="F42" s="184" t="n"/>
      <c r="G42" s="184" t="n"/>
      <c r="H42" s="184" t="n"/>
      <c r="I42" s="184" t="n"/>
      <c r="J42" s="184" t="n"/>
      <c r="K42" s="184" t="n"/>
      <c r="L42" s="184" t="n"/>
      <c r="M42" s="184" t="n"/>
    </row>
    <row r="43" ht="28" customHeight="1">
      <c r="A43" s="68" t="inlineStr">
        <is>
          <t>Terminal EBITDA (FY2030E EBIT + D&amp;A)</t>
        </is>
      </c>
      <c r="B43" s="184" t="n"/>
      <c r="C43" s="184" t="inlineStr">
        <is>
          <t>https://fred.stlouisfed.org/series/GDPC1</t>
        </is>
      </c>
      <c r="D43" s="184" t="n"/>
      <c r="E43" s="25">
        <f>I11+I16</f>
        <v/>
      </c>
      <c r="F43" s="184" t="n"/>
      <c r="G43" s="184" t="n"/>
      <c r="H43" s="184" t="n"/>
      <c r="I43" s="184" t="n"/>
      <c r="J43" s="184" t="n"/>
      <c r="K43" s="184" t="n"/>
      <c r="L43" s="184" t="n"/>
      <c r="M43" s="184" t="n"/>
    </row>
    <row r="44">
      <c r="A44" s="16" t="inlineStr">
        <is>
          <t>Terminal value = FCF₅×(1+g)/(WACC−g)</t>
        </is>
      </c>
      <c r="B44" s="184" t="n"/>
      <c r="C44" s="184" t="n"/>
      <c r="D44" s="184" t="n"/>
      <c r="E44" s="32">
        <f>I35*(1+Scenarios!$E$10)/(Scenarios!$E$9-Scenarios!$E$10)</f>
        <v/>
      </c>
      <c r="F44" s="184" t="n"/>
      <c r="G44" s="184" t="n"/>
      <c r="H44" s="184" t="n"/>
      <c r="I44" s="184" t="n"/>
      <c r="J44" s="184" t="n"/>
      <c r="K44" s="184" t="n"/>
      <c r="L44" s="184" t="n"/>
      <c r="M44" s="184" t="n"/>
    </row>
    <row r="45">
      <c r="A45" s="16" t="inlineStr">
        <is>
          <t>Implied exit EV/EBITDA</t>
        </is>
      </c>
      <c r="B45" s="184" t="n"/>
      <c r="C45" s="184" t="n"/>
      <c r="D45" s="184" t="n"/>
      <c r="E45" s="94">
        <f>E44/E43</f>
        <v/>
      </c>
      <c r="F45" s="184" t="n"/>
      <c r="G45" s="184" t="n"/>
      <c r="H45" s="184" t="n"/>
      <c r="I45" s="184" t="n"/>
      <c r="J45" s="184" t="n"/>
      <c r="K45" s="184" t="n"/>
      <c r="L45" s="184" t="n"/>
      <c r="M45" s="184" t="n"/>
    </row>
    <row r="46">
      <c r="A46" s="68" t="inlineStr">
        <is>
          <t>PV of terminal value</t>
        </is>
      </c>
      <c r="B46" s="184" t="n"/>
      <c r="C46" s="184" t="n"/>
      <c r="D46" s="184" t="n"/>
      <c r="E46" s="70">
        <f>E44/(1+Scenarios!$E$9)^I36</f>
        <v/>
      </c>
      <c r="F46" s="184" t="n"/>
      <c r="G46" s="184" t="n"/>
      <c r="H46" s="184" t="n"/>
      <c r="I46" s="184" t="n"/>
      <c r="J46" s="184" t="n"/>
      <c r="K46" s="184" t="n"/>
      <c r="L46" s="184" t="n"/>
      <c r="M46" s="184" t="n"/>
    </row>
    <row r="47">
      <c r="A47" s="68" t="inlineStr">
        <is>
          <t>Enterprise value</t>
        </is>
      </c>
      <c r="B47" s="184" t="n"/>
      <c r="C47" s="184" t="n"/>
      <c r="D47" s="184" t="n"/>
      <c r="E47" s="30">
        <f>E41+E46</f>
        <v/>
      </c>
      <c r="F47" s="184" t="n"/>
      <c r="G47" s="184" t="n"/>
      <c r="H47" s="184" t="n"/>
      <c r="I47" s="184" t="n"/>
      <c r="J47" s="184" t="n"/>
      <c r="K47" s="184" t="n"/>
      <c r="L47" s="184" t="n"/>
      <c r="M47" s="184" t="n"/>
    </row>
    <row r="48">
      <c r="A48" s="16" t="inlineStr">
        <is>
          <t>Plus: cash &amp; equivalents (FY2025)</t>
        </is>
      </c>
      <c r="B48" s="184" t="n"/>
      <c r="C48" s="223" t="inlineStr">
        <is>
          <t>10-K</t>
        </is>
      </c>
      <c r="D48" s="163" t="n">
        <v>1807202</v>
      </c>
      <c r="E48" s="210" t="n">
        <v>1807202</v>
      </c>
      <c r="F48" s="184" t="n"/>
      <c r="G48" s="184" t="n"/>
      <c r="H48" s="184" t="n"/>
      <c r="I48" s="184" t="n"/>
      <c r="J48" s="184" t="n"/>
      <c r="K48" s="184" t="n"/>
      <c r="L48" s="184" t="n"/>
      <c r="M48" s="184" t="n"/>
    </row>
    <row r="49">
      <c r="A49" s="16" t="inlineStr">
        <is>
          <t>Less: total debt &amp; operating leases</t>
        </is>
      </c>
      <c r="B49" s="17" t="n"/>
      <c r="C49" s="197" t="inlineStr">
        <is>
          <t>10-K</t>
        </is>
      </c>
      <c r="D49" s="163" t="n">
        <v>-1798441</v>
      </c>
      <c r="E49" s="210" t="n">
        <v>-1798441</v>
      </c>
      <c r="F49" s="184" t="n"/>
      <c r="G49" s="184" t="n"/>
      <c r="H49" s="184" t="n"/>
      <c r="I49" s="184" t="n"/>
      <c r="J49" s="184" t="n"/>
      <c r="K49" s="184" t="n"/>
      <c r="L49" s="184" t="n"/>
      <c r="M49" s="184" t="n"/>
    </row>
    <row r="50" ht="28" customHeight="1">
      <c r="A50" s="68" t="inlineStr">
        <is>
          <t>Equity value</t>
        </is>
      </c>
      <c r="B50" s="184" t="n"/>
      <c r="C50" s="184" t="inlineStr">
        <is>
          <t>https://www.sec.gov/Archives/edgar/data/1397187/000139718726000020/lulu-20260201.htm</t>
        </is>
      </c>
      <c r="D50" s="184" t="n"/>
      <c r="E50" s="25">
        <f>E47+E48+E49</f>
        <v/>
      </c>
      <c r="F50" s="184" t="n"/>
      <c r="G50" s="184" t="n"/>
      <c r="H50" s="184" t="n"/>
      <c r="I50" s="184" t="n"/>
      <c r="J50" s="184" t="n"/>
      <c r="K50" s="184" t="n"/>
      <c r="L50" s="184" t="n"/>
      <c r="M50" s="184" t="n"/>
    </row>
    <row r="51" ht="28" customHeight="1">
      <c r="A51" s="16" t="inlineStr">
        <is>
          <t>Shares outstanding (000)</t>
        </is>
      </c>
      <c r="B51" s="184" t="n"/>
      <c r="C51" s="223" t="inlineStr">
        <is>
          <t>10-K</t>
        </is>
      </c>
      <c r="D51" s="149" t="n">
        <v>111380</v>
      </c>
      <c r="E51" s="221" t="n">
        <v>111380</v>
      </c>
      <c r="F51" s="184" t="n"/>
      <c r="G51" s="184" t="n"/>
      <c r="H51" s="184" t="n"/>
      <c r="I51" s="184" t="n"/>
      <c r="J51" s="184" t="n"/>
      <c r="K51" s="184" t="n"/>
      <c r="L51" s="184" t="n"/>
      <c r="M51" s="184" t="n"/>
    </row>
    <row r="52">
      <c r="A52" s="68" t="inlineStr">
        <is>
          <t>Implied value per share</t>
        </is>
      </c>
      <c r="B52" s="184" t="n"/>
      <c r="C52" s="184" t="n"/>
      <c r="D52" s="184" t="n"/>
      <c r="E52" s="224">
        <f>E50/E51</f>
        <v/>
      </c>
      <c r="F52" s="184" t="n"/>
      <c r="G52" s="184" t="n"/>
      <c r="H52" s="184" t="n"/>
      <c r="I52" s="184" t="n"/>
      <c r="J52" s="87">
        <f>IF(ABS(E56-Scenarios!$E$132)&lt;0.05,"OK","CHECK")</f>
        <v/>
      </c>
      <c r="K52" s="184" t="n"/>
      <c r="L52" s="184" t="n"/>
      <c r="M52" s="184" t="n"/>
    </row>
    <row r="53">
      <c r="A53" s="16" t="inlineStr">
        <is>
          <t>Current share price</t>
        </is>
      </c>
      <c r="B53" s="184" t="n"/>
      <c r="C53" s="223" t="inlineStr">
        <is>
          <t>NASDAQ</t>
        </is>
      </c>
      <c r="D53" s="165" t="n">
        <v>100</v>
      </c>
      <c r="E53" s="225" t="n">
        <v>100</v>
      </c>
      <c r="F53" s="184" t="n"/>
      <c r="G53" s="184" t="n"/>
      <c r="H53" s="184" t="n"/>
      <c r="I53" s="184" t="n"/>
      <c r="J53" s="184" t="n"/>
      <c r="K53" s="184" t="n"/>
      <c r="L53" s="184" t="n"/>
      <c r="M53" s="184" t="n"/>
    </row>
    <row r="54">
      <c r="A54" s="68" t="inlineStr">
        <is>
          <t>Implied upside / (downside)</t>
        </is>
      </c>
      <c r="B54" s="184" t="n"/>
      <c r="C54" s="184" t="n"/>
      <c r="D54" s="184" t="n"/>
      <c r="E54" s="226">
        <f>E52/E53-1</f>
        <v/>
      </c>
      <c r="F54" s="184" t="n"/>
      <c r="G54" s="184" t="n"/>
      <c r="H54" s="184" t="n"/>
      <c r="I54" s="184" t="n"/>
      <c r="J54" s="184" t="n"/>
      <c r="K54" s="184" t="n"/>
      <c r="L54" s="184" t="n"/>
      <c r="M54" s="184" t="n"/>
    </row>
    <row r="55" ht="28" customHeight="1">
      <c r="A55" s="184" t="n"/>
      <c r="B55" s="184" t="n"/>
      <c r="C55" s="184" t="inlineStr">
        <is>
          <t>https://www.sec.gov/Archives/edgar/data/1397187/000139718726000020/lulu-20260201.htm</t>
        </is>
      </c>
      <c r="D55" s="184" t="n"/>
      <c r="E55" s="184" t="inlineStr">
        <is>
          <t>https://www.sec.gov/Archives/edgar/data/1397187/000139718726000020/lulu-20260201.htm</t>
        </is>
      </c>
      <c r="F55" s="184" t="n"/>
      <c r="G55" s="184" t="n"/>
      <c r="H55" s="184" t="n"/>
      <c r="I55" s="184" t="n"/>
      <c r="J55" s="184" t="n"/>
      <c r="K55" s="184" t="n"/>
      <c r="L55" s="184" t="n"/>
      <c r="M55" s="184" t="n"/>
    </row>
    <row r="56">
      <c r="A56" s="184" t="n"/>
      <c r="B56" s="184" t="n"/>
      <c r="C56" s="184" t="n"/>
      <c r="D56" s="184" t="n"/>
      <c r="E56" s="184" t="n"/>
      <c r="F56" s="184" t="n"/>
      <c r="G56" s="184" t="n"/>
      <c r="H56" s="184" t="n"/>
      <c r="I56" s="184" t="n"/>
      <c r="J56" s="184" t="n"/>
      <c r="K56" s="184" t="n"/>
      <c r="L56" s="184" t="n"/>
      <c r="M56" s="184" t="n"/>
    </row>
    <row r="57" ht="28" customHeight="1">
      <c r="A57" s="134" t="inlineStr">
        <is>
          <t>SHARE REPURCHASE &amp; EPS ACCRETION SCHEDULE</t>
        </is>
      </c>
      <c r="B57" s="192" t="n"/>
      <c r="C57" s="192" t="inlineStr">
        <is>
          <t>https://www.nasdaq.com/market-activity/stocks/lulu</t>
        </is>
      </c>
      <c r="D57" s="192" t="n"/>
      <c r="E57" s="192" t="inlineStr">
        <is>
          <t>https://www.nasdaq.com/market-activity/stocks/lulu</t>
        </is>
      </c>
      <c r="F57" s="184" t="n"/>
      <c r="G57" s="184" t="n"/>
      <c r="H57" s="184" t="n"/>
      <c r="I57" s="184" t="n"/>
      <c r="J57" s="184" t="n"/>
      <c r="K57" s="184" t="n"/>
      <c r="L57" s="184" t="n"/>
      <c r="M57" s="184" t="n"/>
    </row>
    <row r="58">
      <c r="A58" s="26" t="inlineStr">
        <is>
          <t>Guardrail: implied value per share above still divides equity value by Day-1 shares (E51 = 111,380k). This schedule does not change intrinsic DCF per share.</t>
        </is>
      </c>
      <c r="B58" s="184" t="n"/>
      <c r="C58" s="184" t="n"/>
      <c r="D58" s="184" t="n"/>
      <c r="E58" s="184" t="n"/>
      <c r="F58" s="184" t="n"/>
      <c r="G58" s="184" t="n"/>
      <c r="H58" s="184" t="n"/>
      <c r="I58" s="184" t="n"/>
      <c r="J58" s="184" t="n"/>
      <c r="K58" s="184" t="n"/>
      <c r="L58" s="184" t="n"/>
      <c r="M58" s="184" t="n"/>
    </row>
    <row r="59">
      <c r="A59" s="184" t="n"/>
      <c r="B59" s="184" t="n"/>
      <c r="C59" s="184" t="n"/>
      <c r="D59" s="184" t="n"/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</row>
    <row r="60">
      <c r="A60" s="16" t="inlineStr">
        <is>
          <t>Annual repurchase budget ($000) — base case</t>
        </is>
      </c>
      <c r="B60" s="184" t="n"/>
      <c r="C60" s="184" t="n"/>
      <c r="D60" s="217" t="n">
        <v>500000</v>
      </c>
      <c r="E60" s="75" t="n">
        <v>500000</v>
      </c>
      <c r="F60" s="75">
        <f>$E$65</f>
        <v/>
      </c>
      <c r="G60" s="75">
        <f>$E$65</f>
        <v/>
      </c>
      <c r="H60" s="75">
        <f>$E$65</f>
        <v/>
      </c>
      <c r="I60" s="75">
        <f>$E$65</f>
        <v/>
      </c>
      <c r="J60" s="184" t="n"/>
      <c r="K60" s="184" t="n"/>
      <c r="L60" s="184" t="n"/>
      <c r="M60" s="184" t="n"/>
    </row>
    <row r="61">
      <c r="A61" s="16" t="inlineStr">
        <is>
          <t>Cost of equity — share-price growth rate</t>
        </is>
      </c>
      <c r="B61" s="184" t="n"/>
      <c r="C61" s="184" t="n"/>
      <c r="D61" s="219" t="n">
        <v>0.105</v>
      </c>
      <c r="E61" s="32" t="n">
        <v>0.105</v>
      </c>
      <c r="F61" s="32">
        <f>$E$66</f>
        <v/>
      </c>
      <c r="G61" s="32">
        <f>$E$66</f>
        <v/>
      </c>
      <c r="H61" s="32">
        <f>$E$66</f>
        <v/>
      </c>
      <c r="I61" s="32">
        <f>$E$66</f>
        <v/>
      </c>
      <c r="J61" s="184" t="n"/>
      <c r="K61" s="184" t="n"/>
      <c r="L61" s="184" t="n"/>
      <c r="M61" s="184" t="n"/>
    </row>
    <row r="62">
      <c r="A62" s="184" t="n"/>
      <c r="B62" s="184" t="n"/>
      <c r="C62" s="184" t="n"/>
      <c r="D62" s="184" t="n"/>
      <c r="E62" s="184" t="n"/>
      <c r="F62" s="184" t="n"/>
      <c r="G62" s="184" t="n"/>
      <c r="H62" s="184" t="n"/>
      <c r="I62" s="184" t="n"/>
      <c r="J62" s="184" t="n"/>
      <c r="K62" s="184" t="n"/>
      <c r="L62" s="184" t="n"/>
      <c r="M62" s="184" t="n"/>
    </row>
    <row r="63">
      <c r="A63" s="16" t="inlineStr">
        <is>
          <t>Unlevered free cash flow (from DCF above)</t>
        </is>
      </c>
      <c r="B63" s="184" t="n"/>
      <c r="C63" s="184" t="n"/>
      <c r="D63" s="184" t="n"/>
      <c r="E63" s="184" t="n"/>
      <c r="F63" s="75">
        <f>F35</f>
        <v/>
      </c>
      <c r="G63" s="75">
        <f>G35</f>
        <v/>
      </c>
      <c r="H63" s="75">
        <f>H35</f>
        <v/>
      </c>
      <c r="I63" s="75">
        <f>I35</f>
        <v/>
      </c>
      <c r="J63" s="184" t="n"/>
      <c r="K63" s="184" t="n"/>
      <c r="L63" s="184" t="n"/>
      <c r="M63" s="184" t="n"/>
    </row>
    <row r="64">
      <c r="A64" s="16" t="inlineStr">
        <is>
          <t>Repurchase cash deployed (= fixed budget)</t>
        </is>
      </c>
      <c r="B64" s="184" t="n"/>
      <c r="C64" s="184" t="n"/>
      <c r="D64" s="217" t="n">
        <v>0</v>
      </c>
      <c r="E64" s="75" t="n">
        <v>0</v>
      </c>
      <c r="F64" s="75">
        <f>F65</f>
        <v/>
      </c>
      <c r="G64" s="75">
        <f>G65</f>
        <v/>
      </c>
      <c r="H64" s="75">
        <f>H65</f>
        <v/>
      </c>
      <c r="I64" s="75">
        <f>I65</f>
        <v/>
      </c>
      <c r="J64" s="184" t="n"/>
      <c r="K64" s="184" t="n"/>
      <c r="L64" s="184" t="n"/>
      <c r="M64" s="184" t="n"/>
    </row>
    <row r="65">
      <c r="A65" s="16" t="inlineStr">
        <is>
          <t>Repurchase as % of UFCF (derived)</t>
        </is>
      </c>
      <c r="B65" s="184" t="n"/>
      <c r="C65" s="184" t="n"/>
      <c r="D65" s="184" t="n"/>
      <c r="E65" s="184" t="n"/>
      <c r="F65" s="75">
        <f>F69/F68</f>
        <v/>
      </c>
      <c r="G65" s="75">
        <f>G69/G68</f>
        <v/>
      </c>
      <c r="H65" s="32">
        <f>H69/H68</f>
        <v/>
      </c>
      <c r="I65" s="32">
        <f>I69/I68</f>
        <v/>
      </c>
      <c r="J65" s="184" t="n"/>
      <c r="K65" s="184" t="n"/>
      <c r="L65" s="184" t="n"/>
      <c r="M65" s="184" t="n"/>
    </row>
    <row r="66">
      <c r="A66" s="184" t="n"/>
      <c r="B66" s="184" t="n"/>
      <c r="C66" s="184" t="n"/>
      <c r="D66" s="184" t="n"/>
      <c r="E66" s="184" t="n"/>
      <c r="F66" s="184" t="n"/>
      <c r="G66" s="184" t="n"/>
      <c r="H66" s="184" t="n"/>
      <c r="I66" s="184" t="n"/>
      <c r="J66" s="184" t="n"/>
      <c r="K66" s="184" t="n"/>
      <c r="L66" s="184" t="n"/>
      <c r="M66" s="184" t="n"/>
    </row>
    <row r="67">
      <c r="A67" s="16" t="inlineStr">
        <is>
          <t>Projected share price ($)</t>
        </is>
      </c>
      <c r="B67" s="184" t="n"/>
      <c r="C67" s="184" t="n"/>
      <c r="D67" s="227" t="n">
        <v>100</v>
      </c>
      <c r="E67" s="99" t="n">
        <v>100</v>
      </c>
      <c r="F67" s="99">
        <f>E72*(1+$E$66)</f>
        <v/>
      </c>
      <c r="G67" s="99">
        <f>F72*(1+$E$66)</f>
        <v/>
      </c>
      <c r="H67" s="99">
        <f>H72*(1+$E$66)</f>
        <v/>
      </c>
      <c r="I67" s="99">
        <f>H72*(1+$E$66)</f>
        <v/>
      </c>
      <c r="J67" s="184" t="n"/>
      <c r="K67" s="184" t="n"/>
      <c r="L67" s="184" t="n"/>
      <c r="M67" s="184" t="n"/>
    </row>
    <row r="68">
      <c r="A68" s="16" t="inlineStr">
        <is>
          <t>Shares retired (000)</t>
        </is>
      </c>
      <c r="B68" s="184" t="n"/>
      <c r="C68" s="184" t="n"/>
      <c r="D68" s="228" t="n">
        <v>0</v>
      </c>
      <c r="E68" s="167" t="n">
        <v>0</v>
      </c>
      <c r="F68" s="167">
        <f>F69/F72</f>
        <v/>
      </c>
      <c r="G68" s="167">
        <f>G69/G72</f>
        <v/>
      </c>
      <c r="H68" s="75">
        <f>H69/H72</f>
        <v/>
      </c>
      <c r="I68" s="75">
        <f>I69/I72</f>
        <v/>
      </c>
      <c r="J68" s="184" t="n"/>
      <c r="K68" s="184" t="n"/>
      <c r="L68" s="184" t="n"/>
      <c r="M68" s="184" t="n"/>
    </row>
    <row r="69">
      <c r="A69" s="16" t="inlineStr">
        <is>
          <t>Beginning shares (000)</t>
        </is>
      </c>
      <c r="B69" s="184" t="n"/>
      <c r="C69" s="184" t="n"/>
      <c r="D69" s="228" t="n">
        <v>111380</v>
      </c>
      <c r="E69" s="167" t="n">
        <v>111380</v>
      </c>
      <c r="F69" s="167">
        <f>$E$74</f>
        <v/>
      </c>
      <c r="G69" s="167">
        <f>F75</f>
        <v/>
      </c>
      <c r="H69" s="75">
        <f>H75</f>
        <v/>
      </c>
      <c r="I69" s="75">
        <f>H75</f>
        <v/>
      </c>
      <c r="J69" s="184" t="n"/>
      <c r="K69" s="184" t="n"/>
      <c r="L69" s="184" t="n"/>
      <c r="M69" s="184" t="n"/>
    </row>
    <row r="70">
      <c r="A70" s="68" t="inlineStr">
        <is>
          <t>Ending shares (000)</t>
        </is>
      </c>
      <c r="B70" s="184" t="n"/>
      <c r="C70" s="184" t="n"/>
      <c r="D70" s="228" t="n">
        <v>111380</v>
      </c>
      <c r="E70" s="168" t="n">
        <v>111380</v>
      </c>
      <c r="F70" s="168">
        <f>F74-F73</f>
        <v/>
      </c>
      <c r="G70" s="168">
        <f>G74-G73</f>
        <v/>
      </c>
      <c r="H70" s="25">
        <f>H74-H73</f>
        <v/>
      </c>
      <c r="I70" s="25">
        <f>I74-I73</f>
        <v/>
      </c>
      <c r="J70" s="184" t="n"/>
      <c r="K70" s="184" t="n"/>
      <c r="L70" s="184" t="n"/>
      <c r="M70" s="184" t="n"/>
    </row>
    <row r="71">
      <c r="A71" s="184" t="n"/>
      <c r="B71" s="184" t="n"/>
      <c r="C71" s="184" t="n"/>
      <c r="D71" s="184" t="n"/>
      <c r="E71" s="184" t="n"/>
      <c r="F71" s="184" t="n"/>
      <c r="G71" s="184" t="n"/>
      <c r="H71" s="184" t="n"/>
      <c r="I71" s="184" t="n"/>
      <c r="J71" s="184" t="n"/>
      <c r="K71" s="184" t="n"/>
      <c r="L71" s="184" t="n"/>
      <c r="M71" s="184" t="n"/>
    </row>
    <row r="72">
      <c r="A72" s="16" t="inlineStr">
        <is>
          <t>Projected net income ($000)</t>
        </is>
      </c>
      <c r="B72" s="184" t="n"/>
      <c r="C72" s="184" t="n"/>
      <c r="D72" s="217" t="n">
        <v>1579183</v>
      </c>
      <c r="E72" s="75" t="n">
        <v>1579183</v>
      </c>
      <c r="F72" s="75">
        <f>('NOPAT Bridge'!E36-'NOPAT Bridge'!E23)*(1-'NOPAT Bridge'!E$39)</f>
        <v/>
      </c>
      <c r="G72" s="75">
        <f>('NOPAT Bridge'!F36-'NOPAT Bridge'!F23)*(1-'NOPAT Bridge'!F$39)</f>
        <v/>
      </c>
      <c r="H72" s="75">
        <f>('NOPAT Bridge'!H36-'NOPAT Bridge'!H23)*(1-'NOPAT Bridge'!H$39)</f>
        <v/>
      </c>
      <c r="I72" s="75">
        <f>('NOPAT Bridge'!H36-'NOPAT Bridge'!H23)*(1-'NOPAT Bridge'!H$39)</f>
        <v/>
      </c>
      <c r="J72" s="184" t="n"/>
      <c r="K72" s="184" t="n"/>
      <c r="L72" s="184" t="n"/>
      <c r="M72" s="184" t="n"/>
    </row>
    <row r="73">
      <c r="A73" s="68" t="inlineStr">
        <is>
          <t>Accretive EPS ($/share) = Net income ÷ ending shares</t>
        </is>
      </c>
      <c r="B73" s="184" t="n"/>
      <c r="C73" s="184" t="n"/>
      <c r="D73" s="227" t="n">
        <v>14.1783354282636</v>
      </c>
      <c r="E73" s="101" t="n">
        <v>14.1783354282636</v>
      </c>
      <c r="F73" s="101">
        <f>F77/F75</f>
        <v/>
      </c>
      <c r="G73" s="101">
        <f>G77/G75</f>
        <v/>
      </c>
      <c r="H73" s="101">
        <f>H77/H75</f>
        <v/>
      </c>
      <c r="I73" s="101">
        <f>I77/I75</f>
        <v/>
      </c>
      <c r="J73" s="184" t="n"/>
      <c r="K73" s="184" t="n"/>
      <c r="L73" s="184" t="n"/>
      <c r="M73" s="184" t="n"/>
    </row>
    <row r="74">
      <c r="A74" s="184" t="n"/>
      <c r="B74" s="184" t="n"/>
      <c r="C74" s="184" t="n"/>
      <c r="D74" s="184" t="n"/>
      <c r="E74" s="184" t="n"/>
      <c r="F74" s="184" t="n"/>
      <c r="G74" s="184" t="n"/>
      <c r="H74" s="184" t="n"/>
      <c r="I74" s="184" t="n"/>
      <c r="J74" s="184" t="n"/>
      <c r="K74" s="184" t="n"/>
      <c r="L74" s="184" t="n"/>
      <c r="M74" s="184" t="n"/>
    </row>
    <row r="75">
      <c r="A75" s="134" t="inlineStr">
        <is>
          <t>CROSS-CHECK — EXIT MULTIPLE METHOD</t>
        </is>
      </c>
      <c r="B75" s="192" t="n"/>
      <c r="C75" s="192" t="n"/>
      <c r="D75" s="184" t="n"/>
      <c r="E75" s="184" t="n"/>
      <c r="F75" s="184" t="n"/>
      <c r="G75" s="184" t="n"/>
      <c r="H75" s="184" t="n"/>
      <c r="I75" s="184" t="n"/>
      <c r="J75" s="184" t="n"/>
      <c r="K75" s="184" t="n"/>
      <c r="L75" s="184" t="n"/>
      <c r="M75" s="184" t="n"/>
    </row>
    <row r="76">
      <c r="A76" s="61" t="inlineStr">
        <is>
          <t>Exit multiple is the Gordon identity — not a peer pick or an average</t>
        </is>
      </c>
      <c r="B76" s="184" t="n"/>
      <c r="C76" s="184" t="n"/>
      <c r="D76" s="184" t="n"/>
      <c r="E76" s="184" t="n"/>
      <c r="F76" s="184" t="n"/>
      <c r="G76" s="184" t="n"/>
      <c r="H76" s="184" t="n"/>
      <c r="I76" s="184" t="n"/>
      <c r="J76" s="184" t="n"/>
      <c r="K76" s="184" t="n"/>
      <c r="L76" s="184" t="n"/>
      <c r="M76" s="184" t="n"/>
    </row>
    <row r="77">
      <c r="A77" s="16" t="inlineStr">
        <is>
          <t>Selected exit EV/EBITDA</t>
        </is>
      </c>
      <c r="B77" s="17" t="n"/>
      <c r="C77" s="197" t="inlineStr">
        <is>
          <t>DCF: Gordon implied exit (TV / FY30 EBIT</t>
        </is>
      </c>
      <c r="D77" s="19" t="n"/>
      <c r="E77" s="94">
        <f>E46</f>
        <v/>
      </c>
      <c r="F77" s="184" t="n"/>
      <c r="G77" s="184" t="n"/>
      <c r="H77" s="184" t="n"/>
      <c r="I77" s="184" t="n"/>
      <c r="J77" s="184" t="n"/>
      <c r="K77" s="184" t="n"/>
      <c r="L77" s="223" t="n"/>
      <c r="M77" s="184" t="n"/>
    </row>
    <row r="78">
      <c r="A78" s="16" t="inlineStr">
        <is>
          <t>Terminal value = Terminal EBITDA × exit multiple</t>
        </is>
      </c>
      <c r="B78" s="184" t="n"/>
      <c r="C78" s="184" t="n"/>
      <c r="D78" s="184" t="n"/>
      <c r="E78" s="94">
        <f>E43*E77</f>
        <v/>
      </c>
      <c r="F78" s="184" t="n"/>
      <c r="G78" s="184" t="n"/>
      <c r="H78" s="184" t="n"/>
      <c r="I78" s="184" t="n"/>
      <c r="J78" s="184" t="n"/>
      <c r="K78" s="184" t="n"/>
      <c r="L78" s="184" t="n"/>
      <c r="M78" s="184" t="n"/>
    </row>
    <row r="79">
      <c r="A79" s="16" t="inlineStr">
        <is>
          <t>PV of terminal value</t>
        </is>
      </c>
      <c r="B79" s="184" t="n"/>
      <c r="C79" s="184" t="n"/>
      <c r="D79" s="184" t="n"/>
      <c r="E79" s="75">
        <f>E78/(1+Scenarios!$E$9)^I36</f>
        <v/>
      </c>
      <c r="F79" s="184" t="n"/>
      <c r="G79" s="184" t="n"/>
      <c r="H79" s="184" t="n"/>
      <c r="I79" s="184" t="n"/>
      <c r="J79" s="184" t="n"/>
      <c r="K79" s="184" t="n"/>
      <c r="L79" s="184" t="n"/>
      <c r="M79" s="184" t="n"/>
    </row>
    <row r="80">
      <c r="A80" s="68" t="inlineStr">
        <is>
          <t>Enterprise value (exit method)</t>
        </is>
      </c>
      <c r="B80" s="184" t="n"/>
      <c r="C80" s="184" t="n"/>
      <c r="D80" s="184" t="n"/>
      <c r="E80" s="30">
        <f>E41+E79</f>
        <v/>
      </c>
      <c r="F80" s="184" t="n"/>
      <c r="G80" s="184" t="n"/>
      <c r="H80" s="184" t="n"/>
      <c r="I80" s="184" t="n"/>
      <c r="J80" s="184" t="n"/>
      <c r="K80" s="184" t="n"/>
      <c r="L80" s="184" t="n"/>
      <c r="M80" s="184" t="n"/>
    </row>
    <row r="81">
      <c r="A81" s="68" t="inlineStr">
        <is>
          <t>Implied value per share (exit method)</t>
        </is>
      </c>
      <c r="B81" s="184" t="n"/>
      <c r="C81" s="184" t="n"/>
      <c r="D81" s="184" t="n"/>
      <c r="E81" s="229">
        <f>(E80+E48+E49)/E51</f>
        <v/>
      </c>
      <c r="F81" s="184" t="n"/>
      <c r="G81" s="184" t="n"/>
      <c r="H81" s="184" t="n"/>
      <c r="I81" s="184" t="n"/>
      <c r="J81" s="184" t="n"/>
      <c r="K81" s="184" t="n"/>
      <c r="L81" s="184" t="n"/>
      <c r="M81" s="184" t="n"/>
    </row>
    <row r="82" ht="28" customHeight="1">
      <c r="A82" s="184" t="n"/>
      <c r="B82" s="184" t="n"/>
      <c r="C82" s="184" t="inlineStr">
        <is>
          <t>'DCF'!E46</t>
        </is>
      </c>
      <c r="D82" s="184" t="n"/>
      <c r="E82" s="184" t="n"/>
      <c r="F82" s="184" t="n"/>
      <c r="G82" s="184" t="n"/>
      <c r="H82" s="184" t="n"/>
      <c r="I82" s="184" t="n"/>
      <c r="J82" s="184" t="n"/>
      <c r="K82" s="184" t="n"/>
      <c r="L82" s="184" t="inlineStr">
        <is>
          <t>'Comps'!A45</t>
        </is>
      </c>
      <c r="M82" s="184" t="inlineStr">
        <is>
          <t>'Comps'!A45</t>
        </is>
      </c>
    </row>
    <row r="83">
      <c r="A83" s="134" t="inlineStr">
        <is>
          <t>Terminal value check</t>
        </is>
      </c>
      <c r="B83" s="192" t="n"/>
      <c r="C83" s="192" t="n"/>
      <c r="D83" s="192" t="n"/>
      <c r="E83" s="184" t="n"/>
      <c r="F83" s="184" t="n"/>
      <c r="G83" s="184" t="n"/>
      <c r="H83" s="184" t="n"/>
      <c r="I83" s="184" t="n"/>
      <c r="J83" s="184" t="n"/>
      <c r="K83" s="184" t="n"/>
      <c r="L83" s="184" t="n"/>
      <c r="M83" s="184" t="n"/>
    </row>
    <row r="84">
      <c r="A84" s="103" t="inlineStr"/>
      <c r="B84" s="202">
        <f>B45*B83</f>
        <v/>
      </c>
      <c r="C84" s="202" t="inlineStr">
        <is>
          <t>Exit Multiple</t>
        </is>
      </c>
      <c r="D84" s="202" t="n"/>
      <c r="E84" s="184" t="n"/>
      <c r="F84" s="184" t="n"/>
      <c r="G84" s="184" t="n"/>
      <c r="H84" s="184" t="n"/>
      <c r="I84" s="184" t="n"/>
      <c r="J84" s="184" t="n"/>
      <c r="K84" s="184" t="n"/>
      <c r="L84" s="184" t="n"/>
      <c r="M84" s="184" t="n"/>
    </row>
    <row r="85">
      <c r="A85" s="68" t="inlineStr">
        <is>
          <t>Terminal value ($)</t>
        </is>
      </c>
      <c r="B85" s="70" t="n"/>
      <c r="C85" s="70">
        <f>E83</f>
        <v/>
      </c>
      <c r="D85" s="70" t="n"/>
      <c r="E85" s="184" t="n"/>
      <c r="F85" s="184" t="n"/>
      <c r="G85" s="184" t="n"/>
      <c r="H85" s="184" t="n"/>
      <c r="I85" s="184" t="n"/>
      <c r="J85" s="184" t="n"/>
      <c r="K85" s="184" t="n"/>
      <c r="L85" s="184" t="n"/>
      <c r="M85" s="184" t="n"/>
    </row>
    <row r="86">
      <c r="A86" s="68" t="inlineStr">
        <is>
          <t>Exit EV/EBITDA (implied vs selected)</t>
        </is>
      </c>
      <c r="B86" s="104" t="n"/>
      <c r="C86" s="104">
        <f>E82</f>
        <v/>
      </c>
      <c r="D86" s="104" t="n"/>
      <c r="E86" s="184" t="n"/>
      <c r="F86" s="184" t="n"/>
      <c r="G86" s="184" t="n"/>
      <c r="H86" s="184" t="n"/>
      <c r="I86" s="184" t="n"/>
      <c r="J86" s="184" t="n"/>
      <c r="K86" s="184" t="n"/>
      <c r="L86" s="184" t="n"/>
      <c r="M86" s="184" t="n"/>
    </row>
    <row r="87">
      <c r="A87" s="16" t="inlineStr">
        <is>
          <t>Terminal value variance (%)</t>
        </is>
      </c>
      <c r="B87" s="32">
        <f>(B86+B51+B52)/B56</f>
        <v/>
      </c>
      <c r="C87" s="32" t="n"/>
      <c r="D87" s="32" t="n"/>
      <c r="E87" s="184" t="n"/>
      <c r="F87" s="184" t="n"/>
      <c r="G87" s="184" t="n"/>
      <c r="H87" s="184" t="n"/>
      <c r="I87" s="184" t="n"/>
      <c r="J87" s="184" t="n"/>
      <c r="K87" s="184" t="n"/>
      <c r="L87" s="184" t="n"/>
      <c r="M87" s="184" t="n"/>
    </row>
    <row r="88">
      <c r="A88" s="68" t="inlineStr">
        <is>
          <t>Implied share price</t>
        </is>
      </c>
      <c r="B88" s="105" t="n"/>
      <c r="C88" s="105">
        <f>E86</f>
        <v/>
      </c>
      <c r="D88" s="105" t="n"/>
      <c r="E88" s="184" t="n"/>
      <c r="F88" s="184" t="n"/>
      <c r="G88" s="184" t="n"/>
      <c r="H88" s="184" t="n"/>
      <c r="I88" s="184" t="n"/>
      <c r="J88" s="184" t="n"/>
      <c r="K88" s="184" t="n"/>
      <c r="L88" s="184" t="n"/>
      <c r="M88" s="184" t="n"/>
    </row>
    <row r="89">
      <c r="A89" s="68" t="inlineStr">
        <is>
          <t>Exit multiple check (±1.5x)</t>
        </is>
      </c>
      <c r="B89" s="230" t="n"/>
      <c r="C89" s="107">
        <f>TEXT(D91,"0.0")&amp;"x spread vs Gordon-imp</f>
        <v/>
      </c>
      <c r="D89" s="26" t="n"/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</row>
    <row r="90">
      <c r="A90" s="184" t="n"/>
      <c r="B90" s="184" t="inlineStr">
        <is>
          <t>Gordon Growth</t>
        </is>
      </c>
      <c r="C90" s="184" t="inlineStr">
        <is>
          <t>Exit Multiple</t>
        </is>
      </c>
      <c r="D90" s="184" t="inlineStr">
        <is>
          <t>Variance</t>
        </is>
      </c>
      <c r="E90" s="184" t="n"/>
      <c r="F90" s="184" t="n"/>
      <c r="G90" s="184" t="n"/>
      <c r="H90" s="184" t="n"/>
      <c r="I90" s="184" t="n"/>
      <c r="J90" s="184" t="n"/>
      <c r="K90" s="184" t="n"/>
      <c r="L90" s="184" t="n"/>
      <c r="M90" s="184" t="n"/>
    </row>
    <row r="91">
      <c r="A91" s="184" t="inlineStr">
        <is>
          <t>Terminal value ($)</t>
        </is>
      </c>
      <c r="B91" s="217">
        <f>B46</f>
        <v/>
      </c>
      <c r="C91" s="217">
        <f>B84</f>
        <v/>
      </c>
      <c r="D91" s="217">
        <f>B91-C91</f>
        <v/>
      </c>
      <c r="E91" s="184" t="n"/>
      <c r="F91" s="184" t="n"/>
      <c r="G91" s="184" t="n"/>
      <c r="H91" s="184" t="n"/>
      <c r="I91" s="184" t="n"/>
      <c r="J91" s="184" t="n"/>
      <c r="K91" s="184" t="n"/>
      <c r="L91" s="184" t="n"/>
      <c r="M91" s="184" t="n"/>
    </row>
    <row r="92">
      <c r="A92" s="134" t="inlineStr">
        <is>
          <t>Exit EV/EBITDA (implied vs selected)</t>
        </is>
      </c>
      <c r="B92" s="231">
        <f>B47</f>
        <v/>
      </c>
      <c r="C92" s="231">
        <f>B83</f>
        <v/>
      </c>
      <c r="D92" s="231">
        <f>B92-C92</f>
        <v/>
      </c>
      <c r="E92" s="192" t="n"/>
      <c r="F92" s="192" t="n"/>
      <c r="G92" s="192" t="n"/>
      <c r="H92" s="184" t="n"/>
      <c r="I92" s="184" t="n"/>
      <c r="J92" s="184" t="n"/>
      <c r="K92" s="184" t="n"/>
      <c r="L92" s="184" t="n"/>
      <c r="M92" s="184" t="n"/>
    </row>
    <row r="93">
      <c r="A93" s="232" t="inlineStr">
        <is>
          <t>Terminal value variance (%)</t>
        </is>
      </c>
      <c r="B93" s="17" t="n"/>
      <c r="C93" s="197" t="n"/>
      <c r="D93" s="145">
        <f>(B91-C91)/B91</f>
        <v/>
      </c>
      <c r="E93" s="219" t="n">
        <v>0.015</v>
      </c>
      <c r="F93" s="233" t="n">
        <v>0.02</v>
      </c>
      <c r="G93" s="233" t="n">
        <v>0.0225</v>
      </c>
      <c r="H93" s="233" t="n">
        <v>0.03</v>
      </c>
      <c r="I93" s="233" t="n">
        <v>0.03</v>
      </c>
      <c r="J93" s="184" t="n"/>
      <c r="K93" s="223" t="inlineStr">
        <is>
          <t>Scenarios: terminal g</t>
        </is>
      </c>
      <c r="L93" s="184" t="n"/>
      <c r="M93" s="184" t="n"/>
    </row>
    <row r="94">
      <c r="A94" s="233" t="inlineStr">
        <is>
          <t>Implied share price</t>
        </is>
      </c>
      <c r="B94" s="227">
        <f>B57</f>
        <v/>
      </c>
      <c r="C94" s="234">
        <f>B87</f>
        <v/>
      </c>
      <c r="D94" s="165">
        <f>B94-C94</f>
        <v/>
      </c>
      <c r="E94" s="184" t="n"/>
      <c r="F94" s="110">
        <f>(NPV(0.095,F35:I35)+(I35*(1+0.015)/(0.095-0.015))/(1+0.095)^5+E48+E49)/E51</f>
        <v/>
      </c>
      <c r="G94" s="110">
        <f>(NPV(0.095,F35:I35)+(I35*(1+0.02)/(0.095-0.02))/(1+0.095)^5+E48+E49)/E51</f>
        <v/>
      </c>
      <c r="H94" s="110">
        <f>(NPV(0.095,F35:I35)+(I35*(1+0.025)/(0.095-0.025))/(1+0.095)^5+E48+E49)/E51</f>
        <v/>
      </c>
      <c r="I94" s="110">
        <f>(NPV(0.095,F35:I35)+(I35*(1+0.03)/(0.095-0.03))/(1+0.095)^5+E48+E49)/E51</f>
        <v/>
      </c>
      <c r="J94" s="184" t="n"/>
      <c r="K94" s="223" t="inlineStr">
        <is>
          <t>WACC tab</t>
        </is>
      </c>
      <c r="L94" s="184" t="n"/>
      <c r="M94" s="184" t="n"/>
    </row>
    <row r="95">
      <c r="A95" s="233" t="inlineStr">
        <is>
          <t>Exit multiple check (±1.5x)</t>
        </is>
      </c>
      <c r="B95" s="235">
        <f>IF(ABS(D92)&lt;=1.5,"PASS","REVIEW")</f>
        <v/>
      </c>
      <c r="C95" s="235">
        <f>TEXT(D92,"0.0")&amp;"x spread vs Gordon-implied exit"</f>
        <v/>
      </c>
      <c r="D95" s="19" t="inlineStr">
        <is>
          <t>Exit multiple = Gordon-implied (FY30 EBITDA)</t>
        </is>
      </c>
      <c r="E95" s="184" t="n"/>
      <c r="F95" s="172">
        <f>(NPV(0.1,F35:I35)+(I35*(1+0.015)/(0.1-0.015))/(1+0.1)^5+E48+E49)/E51</f>
        <v/>
      </c>
      <c r="G95" s="172">
        <f>(NPV(0.1,F35:I35)+(I35*(1+0.02)/(0.1-0.02))/(1+0.1)^5+E48+E49)/E51</f>
        <v/>
      </c>
      <c r="H95" s="110">
        <f>(NPV(0.1,F35:I35)+(I35*(1+0.025)/(0.1-0.025))/(1+0.1)^5+E48+E49)/E51</f>
        <v/>
      </c>
      <c r="I95" s="110">
        <f>(NPV(0.1,F35:I35)+(I35*(1+0.03)/(0.1-0.03))/(1+0.1)^5+E48+E49)/E51</f>
        <v/>
      </c>
      <c r="J95" s="184" t="n"/>
      <c r="K95" s="223" t="inlineStr">
        <is>
          <t>WACC tab</t>
        </is>
      </c>
      <c r="L95" s="184" t="n"/>
      <c r="M95" s="184" t="n"/>
    </row>
    <row r="96">
      <c r="A96" s="233" t="n">
        <v>0.105</v>
      </c>
      <c r="B96" s="184" t="n"/>
      <c r="C96" s="184" t="n"/>
      <c r="D96" s="19" t="n"/>
      <c r="E96" s="184" t="n"/>
      <c r="F96" s="110">
        <f>(NPV(0.105,F35:I35)+(I35*(1+0.015)/(0.105-0.015))/(1+0.105)^5+E48+E49)/E51</f>
        <v/>
      </c>
      <c r="G96" s="110">
        <f>(NPV(0.105,F35:I35)+(I35*(1+0.02)/(0.105-0.02))/(1+0.105)^5+E48+E49)/E51</f>
        <v/>
      </c>
      <c r="H96" s="110">
        <f>(NPV(0.105,F35:I35)+(I35*(1+0.025)/(0.105-0.025))/(1+0.105)^5+E48+E49)/E51</f>
        <v/>
      </c>
      <c r="I96" s="110">
        <f>(NPV(0.105,F35:I35)+(I35*(1+0.03)/(0.105-0.03))/(1+0.105)^5+E48+E49)/E51</f>
        <v/>
      </c>
      <c r="J96" s="184" t="n"/>
      <c r="K96" s="223" t="inlineStr">
        <is>
          <t>WACC tab</t>
        </is>
      </c>
      <c r="L96" s="184" t="n"/>
      <c r="M96" s="184" t="n"/>
    </row>
    <row r="97">
      <c r="A97" s="233" t="n">
        <v>0.11</v>
      </c>
      <c r="B97" s="184" t="n"/>
      <c r="C97" s="184" t="n"/>
      <c r="D97" s="19" t="n"/>
      <c r="E97" s="184" t="n"/>
      <c r="F97" s="110">
        <f>(NPV(0.11,F35:I35)+(I35*(1+0.015)/(0.11-0.015))/(1+0.11)^5+E48+E49)/E51</f>
        <v/>
      </c>
      <c r="G97" s="110">
        <f>(NPV(0.11,F35:I35)+(I35*(1+0.02)/(0.11-0.02))/(1+0.11)^5+E48+E49)/E51</f>
        <v/>
      </c>
      <c r="H97" s="110">
        <f>(NPV(0.11,F35:I35)+(I35*(1+0.025)/(0.11-0.025))/(1+0.11)^5+E48+E49)/E51</f>
        <v/>
      </c>
      <c r="I97" s="110">
        <f>(NPV(0.11,F35:I35)+(I35*(1+0.03)/(0.11-0.03))/(1+0.11)^5+E48+E49)/E51</f>
        <v/>
      </c>
      <c r="J97" s="184" t="n"/>
      <c r="K97" s="223" t="inlineStr">
        <is>
          <t>WACC tab</t>
        </is>
      </c>
      <c r="L97" s="184" t="n"/>
      <c r="M97" s="184" t="n"/>
    </row>
    <row r="98" ht="28" customHeight="1">
      <c r="A98" s="233" t="n">
        <v>0.115</v>
      </c>
      <c r="B98" s="184" t="n"/>
      <c r="C98" s="184" t="inlineStr">
        <is>
          <t>https://fred.stlouisfed.org/series/GDPC1</t>
        </is>
      </c>
      <c r="D98" s="19" t="n"/>
      <c r="E98" s="184" t="n"/>
      <c r="F98" s="110">
        <f>(NPV(0.115,F35:I35)+(I35*(1+0.015)/(0.115-0.015))/(1+0.115)^5+E48+E49)/E51</f>
        <v/>
      </c>
      <c r="G98" s="110">
        <f>(NPV(0.115,F35:I35)+(I35*(1+0.02)/(0.115-0.02))/(1+0.115)^5+E48+E49)/E51</f>
        <v/>
      </c>
      <c r="H98" s="110">
        <f>(NPV(0.115,F35:I35)+(I35*(1+0.025)/(0.115-0.025))/(1+0.115)^5+E48+E49)/E51</f>
        <v/>
      </c>
      <c r="I98" s="110">
        <f>(NPV(0.115,F35:I35)+(I35*(1+0.03)/(0.115-0.03))/(1+0.115)^5+E48+E49)/E51</f>
        <v/>
      </c>
      <c r="J98" s="184" t="n"/>
      <c r="K98" s="223" t="inlineStr">
        <is>
          <t>WACC tab</t>
        </is>
      </c>
      <c r="L98" s="184" t="inlineStr">
        <is>
          <t>'Scenarios'!G10</t>
        </is>
      </c>
      <c r="M98" s="184" t="n"/>
    </row>
    <row r="99" ht="28" customHeight="1">
      <c r="A99" s="184" t="n"/>
      <c r="B99" s="17" t="n"/>
      <c r="C99" s="197" t="inlineStr">
        <is>
          <t>WACC Tab</t>
        </is>
      </c>
      <c r="D99" s="19" t="n"/>
      <c r="E99" s="184" t="n"/>
      <c r="F99" s="184" t="n"/>
      <c r="G99" s="184" t="n"/>
      <c r="H99" s="184" t="n"/>
      <c r="I99" s="184" t="n"/>
      <c r="J99" s="184" t="n"/>
      <c r="K99" s="223" t="inlineStr">
        <is>
          <t>FRED: Real GDP (GDPC1)</t>
        </is>
      </c>
      <c r="L99" s="19" t="inlineStr">
        <is>
          <t>'WACC'!E41</t>
        </is>
      </c>
      <c r="M99" s="184" t="n"/>
    </row>
    <row r="100" ht="28" customHeight="1">
      <c r="A100" s="184" t="n"/>
      <c r="B100" s="184" t="n"/>
      <c r="C100" s="184" t="n"/>
      <c r="D100" s="184" t="n"/>
      <c r="E100" s="184" t="n"/>
      <c r="F100" s="184" t="n"/>
      <c r="G100" s="184" t="n"/>
      <c r="H100" s="184" t="n"/>
      <c r="I100" s="184" t="n"/>
      <c r="J100" s="184" t="n"/>
      <c r="K100" s="184" t="inlineStr">
        <is>
          <t>'WACC'!E41</t>
        </is>
      </c>
      <c r="L100" s="184" t="inlineStr">
        <is>
          <t>'WACC'!E41</t>
        </is>
      </c>
      <c r="M100" s="184" t="n"/>
    </row>
    <row r="101" ht="28" customHeight="1">
      <c r="A101" s="184" t="n"/>
      <c r="B101" s="184" t="n"/>
      <c r="C101" s="184" t="n"/>
      <c r="D101" s="184" t="n"/>
      <c r="E101" s="184" t="n"/>
      <c r="F101" s="184" t="n"/>
      <c r="G101" s="184" t="n"/>
      <c r="H101" s="184" t="n"/>
      <c r="I101" s="184" t="n"/>
      <c r="J101" s="184" t="n"/>
      <c r="K101" s="184" t="inlineStr">
        <is>
          <t>'WACC'!E41</t>
        </is>
      </c>
      <c r="L101" s="184" t="inlineStr">
        <is>
          <t>'WACC'!E41</t>
        </is>
      </c>
      <c r="M101" s="184" t="n"/>
    </row>
    <row r="102" ht="28" customHeight="1">
      <c r="A102" s="184" t="n"/>
      <c r="B102" s="184" t="n"/>
      <c r="C102" s="184" t="n"/>
      <c r="D102" s="184" t="n"/>
      <c r="E102" s="184" t="n"/>
      <c r="F102" s="184" t="n"/>
      <c r="G102" s="184" t="n"/>
      <c r="H102" s="184" t="n"/>
      <c r="I102" s="184" t="n"/>
      <c r="J102" s="184" t="n"/>
      <c r="K102" s="184" t="inlineStr">
        <is>
          <t>'WACC'!E41</t>
        </is>
      </c>
      <c r="L102" s="184" t="inlineStr">
        <is>
          <t>'WACC'!E41</t>
        </is>
      </c>
      <c r="M102" s="184" t="n"/>
    </row>
    <row r="103" ht="28" customHeight="1">
      <c r="A103" s="184" t="n"/>
      <c r="B103" s="184" t="n"/>
      <c r="C103" s="184" t="n"/>
      <c r="D103" s="184" t="n"/>
      <c r="E103" s="184" t="n"/>
      <c r="F103" s="184" t="n"/>
      <c r="G103" s="184" t="n"/>
      <c r="H103" s="184" t="n"/>
      <c r="I103" s="184" t="n"/>
      <c r="J103" s="184" t="n"/>
      <c r="K103" s="184" t="inlineStr">
        <is>
          <t>'WACC'!E41</t>
        </is>
      </c>
      <c r="L103" s="184" t="inlineStr">
        <is>
          <t>'WACC'!E41</t>
        </is>
      </c>
      <c r="M103" s="184" t="n"/>
    </row>
    <row r="104" ht="28" customHeight="1">
      <c r="A104" s="184" t="n"/>
      <c r="B104" s="184" t="n"/>
      <c r="C104" s="184" t="inlineStr">
        <is>
          <t>'Scenarios'!G9</t>
        </is>
      </c>
      <c r="D104" s="184" t="n"/>
      <c r="E104" s="184" t="n"/>
      <c r="F104" s="184" t="n"/>
      <c r="G104" s="184" t="n"/>
      <c r="H104" s="184" t="n"/>
      <c r="I104" s="184" t="n"/>
      <c r="J104" s="184" t="n"/>
      <c r="K104" s="184" t="inlineStr">
        <is>
          <t>https://fred.stlouisfed.org/series/GDPC1</t>
        </is>
      </c>
      <c r="L104" s="184" t="inlineStr">
        <is>
          <t>https://fred.stlouisfed.org/series/GDPC1</t>
        </is>
      </c>
      <c r="M104" s="184" t="n"/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applyStyles="1" summaryBelow="1" summaryRight="1" showOutlineSymbols="0"/>
    <pageSetUpPr/>
  </sheetPr>
  <dimension ref="A1:H62"/>
  <sheetViews>
    <sheetView showGridLines="0" showOutlineSymbol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  <col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91" t="inlineStr">
        <is>
          <t>RELATIVE VALUATION — IMPLIED PRICE RANGES (FOOTBALL FIELD)</t>
        </is>
      </c>
      <c r="B1" s="192" t="n"/>
      <c r="C1" s="192" t="n"/>
      <c r="D1" s="192" t="n"/>
      <c r="E1" s="192" t="n"/>
      <c r="F1" s="192" t="n"/>
      <c r="G1" s="192" t="n"/>
      <c r="H1" s="184" t="n"/>
    </row>
    <row r="2">
      <c r="A2" s="184" t="n"/>
      <c r="B2" s="68" t="inlineStr">
        <is>
          <t>Notes</t>
        </is>
      </c>
      <c r="C2" s="68" t="inlineStr">
        <is>
          <t>Source</t>
        </is>
      </c>
      <c r="D2" s="184" t="n"/>
      <c r="E2" s="184" t="n"/>
      <c r="F2" s="184" t="n"/>
      <c r="G2" s="184" t="n"/>
      <c r="H2" s="184" t="n"/>
    </row>
    <row r="3">
      <c r="A3" s="129" t="inlineStr">
        <is>
          <t>LULU operating metrics (FY2025A / FY2026E)</t>
        </is>
      </c>
      <c r="B3" s="184" t="n"/>
      <c r="C3" s="184" t="n"/>
      <c r="D3" s="184" t="n"/>
      <c r="E3" s="184" t="n"/>
      <c r="F3" s="184" t="n"/>
      <c r="G3" s="184" t="n"/>
      <c r="H3" s="184" t="n"/>
    </row>
    <row r="4" ht="28" customHeight="1">
      <c r="A4" s="16" t="inlineStr">
        <is>
          <t>FY2025A revenue</t>
        </is>
      </c>
      <c r="B4" s="184" t="n"/>
      <c r="C4" s="223" t="inlineStr">
        <is>
          <t>10-K</t>
        </is>
      </c>
      <c r="D4" s="210" t="n">
        <v>11102600</v>
      </c>
      <c r="E4" s="217">
        <f>DCF!E5</f>
        <v/>
      </c>
      <c r="F4" s="184" t="n"/>
      <c r="G4" s="184" t="n"/>
      <c r="H4" s="184" t="n"/>
    </row>
    <row r="5">
      <c r="A5" s="16" t="inlineStr">
        <is>
          <t>FY2025A EBITDA (EBIT + D&amp;A)</t>
        </is>
      </c>
      <c r="B5" s="184" t="n"/>
      <c r="C5" s="184" t="n"/>
      <c r="D5" s="75">
        <f>DCF!D11+496228</f>
        <v/>
      </c>
      <c r="E5" s="184" t="n"/>
      <c r="F5" s="184" t="n"/>
      <c r="G5" s="184" t="n"/>
      <c r="H5" s="184" t="n"/>
    </row>
    <row r="6">
      <c r="A6" s="16" t="inlineStr">
        <is>
          <t>FY2030E terminal EBITDA (DCF EBIT + D&amp;A)</t>
        </is>
      </c>
      <c r="B6" s="184" t="n"/>
      <c r="C6" s="223" t="inlineStr">
        <is>
          <t>↳ DCF base case</t>
        </is>
      </c>
      <c r="D6" s="75">
        <f>DCF!E44</f>
        <v/>
      </c>
      <c r="E6" s="184" t="n"/>
      <c r="F6" s="184" t="n"/>
      <c r="G6" s="184" t="n"/>
      <c r="H6" s="184" t="n"/>
    </row>
    <row r="7" ht="28" customHeight="1">
      <c r="A7" s="16" t="inlineStr">
        <is>
          <t>FY2026E diluted EPS (guidance midpoint)</t>
        </is>
      </c>
      <c r="B7" s="184" t="n"/>
      <c r="C7" s="223" t="inlineStr">
        <is>
          <t>Release</t>
        </is>
      </c>
      <c r="D7" s="220" t="n">
        <v>9.609999999999999</v>
      </c>
      <c r="E7" s="236">
        <f>Scenarios!E188</f>
        <v/>
      </c>
      <c r="F7" s="184" t="n"/>
      <c r="G7" s="184" t="n"/>
      <c r="H7" s="184" t="n"/>
    </row>
    <row r="8" ht="28" customHeight="1">
      <c r="A8" s="16" t="inlineStr">
        <is>
          <t>Cash &amp; equivalents</t>
        </is>
      </c>
      <c r="B8" s="184" t="n"/>
      <c r="C8" s="223" t="inlineStr">
        <is>
          <t>10-K</t>
        </is>
      </c>
      <c r="D8" s="210" t="n">
        <v>1807202</v>
      </c>
      <c r="E8" s="184" t="inlineStr">
        <is>
          <t>https://www.sec.gov/Archives/edgar/data/1397187/000139718726000020/lulu-20260201.htm</t>
        </is>
      </c>
      <c r="F8" s="184" t="n"/>
      <c r="G8" s="184" t="n"/>
      <c r="H8" s="184" t="n"/>
    </row>
    <row r="9" ht="28" customHeight="1">
      <c r="A9" s="16" t="inlineStr">
        <is>
          <t>Shares outstanding (000)</t>
        </is>
      </c>
      <c r="B9" s="184" t="n"/>
      <c r="C9" s="223" t="inlineStr">
        <is>
          <t>10-K</t>
        </is>
      </c>
      <c r="D9" s="221" t="n">
        <v>111380</v>
      </c>
      <c r="E9" s="184" t="inlineStr">
        <is>
          <t>https://www.sec.gov/Archives/edgar/data/1397187/000139718726000020/lulu-20260201.htm</t>
        </is>
      </c>
      <c r="F9" s="184" t="n"/>
      <c r="G9" s="184" t="n"/>
      <c r="H9" s="184" t="n"/>
    </row>
    <row r="10" ht="28" customHeight="1">
      <c r="A10" s="16" t="inlineStr">
        <is>
          <t>Current share price</t>
        </is>
      </c>
      <c r="B10" s="184" t="n"/>
      <c r="C10" s="223" t="inlineStr">
        <is>
          <t>NASDAQ</t>
        </is>
      </c>
      <c r="D10" s="225" t="n">
        <v>100</v>
      </c>
      <c r="E10" s="184" t="inlineStr">
        <is>
          <t>https://www.nasdaq.com/market-activity/stocks/lulu</t>
        </is>
      </c>
      <c r="F10" s="184" t="n"/>
      <c r="G10" s="184" t="n"/>
      <c r="H10" s="184" t="n"/>
    </row>
    <row r="11">
      <c r="A11" s="184" t="n"/>
      <c r="B11" s="184" t="n"/>
      <c r="C11" s="184" t="n"/>
      <c r="D11" s="184" t="n"/>
      <c r="E11" s="184" t="n"/>
      <c r="F11" s="184" t="n"/>
      <c r="G11" s="184" t="n"/>
      <c r="H11" s="184" t="n"/>
    </row>
    <row r="12">
      <c r="A12" s="129" t="inlineStr">
        <is>
          <t>EXIT MULTIPLE BUILD — FY2030E TERMINAL YEAR</t>
        </is>
      </c>
      <c r="B12" s="184" t="n"/>
      <c r="C12" s="184" t="n"/>
      <c r="D12" s="184" t="n"/>
      <c r="E12" s="184" t="n"/>
      <c r="F12" s="184" t="n"/>
      <c r="G12" s="184" t="n"/>
      <c r="H12" s="184" t="n"/>
    </row>
    <row r="13">
      <c r="A13" s="107" t="inlineStr">
        <is>
          <t>Peer / reference EV/EBITDA (forward / illustrative)</t>
        </is>
      </c>
      <c r="B13" s="184" t="n"/>
      <c r="C13" s="184" t="n"/>
      <c r="D13" s="184" t="n"/>
      <c r="E13" s="184" t="n"/>
      <c r="F13" s="184" t="n"/>
      <c r="G13" s="184" t="n"/>
      <c r="H13" s="184" t="n"/>
    </row>
    <row r="14">
      <c r="A14" s="129" t="inlineStr">
        <is>
          <t>PITCHBOOK PUBCOMPS — daily EV / TTM EBITDA as of 04-Sep-2026 ($000)</t>
        </is>
      </c>
      <c r="B14" s="184" t="n"/>
      <c r="C14" s="184" t="n"/>
      <c r="D14" s="184" t="n"/>
      <c r="E14" s="184" t="n"/>
      <c r="F14" s="184" t="n"/>
      <c r="G14" s="184" t="n"/>
      <c r="H14" s="184" t="n"/>
    </row>
    <row r="15">
      <c r="A15" s="26" t="inlineStr">
        <is>
          <t>EV/EBITDA is a black formula (I/J). UAA is shown but excluded from averages (negative TTM EBITDA).</t>
        </is>
      </c>
      <c r="B15" s="184" t="n"/>
      <c r="C15" s="184" t="n"/>
      <c r="D15" s="184" t="n"/>
      <c r="E15" s="184" t="n"/>
      <c r="F15" s="184" t="n"/>
      <c r="G15" s="184" t="n"/>
      <c r="H15" s="184" t="n"/>
    </row>
    <row r="16">
      <c r="A16" s="237" t="inlineStr">
        <is>
          <t>Company</t>
        </is>
      </c>
      <c r="B16" s="237" t="inlineStr">
        <is>
          <t>Notes</t>
        </is>
      </c>
      <c r="C16" s="237" t="inlineStr">
        <is>
          <t>Source</t>
        </is>
      </c>
      <c r="D16" s="238" t="inlineStr">
        <is>
          <t>EV/EBITDA</t>
        </is>
      </c>
      <c r="E16" s="184" t="n"/>
      <c r="F16" s="184" t="n"/>
      <c r="G16" s="184" t="n"/>
      <c r="H16" s="238" t="inlineStr">
        <is>
          <t>EBITDA ($000)</t>
        </is>
      </c>
    </row>
    <row r="17">
      <c r="A17" s="16" t="inlineStr">
        <is>
          <t>lululemon (LULU)</t>
        </is>
      </c>
      <c r="B17" s="126" t="inlineStr">
        <is>
          <t>PitchBook Comps Set 04-Sep-2026. Multiple = daily EV / TTM EBITDA. UAA excluded from the mean (negative EBITDA).</t>
        </is>
      </c>
      <c r="C17" s="24" t="inlineStr">
        <is>
          <t>PitchBook Comps Set 04-Sep-2026</t>
        </is>
      </c>
      <c r="D17" s="115">
        <f>IF(H19&lt;=0,"n.m.",H19/H19)</f>
        <v/>
      </c>
      <c r="E17" s="184" t="n"/>
      <c r="F17" s="184" t="n"/>
      <c r="G17" s="184" t="n"/>
      <c r="H17" s="156" t="n">
        <v>2548084</v>
      </c>
    </row>
    <row r="18">
      <c r="A18" s="16" t="inlineStr">
        <is>
          <t>Under Armour (UAA)</t>
        </is>
      </c>
      <c r="B18" s="139" t="inlineStr">
        <is>
          <t>Notes</t>
        </is>
      </c>
      <c r="C18" s="157" t="inlineStr">
        <is>
          <t>Source</t>
        </is>
      </c>
      <c r="D18" s="115">
        <f>IF(H20&lt;=0,"n.m.",H20/H20)</f>
        <v/>
      </c>
      <c r="E18" s="184" t="n"/>
      <c r="F18" s="184" t="n"/>
      <c r="G18" s="184" t="n"/>
      <c r="H18" s="156" t="n">
        <v>-23230</v>
      </c>
    </row>
    <row r="19" ht="28" customHeight="1">
      <c r="A19" s="16" t="inlineStr">
        <is>
          <t>adidas (ADS)</t>
        </is>
      </c>
      <c r="B19" s="126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15">
        <f>IF(H21&lt;=0,"n.m.",H21/H21)</f>
        <v/>
      </c>
      <c r="E19" s="184" t="n"/>
      <c r="F19" s="184" t="n"/>
      <c r="G19" s="184" t="n"/>
      <c r="H19" s="156" t="n">
        <v>3857684</v>
      </c>
    </row>
    <row r="20" ht="28" customHeight="1">
      <c r="A20" s="16" t="inlineStr">
        <is>
          <t>Nike (NKE)</t>
        </is>
      </c>
      <c r="B20" s="126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15">
        <f>IF(H22&lt;=0,"n.m.",H22/H22)</f>
        <v/>
      </c>
      <c r="E20" s="184" t="n"/>
      <c r="F20" s="184" t="n"/>
      <c r="G20" s="184" t="n"/>
      <c r="H20" s="156" t="n">
        <v>4647000</v>
      </c>
    </row>
    <row r="21" ht="28" customHeight="1">
      <c r="A21" s="16" t="inlineStr">
        <is>
          <t>Deckers (DECK)</t>
        </is>
      </c>
      <c r="B21" s="126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15">
        <f>IF(H23&lt;=0,"n.m.",H23/H23)</f>
        <v/>
      </c>
      <c r="E21" s="184" t="n"/>
      <c r="F21" s="184" t="n"/>
      <c r="G21" s="184" t="n"/>
      <c r="H21" s="156" t="n">
        <v>1329439</v>
      </c>
    </row>
    <row r="22" ht="28" customHeight="1">
      <c r="A22" s="16" t="inlineStr">
        <is>
          <t>Williams-Sonoma (WSM)</t>
        </is>
      </c>
      <c r="B22" s="126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15">
        <f>IF(H24&lt;=0,"n.m.",H24/H24)</f>
        <v/>
      </c>
      <c r="E22" s="184" t="n"/>
      <c r="F22" s="184" t="n"/>
      <c r="G22" s="184" t="n"/>
      <c r="H22" s="156" t="n">
        <v>1768400</v>
      </c>
    </row>
    <row r="23" ht="28" customHeight="1">
      <c r="A23" s="16" t="inlineStr">
        <is>
          <t>Crocs (CROX)</t>
        </is>
      </c>
      <c r="B23" s="126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15">
        <f>IF(H25&lt;=0,"n.m.",H25/H25)</f>
        <v/>
      </c>
      <c r="E23" s="184" t="n"/>
      <c r="F23" s="184" t="n"/>
      <c r="G23" s="184" t="n"/>
      <c r="H23" s="156" t="n">
        <v>922278</v>
      </c>
    </row>
    <row r="24" ht="28" customHeight="1">
      <c r="A24" s="16" t="inlineStr">
        <is>
          <t>Movado (MOV)</t>
        </is>
      </c>
      <c r="B24" s="126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15">
        <f>IF(H26&lt;=0,"n.m.",H26/H26)</f>
        <v/>
      </c>
      <c r="E24" s="184" t="n"/>
      <c r="F24" s="184" t="n"/>
      <c r="G24" s="184" t="n"/>
      <c r="H24" s="156" t="n">
        <v>62010</v>
      </c>
    </row>
    <row r="25" ht="28" customHeight="1">
      <c r="A25" s="16" t="inlineStr">
        <is>
          <t>Levi Strauss (LEVI)</t>
        </is>
      </c>
      <c r="B25" s="126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15">
        <f>IF(H27&lt;=0,"n.m.",H27/H27)</f>
        <v/>
      </c>
      <c r="E25" s="184" t="n"/>
      <c r="F25" s="184" t="n"/>
      <c r="G25" s="184" t="n"/>
      <c r="H25" s="156" t="n">
        <v>976700</v>
      </c>
    </row>
    <row r="26" ht="28" customHeight="1">
      <c r="A26" s="16" t="inlineStr">
        <is>
          <t>La-Z-Boy (LZB)</t>
        </is>
      </c>
      <c r="B26" s="126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15">
        <f>IF(H28&lt;=0,"n.m.",H28/H28)</f>
        <v/>
      </c>
      <c r="E26" s="184" t="n"/>
      <c r="F26" s="184" t="n"/>
      <c r="G26" s="184" t="n"/>
      <c r="H26" s="156" t="n">
        <v>235723</v>
      </c>
    </row>
    <row r="27" ht="28" customHeight="1">
      <c r="A27" s="16" t="inlineStr">
        <is>
          <t>Kontoor (KTB)</t>
        </is>
      </c>
      <c r="B27" s="126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15">
        <f>IF(H29&lt;=0,"n.m.",H29/H29)</f>
        <v/>
      </c>
      <c r="E27" s="184" t="n"/>
      <c r="F27" s="184" t="n"/>
      <c r="G27" s="184" t="n"/>
      <c r="H27" s="156" t="n">
        <v>407521</v>
      </c>
    </row>
    <row r="28" ht="28" customHeight="1">
      <c r="A28" s="184" t="n"/>
      <c r="B28" s="184" t="n"/>
      <c r="C28" s="184" t="n"/>
      <c r="D28" s="184" t="n"/>
      <c r="E28" s="184" t="n"/>
      <c r="F28" s="184" t="n"/>
      <c r="G28" s="184" t="n"/>
      <c r="H28" s="184" t="n"/>
    </row>
    <row r="29" ht="28" customHeight="1">
      <c r="A29" s="184" t="n"/>
      <c r="B29" s="184" t="n"/>
      <c r="C29" s="184" t="n"/>
      <c r="D29" s="184" t="n"/>
      <c r="E29" s="184" t="n"/>
      <c r="F29" s="184" t="n"/>
      <c r="G29" s="184" t="n"/>
      <c r="H29" s="184" t="n"/>
    </row>
    <row r="30">
      <c r="A30" s="129" t="inlineStr">
        <is>
          <t>Averages (live Excel AVERAGE — shown so TV is not a blended print)</t>
        </is>
      </c>
      <c r="B30" s="184" t="n"/>
      <c r="C30" s="184" t="n"/>
      <c r="D30" s="184" t="n"/>
      <c r="E30" s="184" t="n"/>
      <c r="F30" s="184" t="n"/>
      <c r="G30" s="184" t="n"/>
      <c r="H30" s="184" t="n"/>
    </row>
    <row r="31">
      <c r="A31" s="16" t="inlineStr">
        <is>
          <t>Core athletic / apparel mean (LULU / NKE / ADS / DECK / CROX / LEVI / KTB)</t>
        </is>
      </c>
      <c r="B31" s="16" t="inlineStr">
        <is>
          <t>PitchBook core set, UAA out. Current tape — not a 2.25% g FY30 exit.</t>
        </is>
      </c>
      <c r="C31" s="26" t="inlineStr">
        <is>
          <t>Derived: Excel AVERAGE of the seven core prints</t>
        </is>
      </c>
      <c r="D31" s="115">
        <f>AVERAGE(D19,D22,D21,D23,D25,D27,D29)</f>
        <v/>
      </c>
      <c r="E31" s="184" t="n"/>
      <c r="F31" s="184" t="n"/>
      <c r="G31" s="184" t="n"/>
      <c r="H31" s="184" t="n"/>
    </row>
    <row r="32">
      <c r="A32" s="16" t="inlineStr">
        <is>
          <t>All positive-EBITDA mean (ex-UAA; includes WSM / MOV / LZB)</t>
        </is>
      </c>
      <c r="B32" s="16" t="inlineStr">
        <is>
          <t>Wider PitchBook tape. WSM/MOV/LZB are adjacent retail, not athletic. Not the TV.</t>
        </is>
      </c>
      <c r="C32" s="26" t="inlineStr">
        <is>
          <t>Derived: Excel AVERAGE of every positive-EBITDA row</t>
        </is>
      </c>
      <c r="D32" s="174">
        <f>AVERAGE(D19,D21,D22,D23,D24,D25,D26,D27,D28,D29)</f>
        <v/>
      </c>
      <c r="E32" s="184" t="n"/>
      <c r="F32" s="184" t="n"/>
      <c r="G32" s="184" t="n"/>
      <c r="H32" s="184" t="n"/>
    </row>
    <row r="33" ht="42" customHeight="1">
      <c r="A33" s="107" t="inlineStr">
        <is>
          <t>We do not average peers for terminal value, and we do not use Alo 5.0x EV/Sales as EV/EBITDA.</t>
        </is>
      </c>
      <c r="B33" s="184" t="n"/>
      <c r="C33" s="184" t="n"/>
      <c r="D33" s="184" t="n"/>
      <c r="E33" s="184" t="n"/>
      <c r="F33" s="184" t="n"/>
      <c r="G33" s="184" t="n"/>
      <c r="H33" s="184" t="n"/>
    </row>
    <row r="34" ht="28" customHeight="1">
      <c r="A34" s="184" t="n"/>
      <c r="B34" s="184" t="n"/>
      <c r="C34" s="184" t="n"/>
      <c r="D34" s="184" t="n"/>
      <c r="E34" s="184" t="n"/>
      <c r="F34" s="184" t="n"/>
      <c r="G34" s="184" t="n"/>
      <c r="H34" s="184" t="n"/>
    </row>
    <row r="35" ht="28" customHeight="1">
      <c r="A35" s="129" t="inlineStr">
        <is>
          <t>Terminal multiple selection (DCF exit method)</t>
        </is>
      </c>
      <c r="B35" s="184" t="n"/>
      <c r="C35" s="184" t="n"/>
      <c r="D35" s="184" t="n"/>
      <c r="E35" s="184" t="n"/>
      <c r="F35" s="184" t="n"/>
      <c r="G35" s="184" t="n"/>
      <c r="H35" s="184" t="n"/>
    </row>
    <row r="36" ht="28" customHeight="1">
      <c r="A36" s="16" t="inlineStr">
        <is>
          <t>Gordon-implied exit EV/EBITDA</t>
        </is>
      </c>
      <c r="B36" s="184" t="n"/>
      <c r="C36" s="184" t="n"/>
      <c r="D36" s="94">
        <f>DCF!E46</f>
        <v/>
      </c>
      <c r="E36" s="184" t="n"/>
      <c r="F36" s="184" t="n"/>
      <c r="G36" s="184" t="n"/>
      <c r="H36" s="184" t="n"/>
    </row>
    <row r="37">
      <c r="A37" s="68" t="inlineStr">
        <is>
          <t>Selected exit multiple (base case)</t>
        </is>
      </c>
      <c r="B37" s="184" t="n"/>
      <c r="C37" s="184" t="n"/>
      <c r="D37" s="104">
        <f>DCF!E82</f>
        <v/>
      </c>
      <c r="E37" s="184" t="n"/>
      <c r="F37" s="184" t="n"/>
      <c r="G37" s="184" t="n"/>
      <c r="H37" s="184" t="n"/>
    </row>
    <row r="38">
      <c r="A38" s="16" t="inlineStr">
        <is>
          <t>Spread (selected − Gordon implied)</t>
        </is>
      </c>
      <c r="B38" s="184" t="n"/>
      <c r="C38" s="184" t="n"/>
      <c r="D38" s="94">
        <f>D45-D44</f>
        <v/>
      </c>
      <c r="E38" s="184" t="n"/>
      <c r="F38" s="184" t="n"/>
      <c r="G38" s="184" t="n"/>
      <c r="H38" s="184" t="n"/>
    </row>
    <row r="39">
      <c r="A39" s="41" t="n"/>
      <c r="B39" s="184" t="n"/>
      <c r="C39" s="184" t="n"/>
      <c r="D39" s="184" t="n"/>
      <c r="E39" s="184" t="n"/>
      <c r="F39" s="184" t="n"/>
      <c r="G39" s="184" t="n"/>
      <c r="H39" s="184" t="n"/>
    </row>
    <row r="40">
      <c r="A40" s="41" t="n"/>
      <c r="B40" s="184" t="n"/>
      <c r="C40" s="184" t="n"/>
      <c r="D40" s="184" t="n"/>
      <c r="E40" s="184" t="n"/>
      <c r="F40" s="184" t="n"/>
      <c r="G40" s="184" t="n"/>
      <c r="H40" s="184" t="n"/>
    </row>
    <row r="41">
      <c r="A41" s="41" t="n"/>
      <c r="B41" s="184" t="n"/>
      <c r="C41" s="184" t="n"/>
      <c r="D41" s="184" t="n"/>
      <c r="E41" s="184" t="n"/>
      <c r="F41" s="184" t="n"/>
      <c r="G41" s="184" t="n"/>
      <c r="H41" s="184" t="n"/>
    </row>
    <row r="42">
      <c r="A42" s="41" t="n"/>
      <c r="B42" s="184" t="n"/>
      <c r="C42" s="184" t="n"/>
      <c r="D42" s="184" t="n"/>
      <c r="E42" s="184" t="n"/>
      <c r="F42" s="184" t="n"/>
      <c r="G42" s="184" t="n"/>
      <c r="H42" s="184" t="n"/>
    </row>
    <row r="43">
      <c r="A43" s="41" t="n"/>
      <c r="B43" s="184" t="n"/>
      <c r="C43" s="184" t="n"/>
      <c r="D43" s="184" t="n"/>
      <c r="E43" s="184" t="n"/>
      <c r="F43" s="184" t="n"/>
      <c r="G43" s="184" t="n"/>
      <c r="H43" s="184" t="n"/>
    </row>
    <row r="44">
      <c r="A44" s="41" t="n"/>
      <c r="B44" s="184" t="n"/>
      <c r="C44" s="184" t="n"/>
      <c r="D44" s="184" t="n"/>
      <c r="E44" s="184" t="n"/>
      <c r="F44" s="184" t="n"/>
      <c r="G44" s="184" t="n"/>
      <c r="H44" s="184" t="n"/>
    </row>
    <row r="45">
      <c r="A45" s="184" t="n"/>
      <c r="B45" s="184" t="n"/>
      <c r="C45" s="184" t="n"/>
      <c r="D45" s="184" t="n"/>
      <c r="E45" s="184" t="n"/>
      <c r="F45" s="184" t="n"/>
      <c r="G45" s="184" t="n"/>
      <c r="H45" s="184" t="n"/>
    </row>
    <row r="46">
      <c r="A46" s="129" t="inlineStr">
        <is>
          <t>Methodology / multiple ranges (FY2030E terminal EBITDA — football field)</t>
        </is>
      </c>
      <c r="B46" s="184" t="n"/>
      <c r="C46" s="184" t="n"/>
      <c r="D46" s="184" t="n"/>
      <c r="E46" s="184" t="n"/>
      <c r="F46" s="184" t="n"/>
      <c r="G46" s="184" t="n"/>
      <c r="H46" s="184" t="n"/>
    </row>
    <row r="47">
      <c r="A47" s="237" t="inlineStr">
        <is>
          <t>Method</t>
        </is>
      </c>
      <c r="B47" s="237" t="inlineStr">
        <is>
          <t>Notes</t>
        </is>
      </c>
      <c r="C47" s="237" t="inlineStr">
        <is>
          <t>Source</t>
        </is>
      </c>
      <c r="D47" s="238" t="inlineStr">
        <is>
          <t>Low mult.</t>
        </is>
      </c>
      <c r="E47" s="238" t="inlineStr">
        <is>
          <t>High mult.</t>
        </is>
      </c>
      <c r="F47" s="238" t="inlineStr">
        <is>
          <t>Implied px (low)</t>
        </is>
      </c>
      <c r="G47" s="238" t="inlineStr">
        <is>
          <t>Implied px (high)</t>
        </is>
      </c>
      <c r="H47" s="184" t="n"/>
    </row>
    <row r="48">
      <c r="A48" s="16" t="inlineStr">
        <is>
          <t>EV / EBITDA (FY2030E terminal)</t>
        </is>
      </c>
      <c r="B48" s="131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48" s="216" t="inlineStr">
        <is>
          <t>Lo: StockAnalysis: LULU EV/EBITDA
Hi: StockAnalysis: DECK EV/EBITDA</t>
        </is>
      </c>
      <c r="D48" s="174" t="n">
        <v>5</v>
      </c>
      <c r="E48" s="174" t="n">
        <v>8</v>
      </c>
      <c r="F48" s="174">
        <f>(D6*D57+D8)/D9</f>
        <v/>
      </c>
      <c r="G48" s="174">
        <f>(D6*E57+D8)/D9</f>
        <v/>
      </c>
      <c r="H48" s="184" t="n"/>
    </row>
    <row r="49">
      <c r="A49" s="68" t="inlineStr">
        <is>
          <t>DCF exit method</t>
        </is>
      </c>
      <c r="B49" s="126" t="inlineStr">
        <is>
          <t>Selected exit is Gordon TV / FY30 EBITDA. Identity: (UFCF/EBITDA)×(1+g)/(WACC−g). Not Deckers and not a peer average.</t>
        </is>
      </c>
      <c r="C49" s="197" t="inlineStr">
        <is>
          <t>DCF: Gordon implied exit (TV / FY30 EBITDA)</t>
        </is>
      </c>
      <c r="D49" s="176">
        <f>DCF!E82</f>
        <v/>
      </c>
      <c r="E49" s="184" t="n"/>
      <c r="F49" s="176">
        <f>(D6*D58+D8)/D9</f>
        <v/>
      </c>
      <c r="G49" s="184" t="n"/>
      <c r="H49" s="184" t="n"/>
    </row>
    <row r="50">
      <c r="A50" s="16" t="inlineStr">
        <is>
          <t>P / E (FY2026E EPS)</t>
        </is>
      </c>
      <c r="B50" s="131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0" s="216" t="inlineStr">
        <is>
          <t>Lo: StockAnalysis: LULU Forward P/E
Hi: StockAnalysis: NKE Forward P/E</t>
        </is>
      </c>
      <c r="D50" s="239" t="n">
        <v>10</v>
      </c>
      <c r="E50" s="239" t="n">
        <v>18</v>
      </c>
      <c r="F50" s="121">
        <f>D7*D59</f>
        <v/>
      </c>
      <c r="G50" s="121">
        <f>D7*E59</f>
        <v/>
      </c>
      <c r="H50" s="184" t="n"/>
    </row>
    <row r="51">
      <c r="A51" s="16" t="inlineStr">
        <is>
          <t>DCF (bear – bull)</t>
        </is>
      </c>
      <c r="B51" s="184" t="n"/>
      <c r="C51" s="184" t="n"/>
      <c r="D51" s="123" t="inlineStr">
        <is>
          <t>—</t>
        </is>
      </c>
      <c r="E51" s="123" t="inlineStr">
        <is>
          <t>—</t>
        </is>
      </c>
      <c r="F51" s="121">
        <f>Scenarios!D132</f>
        <v/>
      </c>
      <c r="G51" s="121">
        <f>Scenarios!F132</f>
        <v/>
      </c>
      <c r="H51" s="184" t="n"/>
    </row>
    <row r="52">
      <c r="A52" s="184" t="n"/>
      <c r="B52" s="184" t="n"/>
      <c r="C52" s="184" t="n"/>
      <c r="D52" s="184" t="n"/>
      <c r="E52" s="184" t="n"/>
      <c r="F52" s="184" t="n"/>
      <c r="G52" s="184" t="n"/>
      <c r="H52" s="184" t="n"/>
    </row>
    <row r="53">
      <c r="A53" s="124" t="inlineStr">
        <is>
          <t>Current price</t>
        </is>
      </c>
      <c r="B53" s="184" t="n"/>
      <c r="C53" s="223" t="inlineStr">
        <is>
          <t>NASDAQ</t>
        </is>
      </c>
      <c r="D53" s="240" t="n">
        <v>100</v>
      </c>
      <c r="E53" s="184" t="n"/>
      <c r="F53" s="184" t="n"/>
      <c r="G53" s="184" t="n"/>
      <c r="H53" s="184" t="n"/>
    </row>
    <row r="54">
      <c r="A54" s="184" t="n"/>
      <c r="B54" s="184" t="n"/>
      <c r="C54" s="184" t="n"/>
      <c r="D54" s="184" t="n"/>
      <c r="E54" s="184" t="n"/>
      <c r="F54" s="184" t="n"/>
      <c r="G54" s="184" t="n"/>
      <c r="H54" s="184" t="n"/>
    </row>
    <row r="55">
      <c r="A55" s="184" t="n"/>
      <c r="B55" s="184" t="n"/>
      <c r="C55" s="184" t="n"/>
      <c r="D55" s="184" t="n"/>
      <c r="E55" s="184" t="n"/>
      <c r="F55" s="184" t="n"/>
      <c r="G55" s="184" t="n"/>
      <c r="H55" s="184" t="n"/>
    </row>
    <row r="56">
      <c r="A56" s="184" t="n"/>
      <c r="B56" s="129" t="inlineStr">
        <is>
          <t>Notes</t>
        </is>
      </c>
      <c r="C56" s="129" t="inlineStr">
        <is>
          <t>Source</t>
        </is>
      </c>
      <c r="D56" s="184" t="n"/>
      <c r="E56" s="184" t="n"/>
      <c r="F56" s="184" t="n"/>
      <c r="G56" s="184" t="n"/>
      <c r="H56" s="184" t="n"/>
    </row>
    <row r="57" ht="42" customHeight="1">
      <c r="A57" s="184" t="n"/>
      <c r="B57" s="184" t="n"/>
      <c r="C57" s="184" t="inlineStr">
        <is>
          <t>https://stockanalysis.com/stocks/lulu/statistics/</t>
        </is>
      </c>
      <c r="D57" s="184" t="n"/>
      <c r="E57" s="184" t="n"/>
      <c r="F57" s="184" t="n"/>
      <c r="G57" s="184" t="n"/>
      <c r="H57" s="184" t="n"/>
    </row>
    <row r="58" ht="28" customHeight="1">
      <c r="A58" s="184" t="n"/>
      <c r="B58" s="184" t="n"/>
      <c r="C58" s="184" t="inlineStr">
        <is>
          <t>'DCF'!E82</t>
        </is>
      </c>
      <c r="D58" s="184" t="n"/>
      <c r="E58" s="184" t="n"/>
      <c r="F58" s="184" t="n"/>
      <c r="G58" s="184" t="n"/>
      <c r="H58" s="184" t="n"/>
    </row>
    <row r="59" ht="42" customHeight="1">
      <c r="A59" s="184" t="n"/>
      <c r="B59" s="184" t="n"/>
      <c r="C59" s="184" t="inlineStr">
        <is>
          <t>https://stockanalysis.com/stocks/lulu/statistics/</t>
        </is>
      </c>
      <c r="D59" s="184" t="n"/>
      <c r="E59" s="184" t="n"/>
      <c r="F59" s="184" t="n"/>
      <c r="G59" s="184" t="n"/>
      <c r="H59" s="184" t="n"/>
    </row>
    <row r="60">
      <c r="A60" s="184" t="n"/>
      <c r="B60" s="184" t="n"/>
      <c r="C60" s="184" t="n"/>
      <c r="D60" s="184" t="n"/>
      <c r="E60" s="184" t="n"/>
      <c r="F60" s="184" t="n"/>
      <c r="G60" s="184" t="n"/>
      <c r="H60" s="184" t="n"/>
    </row>
    <row r="61">
      <c r="A61" s="184" t="n"/>
      <c r="B61" s="184" t="n"/>
      <c r="C61" s="184" t="n"/>
      <c r="D61" s="184" t="n"/>
      <c r="E61" s="184" t="n"/>
      <c r="F61" s="184" t="n"/>
      <c r="G61" s="184" t="n"/>
      <c r="H61" s="184" t="n"/>
    </row>
    <row r="62" ht="28" customHeight="1">
      <c r="A62" s="184" t="n"/>
      <c r="B62" s="184" t="n"/>
      <c r="C62" s="184" t="inlineStr">
        <is>
          <t>https://www.nasdaq.com/market-activity/stocks/lulu</t>
        </is>
      </c>
      <c r="D62" s="184" t="n"/>
      <c r="E62" s="184" t="inlineStr">
        <is>
          <t>https://www.nasdaq.com/market-activity/stocks/lulu</t>
        </is>
      </c>
      <c r="F62" s="184" t="n"/>
      <c r="G62" s="184" t="n"/>
      <c r="H62" s="184" t="n"/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57" r:id="rId11"/>
    <hyperlink ref="C58" location="'DCF'!E82"/>
    <hyperlink xmlns:r="http://schemas.openxmlformats.org/officeDocument/2006/relationships" ref="C59" r:id="rId12"/>
    <hyperlink xmlns:r="http://schemas.openxmlformats.org/officeDocument/2006/relationships" ref="C62" r:id="rId13"/>
    <hyperlink xmlns:r="http://schemas.openxmlformats.org/officeDocument/2006/relationships" ref="E62" r:id="rId14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:title>LULU DCF Model</dc:title>
  <dc:subject>lululemon unlevered DCF</dc:subject>
  <dcterms:created xsi:type="dcterms:W3CDTF">2026-09-09T15:52:21Z</dcterms:created>
  <dcterms:modified xsi:type="dcterms:W3CDTF">2026-09-10T15:30:42Z</dcterms:modified>
  <cp:lastModifiedBy>Microsoft Excel</cp:lastModifiedBy>
  <cp:revision>1</cp:revision>
</cp:coreProperties>
</file>